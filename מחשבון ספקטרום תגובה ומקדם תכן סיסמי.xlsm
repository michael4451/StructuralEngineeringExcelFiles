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ostbguacil-my.sharepoint.com/personal/amarmich_post_bgu_ac_il/Documents/SE_Excels/"/>
    </mc:Choice>
  </mc:AlternateContent>
  <xr:revisionPtr revIDLastSave="945" documentId="13_ncr:1_{5ACDED1E-32B3-4921-9272-1E0B4D262D2C}" xr6:coauthVersionLast="47" xr6:coauthVersionMax="47" xr10:uidLastSave="{30BD078F-7A06-4FED-AF89-A936C6697331}"/>
  <bookViews>
    <workbookView xWindow="-108" yWindow="-108" windowWidth="23256" windowHeight="12456" xr2:uid="{00000000-000D-0000-FFFF-FFFF00000000}"/>
  </bookViews>
  <sheets>
    <sheet name="DRS" sheetId="4" r:id="rId1"/>
    <sheet name="S2" sheetId="3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00" i="3" l="1"/>
  <c r="E1300" i="3"/>
  <c r="F1300" i="3"/>
  <c r="G1300" i="3"/>
  <c r="H1300" i="3"/>
  <c r="I1300" i="3"/>
  <c r="J1300" i="3"/>
  <c r="K1300" i="3"/>
  <c r="L1300" i="3"/>
  <c r="D13" i="4"/>
  <c r="BC29" i="3" s="1"/>
  <c r="B32" i="4"/>
  <c r="U33" i="4"/>
  <c r="V33" i="4"/>
  <c r="B24" i="4"/>
  <c r="AY35" i="3" s="1"/>
  <c r="E24" i="4"/>
  <c r="D34" i="4"/>
  <c r="B26" i="4"/>
  <c r="B16" i="4"/>
  <c r="AZ23" i="3"/>
  <c r="BB21" i="3"/>
  <c r="AZ21" i="3"/>
  <c r="AZ20" i="3"/>
  <c r="BB19" i="3"/>
  <c r="AZ19" i="3"/>
  <c r="AZ18" i="3"/>
  <c r="BB17" i="3"/>
  <c r="BA17" i="3"/>
  <c r="AZ17" i="3"/>
  <c r="AV12" i="3"/>
  <c r="E18" i="4" l="1"/>
  <c r="AZ30" i="3" s="1"/>
  <c r="E16" i="4"/>
  <c r="E19" i="4"/>
  <c r="E21" i="4"/>
  <c r="F18" i="4"/>
  <c r="AZ35" i="3"/>
  <c r="B15" i="4"/>
  <c r="K6" i="4"/>
  <c r="B30" i="4"/>
  <c r="BB23" i="3"/>
  <c r="AV13" i="3"/>
  <c r="BA23" i="3"/>
  <c r="G20" i="4" a="1"/>
  <c r="G20" i="4" l="1"/>
  <c r="AZ29" i="3"/>
  <c r="B36" i="4"/>
  <c r="G18" i="4"/>
  <c r="B18" i="4"/>
  <c r="AY30" i="3" s="1"/>
  <c r="D18" i="4"/>
  <c r="C18" i="4"/>
  <c r="D20" i="4" a="1"/>
  <c r="G22" i="4" a="1"/>
  <c r="D22" i="4" a="1"/>
  <c r="D20" i="4" l="1"/>
  <c r="D22" i="4"/>
  <c r="G22" i="4"/>
  <c r="AY29" i="3"/>
  <c r="V8" i="3" l="1"/>
  <c r="E22" i="4" l="1"/>
  <c r="E20" i="4"/>
  <c r="G24" i="4" l="1"/>
  <c r="E34" i="4"/>
  <c r="E35" i="4"/>
  <c r="E36" i="4"/>
  <c r="AZ32" i="3"/>
  <c r="B22" i="4"/>
  <c r="B20" i="4"/>
  <c r="E28" i="4" l="1"/>
  <c r="E29" i="4"/>
  <c r="E30" i="4"/>
  <c r="AZ31" i="3"/>
  <c r="AY31" i="3"/>
  <c r="AY32" i="3"/>
  <c r="E33" i="4"/>
  <c r="F24" i="4"/>
  <c r="B35" i="4" s="1"/>
  <c r="C24" i="4"/>
  <c r="D24" i="4"/>
  <c r="E27" i="4" s="1"/>
  <c r="V32" i="4" l="1"/>
  <c r="X33" i="4" s="1"/>
  <c r="V30" i="4"/>
  <c r="X32" i="4" s="1"/>
  <c r="R36" i="4"/>
  <c r="V31" i="4"/>
  <c r="R35" i="4"/>
  <c r="B34" i="4"/>
  <c r="B33" i="4"/>
  <c r="AZ34" i="3"/>
  <c r="D28" i="4"/>
  <c r="B27" i="4"/>
  <c r="B28" i="4"/>
  <c r="AY34" i="3"/>
  <c r="B29" i="4"/>
  <c r="AY33" i="3"/>
  <c r="AZ33" i="3"/>
  <c r="BH1" i="3" s="1"/>
  <c r="AV5" i="3"/>
  <c r="AV6" i="3"/>
  <c r="AV7" i="3"/>
  <c r="AV9" i="3"/>
  <c r="AV8" i="3"/>
  <c r="X31" i="4" l="1"/>
  <c r="X30" i="4"/>
  <c r="BG508" i="3"/>
  <c r="BG959" i="3"/>
  <c r="BG122" i="3"/>
  <c r="BG887" i="3"/>
  <c r="BG764" i="3"/>
  <c r="BG685" i="3"/>
  <c r="BG435" i="3"/>
  <c r="BG947" i="3"/>
  <c r="BG783" i="3"/>
  <c r="BG874" i="3"/>
  <c r="BG862" i="3"/>
  <c r="BG353" i="3"/>
  <c r="BG45" i="3"/>
  <c r="BG734" i="3"/>
  <c r="BG473" i="3"/>
  <c r="BG932" i="3"/>
  <c r="BG847" i="3"/>
  <c r="BG681" i="3"/>
  <c r="BG143" i="3"/>
  <c r="BG920" i="3"/>
  <c r="BG834" i="3"/>
  <c r="BG633" i="3"/>
  <c r="BG967" i="3"/>
  <c r="BG839" i="3"/>
  <c r="BG939" i="3"/>
  <c r="BG949" i="3"/>
  <c r="BG477" i="3"/>
  <c r="BG581" i="3"/>
  <c r="BG172" i="3"/>
  <c r="BG2" i="3"/>
  <c r="BG916" i="3"/>
  <c r="BG828" i="3"/>
  <c r="BG617" i="3"/>
  <c r="BG990" i="3"/>
  <c r="BG904" i="3"/>
  <c r="BG810" i="3"/>
  <c r="BG547" i="3"/>
  <c r="BG946" i="3"/>
  <c r="BG784" i="3"/>
  <c r="BG902" i="3"/>
  <c r="BG865" i="3"/>
  <c r="BG705" i="3"/>
  <c r="BG170" i="3"/>
  <c r="BG975" i="3"/>
  <c r="BG890" i="3"/>
  <c r="BG788" i="3"/>
  <c r="BG510" i="3"/>
  <c r="BG963" i="3"/>
  <c r="BG878" i="3"/>
  <c r="BG770" i="3"/>
  <c r="BG395" i="3"/>
  <c r="BG908" i="3"/>
  <c r="BG521" i="3"/>
  <c r="BG822" i="3"/>
  <c r="BG777" i="3"/>
  <c r="BG475" i="3"/>
  <c r="BG90" i="3"/>
  <c r="BG147" i="3"/>
  <c r="BG548" i="3"/>
  <c r="BG341" i="3"/>
  <c r="BG613" i="3"/>
  <c r="BG811" i="3"/>
  <c r="BG513" i="3"/>
  <c r="BG732" i="3"/>
  <c r="BG514" i="3"/>
  <c r="BG706" i="3"/>
  <c r="BG793" i="3"/>
  <c r="BG881" i="3"/>
  <c r="BG965" i="3"/>
  <c r="BG558" i="3"/>
  <c r="BG848" i="3"/>
  <c r="BG960" i="3"/>
  <c r="BG606" i="3"/>
  <c r="BG860" i="3"/>
  <c r="BG919" i="3"/>
  <c r="BG972" i="3"/>
  <c r="BG427" i="3"/>
  <c r="BG654" i="3"/>
  <c r="BG778" i="3"/>
  <c r="BG840" i="3"/>
  <c r="BG883" i="3"/>
  <c r="BG926" i="3"/>
  <c r="BG968" i="3"/>
  <c r="BG229" i="3"/>
  <c r="BG531" i="3"/>
  <c r="BG702" i="3"/>
  <c r="BG796" i="3"/>
  <c r="BG852" i="3"/>
  <c r="BG895" i="3"/>
  <c r="BG938" i="3"/>
  <c r="BG980" i="3"/>
  <c r="BG362" i="3"/>
  <c r="BG334" i="3"/>
  <c r="BG628" i="3"/>
  <c r="BG461" i="3"/>
  <c r="BG693" i="3"/>
  <c r="BG239" i="3"/>
  <c r="BG587" i="3"/>
  <c r="BG245" i="3"/>
  <c r="BG594" i="3"/>
  <c r="BG737" i="3"/>
  <c r="BG821" i="3"/>
  <c r="BG905" i="3"/>
  <c r="BG993" i="3"/>
  <c r="BG707" i="3"/>
  <c r="BG880" i="3"/>
  <c r="BG998" i="3"/>
  <c r="BG746" i="3"/>
  <c r="BG882" i="3"/>
  <c r="BG940" i="3"/>
  <c r="BG994" i="3"/>
  <c r="BG526" i="3"/>
  <c r="BG718" i="3"/>
  <c r="BG802" i="3"/>
  <c r="BG856" i="3"/>
  <c r="BG899" i="3"/>
  <c r="BG942" i="3"/>
  <c r="BG984" i="3"/>
  <c r="BG403" i="3"/>
  <c r="BG595" i="3"/>
  <c r="BG754" i="3"/>
  <c r="BG820" i="3"/>
  <c r="BG868" i="3"/>
  <c r="BG911" i="3"/>
  <c r="BG954" i="3"/>
  <c r="BG996" i="3"/>
  <c r="BG67" i="3"/>
  <c r="BG183" i="3"/>
  <c r="BG400" i="3"/>
  <c r="BG660" i="3"/>
  <c r="BG501" i="3"/>
  <c r="BG727" i="3"/>
  <c r="BG359" i="3"/>
  <c r="BG625" i="3"/>
  <c r="BG369" i="3"/>
  <c r="BG626" i="3"/>
  <c r="BG753" i="3"/>
  <c r="BG837" i="3"/>
  <c r="BG921" i="3"/>
  <c r="BG165" i="3"/>
  <c r="BG766" i="3"/>
  <c r="BG18" i="3"/>
  <c r="BG42" i="3"/>
  <c r="BG23" i="3"/>
  <c r="BG71" i="3"/>
  <c r="BG28" i="3"/>
  <c r="BG88" i="3"/>
  <c r="BG128" i="3"/>
  <c r="BG176" i="3"/>
  <c r="BG236" i="3"/>
  <c r="BG284" i="3"/>
  <c r="BG328" i="3"/>
  <c r="BG113" i="3"/>
  <c r="BG177" i="3"/>
  <c r="BG251" i="3"/>
  <c r="BG321" i="3"/>
  <c r="BG370" i="3"/>
  <c r="BG422" i="3"/>
  <c r="BG25" i="3"/>
  <c r="BG141" i="3"/>
  <c r="BG194" i="3"/>
  <c r="BG269" i="3"/>
  <c r="BG338" i="3"/>
  <c r="BG99" i="3"/>
  <c r="BG179" i="3"/>
  <c r="BG233" i="3"/>
  <c r="BG297" i="3"/>
  <c r="BG368" i="3"/>
  <c r="BG416" i="3"/>
  <c r="BG448" i="3"/>
  <c r="BG492" i="3"/>
  <c r="BG528" i="3"/>
  <c r="BG556" i="3"/>
  <c r="BG588" i="3"/>
  <c r="BG612" i="3"/>
  <c r="BG640" i="3"/>
  <c r="BG672" i="3"/>
  <c r="BG700" i="3"/>
  <c r="BG81" i="3"/>
  <c r="BG255" i="3"/>
  <c r="BG357" i="3"/>
  <c r="BG397" i="3"/>
  <c r="BG445" i="3"/>
  <c r="BG479" i="3"/>
  <c r="BG506" i="3"/>
  <c r="BG538" i="3"/>
  <c r="BG565" i="3"/>
  <c r="BG591" i="3"/>
  <c r="BG623" i="3"/>
  <c r="BG650" i="3"/>
  <c r="BG677" i="3"/>
  <c r="BG709" i="3"/>
  <c r="BG731" i="3"/>
  <c r="BG751" i="3"/>
  <c r="BG775" i="3"/>
  <c r="BG795" i="3"/>
  <c r="BG815" i="3"/>
  <c r="BG33" i="3"/>
  <c r="BG175" i="3"/>
  <c r="BG282" i="3"/>
  <c r="BG375" i="3"/>
  <c r="BG415" i="3"/>
  <c r="BG455" i="3"/>
  <c r="BG491" i="3"/>
  <c r="BG518" i="3"/>
  <c r="BG545" i="3"/>
  <c r="BG577" i="3"/>
  <c r="BG603" i="3"/>
  <c r="BG630" i="3"/>
  <c r="BG662" i="3"/>
  <c r="BG689" i="3"/>
  <c r="BG715" i="3"/>
  <c r="BG740" i="3"/>
  <c r="BG49" i="3"/>
  <c r="BG181" i="3"/>
  <c r="BG309" i="3"/>
  <c r="BG377" i="3"/>
  <c r="BG417" i="3"/>
  <c r="BG465" i="3"/>
  <c r="BG493" i="3"/>
  <c r="BG519" i="3"/>
  <c r="BG551" i="3"/>
  <c r="BG578" i="3"/>
  <c r="BG605" i="3"/>
  <c r="BG637" i="3"/>
  <c r="BG6" i="3"/>
  <c r="BG66" i="3"/>
  <c r="BG35" i="3"/>
  <c r="BG75" i="3"/>
  <c r="BG44" i="3"/>
  <c r="BG92" i="3"/>
  <c r="BG144" i="3"/>
  <c r="BG200" i="3"/>
  <c r="BG240" i="3"/>
  <c r="BG296" i="3"/>
  <c r="BG21" i="3"/>
  <c r="BG134" i="3"/>
  <c r="BG193" i="3"/>
  <c r="BG262" i="3"/>
  <c r="BG337" i="3"/>
  <c r="BG386" i="3"/>
  <c r="BG442" i="3"/>
  <c r="BG73" i="3"/>
  <c r="BG146" i="3"/>
  <c r="BG226" i="3"/>
  <c r="BG290" i="3"/>
  <c r="BG343" i="3"/>
  <c r="BG121" i="3"/>
  <c r="BG185" i="3"/>
  <c r="BG249" i="3"/>
  <c r="BG329" i="3"/>
  <c r="BG372" i="3"/>
  <c r="BG420" i="3"/>
  <c r="BG464" i="3"/>
  <c r="BG500" i="3"/>
  <c r="BG532" i="3"/>
  <c r="BG564" i="3"/>
  <c r="BG592" i="3"/>
  <c r="BG620" i="3"/>
  <c r="BG652" i="3"/>
  <c r="BG676" i="3"/>
  <c r="BG704" i="3"/>
  <c r="BG149" i="3"/>
  <c r="BG277" i="3"/>
  <c r="BG365" i="3"/>
  <c r="BG413" i="3"/>
  <c r="BG453" i="3"/>
  <c r="BG485" i="3"/>
  <c r="BG517" i="3"/>
  <c r="BG543" i="3"/>
  <c r="BG570" i="3"/>
  <c r="BG602" i="3"/>
  <c r="BG629" i="3"/>
  <c r="BG655" i="3"/>
  <c r="BG687" i="3"/>
  <c r="BG714" i="3"/>
  <c r="BG735" i="3"/>
  <c r="BG759" i="3"/>
  <c r="BG779" i="3"/>
  <c r="BG799" i="3"/>
  <c r="BG823" i="3"/>
  <c r="BG89" i="3"/>
  <c r="BG197" i="3"/>
  <c r="BG325" i="3"/>
  <c r="BG383" i="3"/>
  <c r="BG423" i="3"/>
  <c r="BG470" i="3"/>
  <c r="BG497" i="3"/>
  <c r="BG523" i="3"/>
  <c r="BG555" i="3"/>
  <c r="BG582" i="3"/>
  <c r="BG609" i="3"/>
  <c r="BG641" i="3"/>
  <c r="BG667" i="3"/>
  <c r="BG694" i="3"/>
  <c r="BG724" i="3"/>
  <c r="BG744" i="3"/>
  <c r="BG95" i="3"/>
  <c r="BG223" i="3"/>
  <c r="BG330" i="3"/>
  <c r="BG385" i="3"/>
  <c r="BG433" i="3"/>
  <c r="BG471" i="3"/>
  <c r="BG498" i="3"/>
  <c r="BG530" i="3"/>
  <c r="BG557" i="3"/>
  <c r="BG583" i="3"/>
  <c r="BG615" i="3"/>
  <c r="BG642" i="3"/>
  <c r="BG669" i="3"/>
  <c r="BG7" i="3"/>
  <c r="BG16" i="3"/>
  <c r="BG124" i="3"/>
  <c r="BG216" i="3"/>
  <c r="BG320" i="3"/>
  <c r="BG171" i="3"/>
  <c r="BG294" i="3"/>
  <c r="BG410" i="3"/>
  <c r="BG119" i="3"/>
  <c r="BG253" i="3"/>
  <c r="BG61" i="3"/>
  <c r="BG222" i="3"/>
  <c r="BG348" i="3"/>
  <c r="BG444" i="3"/>
  <c r="BG524" i="3"/>
  <c r="BG576" i="3"/>
  <c r="BG636" i="3"/>
  <c r="BG692" i="3"/>
  <c r="BG213" i="3"/>
  <c r="BG389" i="3"/>
  <c r="BG474" i="3"/>
  <c r="BG527" i="3"/>
  <c r="BG586" i="3"/>
  <c r="BG645" i="3"/>
  <c r="BG698" i="3"/>
  <c r="BG747" i="3"/>
  <c r="BG791" i="3"/>
  <c r="BG831" i="3"/>
  <c r="BG261" i="3"/>
  <c r="BG407" i="3"/>
  <c r="BG481" i="3"/>
  <c r="BG539" i="3"/>
  <c r="BG598" i="3"/>
  <c r="BG651" i="3"/>
  <c r="BG710" i="3"/>
  <c r="BG756" i="3"/>
  <c r="BG266" i="3"/>
  <c r="BG409" i="3"/>
  <c r="BG487" i="3"/>
  <c r="BG541" i="3"/>
  <c r="BG599" i="3"/>
  <c r="BG658" i="3"/>
  <c r="BG690" i="3"/>
  <c r="BG721" i="3"/>
  <c r="BG741" i="3"/>
  <c r="BG761" i="3"/>
  <c r="BG785" i="3"/>
  <c r="BG805" i="3"/>
  <c r="BG825" i="3"/>
  <c r="BG849" i="3"/>
  <c r="BG869" i="3"/>
  <c r="BG889" i="3"/>
  <c r="BG913" i="3"/>
  <c r="BG933" i="3"/>
  <c r="BG953" i="3"/>
  <c r="BG977" i="3"/>
  <c r="BG997" i="3"/>
  <c r="BG335" i="3"/>
  <c r="BG515" i="3"/>
  <c r="BG622" i="3"/>
  <c r="BG726" i="3"/>
  <c r="BG790" i="3"/>
  <c r="BG830" i="3"/>
  <c r="BG859" i="3"/>
  <c r="BG891" i="3"/>
  <c r="BG918" i="3"/>
  <c r="BG944" i="3"/>
  <c r="BG976" i="3"/>
  <c r="BG101" i="3"/>
  <c r="BG419" i="3"/>
  <c r="BG563" i="3"/>
  <c r="BG670" i="3"/>
  <c r="BG760" i="3"/>
  <c r="BG808" i="3"/>
  <c r="BG844" i="3"/>
  <c r="BG871" i="3"/>
  <c r="BG892" i="3"/>
  <c r="BG914" i="3"/>
  <c r="BG935" i="3"/>
  <c r="BG956" i="3"/>
  <c r="BG978" i="3"/>
  <c r="BG999" i="3"/>
  <c r="BG363" i="3"/>
  <c r="BG483" i="3"/>
  <c r="BG569" i="3"/>
  <c r="BG26" i="3"/>
  <c r="BG43" i="3"/>
  <c r="BG60" i="3"/>
  <c r="BG156" i="3"/>
  <c r="BG256" i="3"/>
  <c r="BG69" i="3"/>
  <c r="BG219" i="3"/>
  <c r="BG342" i="3"/>
  <c r="BG450" i="3"/>
  <c r="BG173" i="3"/>
  <c r="BG295" i="3"/>
  <c r="BG137" i="3"/>
  <c r="BG270" i="3"/>
  <c r="BG388" i="3"/>
  <c r="BG468" i="3"/>
  <c r="BG544" i="3"/>
  <c r="BG596" i="3"/>
  <c r="BG656" i="3"/>
  <c r="BG716" i="3"/>
  <c r="BG298" i="3"/>
  <c r="BG421" i="3"/>
  <c r="BG495" i="3"/>
  <c r="BG549" i="3"/>
  <c r="BG607" i="3"/>
  <c r="BG666" i="3"/>
  <c r="BG719" i="3"/>
  <c r="BG763" i="3"/>
  <c r="BG807" i="3"/>
  <c r="BG111" i="3"/>
  <c r="BG345" i="3"/>
  <c r="BG439" i="3"/>
  <c r="BG502" i="3"/>
  <c r="BG561" i="3"/>
  <c r="BG619" i="3"/>
  <c r="BG673" i="3"/>
  <c r="BG728" i="3"/>
  <c r="BG138" i="3"/>
  <c r="BG349" i="3"/>
  <c r="BG441" i="3"/>
  <c r="BG509" i="3"/>
  <c r="BG562" i="3"/>
  <c r="BG621" i="3"/>
  <c r="BG663" i="3"/>
  <c r="BG701" i="3"/>
  <c r="BG725" i="3"/>
  <c r="BG745" i="3"/>
  <c r="BG769" i="3"/>
  <c r="BG789" i="3"/>
  <c r="BG809" i="3"/>
  <c r="BG833" i="3"/>
  <c r="BG853" i="3"/>
  <c r="BG873" i="3"/>
  <c r="BG897" i="3"/>
  <c r="BG917" i="3"/>
  <c r="BG937" i="3"/>
  <c r="BG961" i="3"/>
  <c r="BG981" i="3"/>
  <c r="BG1001" i="3"/>
  <c r="BG411" i="3"/>
  <c r="BG537" i="3"/>
  <c r="BG643" i="3"/>
  <c r="BG758" i="3"/>
  <c r="BG798" i="3"/>
  <c r="BG838" i="3"/>
  <c r="BG870" i="3"/>
  <c r="BG896" i="3"/>
  <c r="BG923" i="3"/>
  <c r="BG955" i="3"/>
  <c r="BG982" i="3"/>
  <c r="BG186" i="3"/>
  <c r="BG478" i="3"/>
  <c r="BG585" i="3"/>
  <c r="BG691" i="3"/>
  <c r="BG776" i="3"/>
  <c r="BG816" i="3"/>
  <c r="BG850" i="3"/>
  <c r="BG991" i="3"/>
  <c r="BG970" i="3"/>
  <c r="BG948" i="3"/>
  <c r="BG927" i="3"/>
  <c r="BG906" i="3"/>
  <c r="BG884" i="3"/>
  <c r="BG863" i="3"/>
  <c r="BG842" i="3"/>
  <c r="BG812" i="3"/>
  <c r="BG780" i="3"/>
  <c r="BG738" i="3"/>
  <c r="BG659" i="3"/>
  <c r="BG574" i="3"/>
  <c r="BG489" i="3"/>
  <c r="BG371" i="3"/>
  <c r="BG1000" i="3"/>
  <c r="BG979" i="3"/>
  <c r="BG958" i="3"/>
  <c r="BG936" i="3"/>
  <c r="BG915" i="3"/>
  <c r="BG894" i="3"/>
  <c r="BG872" i="3"/>
  <c r="BG851" i="3"/>
  <c r="BG826" i="3"/>
  <c r="BG794" i="3"/>
  <c r="BG762" i="3"/>
  <c r="BG697" i="3"/>
  <c r="BG611" i="3"/>
  <c r="BG505" i="3"/>
  <c r="BG293" i="3"/>
  <c r="BG988" i="3"/>
  <c r="BG962" i="3"/>
  <c r="BG930" i="3"/>
  <c r="BG903" i="3"/>
  <c r="BG876" i="3"/>
  <c r="BG824" i="3"/>
  <c r="BG730" i="3"/>
  <c r="BG499" i="3"/>
  <c r="BG987" i="3"/>
  <c r="BG934" i="3"/>
  <c r="BG875" i="3"/>
  <c r="BG806" i="3"/>
  <c r="BG686" i="3"/>
  <c r="BG443" i="3"/>
  <c r="BG985" i="3"/>
  <c r="BG945" i="3"/>
  <c r="BG901" i="3"/>
  <c r="BG857" i="3"/>
  <c r="BG817" i="3"/>
  <c r="BG773" i="3"/>
  <c r="BG729" i="3"/>
  <c r="BG679" i="3"/>
  <c r="BG573" i="3"/>
  <c r="BG449" i="3"/>
  <c r="BG159" i="3"/>
  <c r="BG683" i="3"/>
  <c r="BG566" i="3"/>
  <c r="BG447" i="3"/>
  <c r="BG154" i="3"/>
  <c r="BG767" i="3"/>
  <c r="BG671" i="3"/>
  <c r="BG559" i="3"/>
  <c r="BG429" i="3"/>
  <c r="BG17" i="3"/>
  <c r="BG608" i="3"/>
  <c r="BG480" i="3"/>
  <c r="BG291" i="3"/>
  <c r="BG322" i="3"/>
  <c r="BG454" i="3"/>
  <c r="BG230" i="3"/>
  <c r="BG272" i="3"/>
  <c r="BG64" i="3"/>
  <c r="BG38" i="3"/>
  <c r="BG98" i="3"/>
  <c r="BG283" i="3"/>
  <c r="BG316" i="3"/>
  <c r="BG104" i="3"/>
  <c r="BG70" i="3"/>
  <c r="BG986" i="3"/>
  <c r="BG964" i="3"/>
  <c r="BG943" i="3"/>
  <c r="BG922" i="3"/>
  <c r="BG900" i="3"/>
  <c r="BG879" i="3"/>
  <c r="BG858" i="3"/>
  <c r="BG836" i="3"/>
  <c r="BG804" i="3"/>
  <c r="BG772" i="3"/>
  <c r="BG722" i="3"/>
  <c r="BG638" i="3"/>
  <c r="BG553" i="3"/>
  <c r="BG467" i="3"/>
  <c r="BG314" i="3"/>
  <c r="BG995" i="3"/>
  <c r="BG974" i="3"/>
  <c r="BG952" i="3"/>
  <c r="BG931" i="3"/>
  <c r="BG910" i="3"/>
  <c r="BG888" i="3"/>
  <c r="BG867" i="3"/>
  <c r="BG846" i="3"/>
  <c r="BG818" i="3"/>
  <c r="BG786" i="3"/>
  <c r="BG750" i="3"/>
  <c r="BG675" i="3"/>
  <c r="BG590" i="3"/>
  <c r="BG459" i="3"/>
  <c r="BG207" i="3"/>
  <c r="BG983" i="3"/>
  <c r="BG951" i="3"/>
  <c r="BG924" i="3"/>
  <c r="BG898" i="3"/>
  <c r="BG866" i="3"/>
  <c r="BG792" i="3"/>
  <c r="BG649" i="3"/>
  <c r="BG387" i="3"/>
  <c r="BG966" i="3"/>
  <c r="BG912" i="3"/>
  <c r="BG854" i="3"/>
  <c r="BG774" i="3"/>
  <c r="BG601" i="3"/>
  <c r="BG250" i="3"/>
  <c r="BG969" i="3"/>
  <c r="BG929" i="3"/>
  <c r="BG885" i="3"/>
  <c r="BG841" i="3"/>
  <c r="BG801" i="3"/>
  <c r="BG757" i="3"/>
  <c r="BG711" i="3"/>
  <c r="BG647" i="3"/>
  <c r="BG535" i="3"/>
  <c r="BG401" i="3"/>
  <c r="BG748" i="3"/>
  <c r="BG646" i="3"/>
  <c r="BG534" i="3"/>
  <c r="BG391" i="3"/>
  <c r="BG827" i="3"/>
  <c r="BG743" i="3"/>
  <c r="BG634" i="3"/>
  <c r="BG522" i="3"/>
  <c r="BG381" i="3"/>
  <c r="BG684" i="3"/>
  <c r="BG572" i="3"/>
  <c r="BG436" i="3"/>
  <c r="BG190" i="3"/>
  <c r="BG231" i="3"/>
  <c r="BG402" i="3"/>
  <c r="BG145" i="3"/>
  <c r="BG208" i="3"/>
  <c r="BG8" i="3"/>
  <c r="BG512" i="3"/>
  <c r="BG484" i="3"/>
  <c r="BG460" i="3"/>
  <c r="BG428" i="3"/>
  <c r="BG396" i="3"/>
  <c r="BG356" i="3"/>
  <c r="BG307" i="3"/>
  <c r="BG265" i="3"/>
  <c r="BG211" i="3"/>
  <c r="BG158" i="3"/>
  <c r="BG105" i="3"/>
  <c r="BG13" i="3"/>
  <c r="BG311" i="3"/>
  <c r="BG258" i="3"/>
  <c r="BG210" i="3"/>
  <c r="BG151" i="3"/>
  <c r="BG109" i="3"/>
  <c r="BG9" i="3"/>
  <c r="BG426" i="3"/>
  <c r="BG390" i="3"/>
  <c r="BG358" i="3"/>
  <c r="BG305" i="3"/>
  <c r="BG257" i="3"/>
  <c r="BG209" i="3"/>
  <c r="BG150" i="3"/>
  <c r="BG107" i="3"/>
  <c r="BG5" i="3"/>
  <c r="BG300" i="3"/>
  <c r="BG264" i="3"/>
  <c r="BG232" i="3"/>
  <c r="BG188" i="3"/>
  <c r="BG152" i="3"/>
  <c r="BG112" i="3"/>
  <c r="BG72" i="3"/>
  <c r="BG40" i="3"/>
  <c r="BG91" i="3"/>
  <c r="BG51" i="3"/>
  <c r="BG11" i="3"/>
  <c r="BG58" i="3"/>
  <c r="BG1" i="3"/>
  <c r="BG14" i="3"/>
  <c r="BG30" i="3"/>
  <c r="BG46" i="3"/>
  <c r="BG62" i="3"/>
  <c r="BG78" i="3"/>
  <c r="BG15" i="3"/>
  <c r="BG31" i="3"/>
  <c r="BG47" i="3"/>
  <c r="BG63" i="3"/>
  <c r="BG79" i="3"/>
  <c r="BG4" i="3"/>
  <c r="BG20" i="3"/>
  <c r="BG36" i="3"/>
  <c r="BG52" i="3"/>
  <c r="BG68" i="3"/>
  <c r="BG84" i="3"/>
  <c r="BG100" i="3"/>
  <c r="BG116" i="3"/>
  <c r="BG132" i="3"/>
  <c r="BG148" i="3"/>
  <c r="BG164" i="3"/>
  <c r="BG180" i="3"/>
  <c r="BG196" i="3"/>
  <c r="BG212" i="3"/>
  <c r="BG228" i="3"/>
  <c r="BG244" i="3"/>
  <c r="BG260" i="3"/>
  <c r="BG276" i="3"/>
  <c r="BG292" i="3"/>
  <c r="BG308" i="3"/>
  <c r="BG324" i="3"/>
  <c r="BG340" i="3"/>
  <c r="BG53" i="3"/>
  <c r="BG97" i="3"/>
  <c r="BG118" i="3"/>
  <c r="BG139" i="3"/>
  <c r="BG161" i="3"/>
  <c r="BG182" i="3"/>
  <c r="BG203" i="3"/>
  <c r="BG225" i="3"/>
  <c r="BG246" i="3"/>
  <c r="BG267" i="3"/>
  <c r="BG289" i="3"/>
  <c r="BG310" i="3"/>
  <c r="BG331" i="3"/>
  <c r="BG350" i="3"/>
  <c r="BG366" i="3"/>
  <c r="BG382" i="3"/>
  <c r="BG398" i="3"/>
  <c r="BG414" i="3"/>
  <c r="BG430" i="3"/>
  <c r="BG446" i="3"/>
  <c r="BG462" i="3"/>
  <c r="BG41" i="3"/>
  <c r="BG93" i="3"/>
  <c r="BG114" i="3"/>
  <c r="BG135" i="3"/>
  <c r="BG157" i="3"/>
  <c r="BG178" i="3"/>
  <c r="BG199" i="3"/>
  <c r="BG221" i="3"/>
  <c r="BG242" i="3"/>
  <c r="BG263" i="3"/>
  <c r="BG285" i="3"/>
  <c r="BG306" i="3"/>
  <c r="BG327" i="3"/>
  <c r="BG347" i="3"/>
  <c r="BG29" i="3"/>
  <c r="BG86" i="3"/>
  <c r="BG110" i="3"/>
  <c r="BG131" i="3"/>
  <c r="BG153" i="3"/>
  <c r="BG174" i="3"/>
  <c r="BG195" i="3"/>
  <c r="BG217" i="3"/>
  <c r="BG238" i="3"/>
  <c r="BG259" i="3"/>
  <c r="BG281" i="3"/>
  <c r="BG302" i="3"/>
  <c r="BG323" i="3"/>
  <c r="BG344" i="3"/>
  <c r="BG360" i="3"/>
  <c r="BG376" i="3"/>
  <c r="BG392" i="3"/>
  <c r="BG408" i="3"/>
  <c r="BG10" i="3"/>
  <c r="BG34" i="3"/>
  <c r="BG54" i="3"/>
  <c r="BG74" i="3"/>
  <c r="BG19" i="3"/>
  <c r="BG39" i="3"/>
  <c r="BG59" i="3"/>
  <c r="BG83" i="3"/>
  <c r="BG12" i="3"/>
  <c r="BG32" i="3"/>
  <c r="BG56" i="3"/>
  <c r="BG76" i="3"/>
  <c r="BG96" i="3"/>
  <c r="BG120" i="3"/>
  <c r="BG140" i="3"/>
  <c r="BG160" i="3"/>
  <c r="BG184" i="3"/>
  <c r="BG204" i="3"/>
  <c r="BG224" i="3"/>
  <c r="BG248" i="3"/>
  <c r="BG268" i="3"/>
  <c r="BG288" i="3"/>
  <c r="BG312" i="3"/>
  <c r="BG332" i="3"/>
  <c r="BG37" i="3"/>
  <c r="BG102" i="3"/>
  <c r="BG129" i="3"/>
  <c r="BG155" i="3"/>
  <c r="BG187" i="3"/>
  <c r="BG214" i="3"/>
  <c r="BG241" i="3"/>
  <c r="BG273" i="3"/>
  <c r="BG299" i="3"/>
  <c r="BG326" i="3"/>
  <c r="BG354" i="3"/>
  <c r="BG374" i="3"/>
  <c r="BG394" i="3"/>
  <c r="BG418" i="3"/>
  <c r="BG438" i="3"/>
  <c r="BG458" i="3"/>
  <c r="BG57" i="3"/>
  <c r="BG103" i="3"/>
  <c r="BG130" i="3"/>
  <c r="BG162" i="3"/>
  <c r="BG189" i="3"/>
  <c r="BG215" i="3"/>
  <c r="BG247" i="3"/>
  <c r="BG274" i="3"/>
  <c r="BG301" i="3"/>
  <c r="BG333" i="3"/>
  <c r="BG355" i="3"/>
  <c r="BG77" i="3"/>
  <c r="BG115" i="3"/>
  <c r="BG142" i="3"/>
  <c r="BG169" i="3"/>
  <c r="BG201" i="3"/>
  <c r="BG227" i="3"/>
  <c r="BG254" i="3"/>
  <c r="BG286" i="3"/>
  <c r="BG313" i="3"/>
  <c r="BG339" i="3"/>
  <c r="BG364" i="3"/>
  <c r="BG384" i="3"/>
  <c r="BG404" i="3"/>
  <c r="BG424" i="3"/>
  <c r="BG440" i="3"/>
  <c r="BG456" i="3"/>
  <c r="BG472" i="3"/>
  <c r="BG488" i="3"/>
  <c r="BG504" i="3"/>
  <c r="BG520" i="3"/>
  <c r="BG536" i="3"/>
  <c r="BG552" i="3"/>
  <c r="BG568" i="3"/>
  <c r="BG584" i="3"/>
  <c r="BG600" i="3"/>
  <c r="BG616" i="3"/>
  <c r="BG632" i="3"/>
  <c r="BG648" i="3"/>
  <c r="BG664" i="3"/>
  <c r="BG680" i="3"/>
  <c r="BG696" i="3"/>
  <c r="BG712" i="3"/>
  <c r="BG106" i="3"/>
  <c r="BG191" i="3"/>
  <c r="BG22" i="3"/>
  <c r="BG50" i="3"/>
  <c r="BG3" i="3"/>
  <c r="BG27" i="3"/>
  <c r="BG55" i="3"/>
  <c r="BG87" i="3"/>
  <c r="BG24" i="3"/>
  <c r="BG48" i="3"/>
  <c r="BG80" i="3"/>
  <c r="BG108" i="3"/>
  <c r="BG136" i="3"/>
  <c r="BG168" i="3"/>
  <c r="BG192" i="3"/>
  <c r="BG220" i="3"/>
  <c r="BG252" i="3"/>
  <c r="BG280" i="3"/>
  <c r="BG304" i="3"/>
  <c r="BG336" i="3"/>
  <c r="BG82" i="3"/>
  <c r="BG123" i="3"/>
  <c r="BG166" i="3"/>
  <c r="BG198" i="3"/>
  <c r="BG235" i="3"/>
  <c r="BG278" i="3"/>
  <c r="BG315" i="3"/>
  <c r="BG346" i="3"/>
  <c r="BG378" i="3"/>
  <c r="BG406" i="3"/>
  <c r="BG434" i="3"/>
  <c r="BG466" i="3"/>
  <c r="BG85" i="3"/>
  <c r="BG125" i="3"/>
  <c r="BG167" i="3"/>
  <c r="BG205" i="3"/>
  <c r="BG237" i="3"/>
  <c r="BG279" i="3"/>
  <c r="BG317" i="3"/>
  <c r="BG351" i="3"/>
  <c r="BG94" i="3"/>
  <c r="BG126" i="3"/>
  <c r="BG163" i="3"/>
  <c r="BG206" i="3"/>
  <c r="BG243" i="3"/>
  <c r="BG275" i="3"/>
  <c r="BG318" i="3"/>
  <c r="BG352" i="3"/>
  <c r="BG380" i="3"/>
  <c r="BG412" i="3"/>
  <c r="BG432" i="3"/>
  <c r="BG452" i="3"/>
  <c r="BG476" i="3"/>
  <c r="BG496" i="3"/>
  <c r="BG516" i="3"/>
  <c r="BG540" i="3"/>
  <c r="BG560" i="3"/>
  <c r="BG580" i="3"/>
  <c r="BG604" i="3"/>
  <c r="BG624" i="3"/>
  <c r="BG644" i="3"/>
  <c r="BG668" i="3"/>
  <c r="BG688" i="3"/>
  <c r="BG708" i="3"/>
  <c r="BG127" i="3"/>
  <c r="BG234" i="3"/>
  <c r="BG319" i="3"/>
  <c r="BG373" i="3"/>
  <c r="BG405" i="3"/>
  <c r="BG437" i="3"/>
  <c r="BG469" i="3"/>
  <c r="BG490" i="3"/>
  <c r="BG511" i="3"/>
  <c r="BG533" i="3"/>
  <c r="BG554" i="3"/>
  <c r="BG575" i="3"/>
  <c r="BG597" i="3"/>
  <c r="BG618" i="3"/>
  <c r="BG639" i="3"/>
  <c r="BG661" i="3"/>
  <c r="BG682" i="3"/>
  <c r="BG703" i="3"/>
  <c r="BG723" i="3"/>
  <c r="BG739" i="3"/>
  <c r="BG755" i="3"/>
  <c r="BG771" i="3"/>
  <c r="BG787" i="3"/>
  <c r="BG803" i="3"/>
  <c r="BG819" i="3"/>
  <c r="BG835" i="3"/>
  <c r="BG133" i="3"/>
  <c r="BG218" i="3"/>
  <c r="BG303" i="3"/>
  <c r="BG367" i="3"/>
  <c r="BG399" i="3"/>
  <c r="BG431" i="3"/>
  <c r="BG463" i="3"/>
  <c r="BG486" i="3"/>
  <c r="BG507" i="3"/>
  <c r="BG529" i="3"/>
  <c r="BG550" i="3"/>
  <c r="BG571" i="3"/>
  <c r="BG593" i="3"/>
  <c r="BG614" i="3"/>
  <c r="BG635" i="3"/>
  <c r="BG657" i="3"/>
  <c r="BG678" i="3"/>
  <c r="BG699" i="3"/>
  <c r="BG720" i="3"/>
  <c r="BG736" i="3"/>
  <c r="BG752" i="3"/>
  <c r="BG117" i="3"/>
  <c r="BG202" i="3"/>
  <c r="BG287" i="3"/>
  <c r="BG361" i="3"/>
  <c r="BG393" i="3"/>
  <c r="BG425" i="3"/>
  <c r="BG457" i="3"/>
  <c r="BG482" i="3"/>
  <c r="BG503" i="3"/>
  <c r="BG525" i="3"/>
  <c r="BG546" i="3"/>
  <c r="BG567" i="3"/>
  <c r="BG589" i="3"/>
  <c r="BG610" i="3"/>
  <c r="BG631" i="3"/>
  <c r="BG653" i="3"/>
  <c r="BG674" i="3"/>
  <c r="BG695" i="3"/>
  <c r="BG717" i="3"/>
  <c r="BG733" i="3"/>
  <c r="BG749" i="3"/>
  <c r="BG765" i="3"/>
  <c r="BG781" i="3"/>
  <c r="BG797" i="3"/>
  <c r="BG813" i="3"/>
  <c r="BG829" i="3"/>
  <c r="BG845" i="3"/>
  <c r="BG861" i="3"/>
  <c r="BG877" i="3"/>
  <c r="BG893" i="3"/>
  <c r="BG909" i="3"/>
  <c r="BG925" i="3"/>
  <c r="BG941" i="3"/>
  <c r="BG957" i="3"/>
  <c r="BG973" i="3"/>
  <c r="BG989" i="3"/>
  <c r="BG65" i="3"/>
  <c r="BG379" i="3"/>
  <c r="BG494" i="3"/>
  <c r="BG579" i="3"/>
  <c r="BG665" i="3"/>
  <c r="BG742" i="3"/>
  <c r="BG782" i="3"/>
  <c r="BG814" i="3"/>
  <c r="BG843" i="3"/>
  <c r="BG864" i="3"/>
  <c r="BG886" i="3"/>
  <c r="BG907" i="3"/>
  <c r="BG928" i="3"/>
  <c r="BG950" i="3"/>
  <c r="BG971" i="3"/>
  <c r="BG992" i="3"/>
  <c r="BG271" i="3"/>
  <c r="BG451" i="3"/>
  <c r="BG542" i="3"/>
  <c r="BG627" i="3"/>
  <c r="BG713" i="3"/>
  <c r="BG768" i="3"/>
  <c r="BG800" i="3"/>
  <c r="BG832" i="3"/>
  <c r="BG855" i="3"/>
  <c r="BH2" i="3"/>
  <c r="BH6" i="3"/>
  <c r="BH10" i="3"/>
  <c r="BH14" i="3"/>
  <c r="BH18" i="3"/>
  <c r="BH22" i="3"/>
  <c r="BH26" i="3"/>
  <c r="BH30" i="3"/>
  <c r="BH34" i="3"/>
  <c r="BH38" i="3"/>
  <c r="BH42" i="3"/>
  <c r="BH46" i="3"/>
  <c r="BH50" i="3"/>
  <c r="BH54" i="3"/>
  <c r="BH58" i="3"/>
  <c r="BH62" i="3"/>
  <c r="BH66" i="3"/>
  <c r="BH70" i="3"/>
  <c r="BH74" i="3"/>
  <c r="BH78" i="3"/>
  <c r="BH82" i="3"/>
  <c r="BH86" i="3"/>
  <c r="BH90" i="3"/>
  <c r="BH94" i="3"/>
  <c r="BH98" i="3"/>
  <c r="BH102" i="3"/>
  <c r="BH106" i="3"/>
  <c r="BH110" i="3"/>
  <c r="BH114" i="3"/>
  <c r="BH118" i="3"/>
  <c r="BH122" i="3"/>
  <c r="BH126" i="3"/>
  <c r="BH130" i="3"/>
  <c r="BH134" i="3"/>
  <c r="BH138" i="3"/>
  <c r="BH142" i="3"/>
  <c r="BH146" i="3"/>
  <c r="BH150" i="3"/>
  <c r="BH154" i="3"/>
  <c r="BH158" i="3"/>
  <c r="BH162" i="3"/>
  <c r="BH166" i="3"/>
  <c r="BH170" i="3"/>
  <c r="BH174" i="3"/>
  <c r="BH178" i="3"/>
  <c r="BH182" i="3"/>
  <c r="BH186" i="3"/>
  <c r="BH190" i="3"/>
  <c r="BH194" i="3"/>
  <c r="BH198" i="3"/>
  <c r="BH202" i="3"/>
  <c r="BH206" i="3"/>
  <c r="BH210" i="3"/>
  <c r="BH214" i="3"/>
  <c r="BH218" i="3"/>
  <c r="BH222" i="3"/>
  <c r="BH226" i="3"/>
  <c r="BH230" i="3"/>
  <c r="BH234" i="3"/>
  <c r="BH238" i="3"/>
  <c r="BH242" i="3"/>
  <c r="BH246" i="3"/>
  <c r="BH250" i="3"/>
  <c r="BH254" i="3"/>
  <c r="BH258" i="3"/>
  <c r="BH262" i="3"/>
  <c r="BH266" i="3"/>
  <c r="BH270" i="3"/>
  <c r="BH274" i="3"/>
  <c r="BH278" i="3"/>
  <c r="BH282" i="3"/>
  <c r="BH286" i="3"/>
  <c r="BH290" i="3"/>
  <c r="BH294" i="3"/>
  <c r="BH298" i="3"/>
  <c r="BH302" i="3"/>
  <c r="BH306" i="3"/>
  <c r="BH3" i="3"/>
  <c r="BH7" i="3"/>
  <c r="BH11" i="3"/>
  <c r="BH15" i="3"/>
  <c r="BH19" i="3"/>
  <c r="BH23" i="3"/>
  <c r="BH27" i="3"/>
  <c r="BH31" i="3"/>
  <c r="BH35" i="3"/>
  <c r="BH39" i="3"/>
  <c r="BH43" i="3"/>
  <c r="BH47" i="3"/>
  <c r="BH51" i="3"/>
  <c r="BH55" i="3"/>
  <c r="BH59" i="3"/>
  <c r="BH63" i="3"/>
  <c r="BH67" i="3"/>
  <c r="BH71" i="3"/>
  <c r="BH75" i="3"/>
  <c r="BH79" i="3"/>
  <c r="BH83" i="3"/>
  <c r="BH87" i="3"/>
  <c r="BH91" i="3"/>
  <c r="BH95" i="3"/>
  <c r="BH99" i="3"/>
  <c r="BH103" i="3"/>
  <c r="BH107" i="3"/>
  <c r="BH111" i="3"/>
  <c r="BH115" i="3"/>
  <c r="BH119" i="3"/>
  <c r="BH123" i="3"/>
  <c r="BH127" i="3"/>
  <c r="BH131" i="3"/>
  <c r="BH135" i="3"/>
  <c r="BH139" i="3"/>
  <c r="BH143" i="3"/>
  <c r="BH147" i="3"/>
  <c r="BH151" i="3"/>
  <c r="BH155" i="3"/>
  <c r="BH159" i="3"/>
  <c r="BH163" i="3"/>
  <c r="BH167" i="3"/>
  <c r="BH171" i="3"/>
  <c r="BH175" i="3"/>
  <c r="BH179" i="3"/>
  <c r="BH183" i="3"/>
  <c r="BH187" i="3"/>
  <c r="BH191" i="3"/>
  <c r="BH195" i="3"/>
  <c r="BH199" i="3"/>
  <c r="BH203" i="3"/>
  <c r="BH207" i="3"/>
  <c r="BH211" i="3"/>
  <c r="BH215" i="3"/>
  <c r="BH219" i="3"/>
  <c r="BH223" i="3"/>
  <c r="BH227" i="3"/>
  <c r="BH231" i="3"/>
  <c r="BH235" i="3"/>
  <c r="BH239" i="3"/>
  <c r="BH243" i="3"/>
  <c r="BH247" i="3"/>
  <c r="BH251" i="3"/>
  <c r="BH255" i="3"/>
  <c r="BH259" i="3"/>
  <c r="BH263" i="3"/>
  <c r="BH267" i="3"/>
  <c r="BH271" i="3"/>
  <c r="BH275" i="3"/>
  <c r="BH279" i="3"/>
  <c r="BH283" i="3"/>
  <c r="BH287" i="3"/>
  <c r="BH291" i="3"/>
  <c r="BH295" i="3"/>
  <c r="BH299" i="3"/>
  <c r="BH303" i="3"/>
  <c r="BH307" i="3"/>
  <c r="BH311" i="3"/>
  <c r="BH315" i="3"/>
  <c r="BH319" i="3"/>
  <c r="BH323" i="3"/>
  <c r="BH327" i="3"/>
  <c r="BH331" i="3"/>
  <c r="BH335" i="3"/>
  <c r="BH339" i="3"/>
  <c r="BH4" i="3"/>
  <c r="BH8" i="3"/>
  <c r="BH12" i="3"/>
  <c r="BH16" i="3"/>
  <c r="BH20" i="3"/>
  <c r="BH24" i="3"/>
  <c r="BH28" i="3"/>
  <c r="BH32" i="3"/>
  <c r="BH36" i="3"/>
  <c r="BH40" i="3"/>
  <c r="BH44" i="3"/>
  <c r="BH48" i="3"/>
  <c r="BH52" i="3"/>
  <c r="BH56" i="3"/>
  <c r="BH60" i="3"/>
  <c r="BH64" i="3"/>
  <c r="BH68" i="3"/>
  <c r="BH72" i="3"/>
  <c r="BH76" i="3"/>
  <c r="BH80" i="3"/>
  <c r="BH84" i="3"/>
  <c r="BH88" i="3"/>
  <c r="BH92" i="3"/>
  <c r="BH96" i="3"/>
  <c r="BH100" i="3"/>
  <c r="BH104" i="3"/>
  <c r="BH108" i="3"/>
  <c r="BH112" i="3"/>
  <c r="BH116" i="3"/>
  <c r="BH120" i="3"/>
  <c r="BH124" i="3"/>
  <c r="BH128" i="3"/>
  <c r="BH132" i="3"/>
  <c r="BH136" i="3"/>
  <c r="BH140" i="3"/>
  <c r="BH144" i="3"/>
  <c r="BH148" i="3"/>
  <c r="BH152" i="3"/>
  <c r="BH156" i="3"/>
  <c r="BH5" i="3"/>
  <c r="BH21" i="3"/>
  <c r="BH37" i="3"/>
  <c r="BH53" i="3"/>
  <c r="BH69" i="3"/>
  <c r="BH85" i="3"/>
  <c r="BH101" i="3"/>
  <c r="BH117" i="3"/>
  <c r="BH133" i="3"/>
  <c r="BH149" i="3"/>
  <c r="BH161" i="3"/>
  <c r="BH169" i="3"/>
  <c r="BH177" i="3"/>
  <c r="BH185" i="3"/>
  <c r="BH193" i="3"/>
  <c r="BH201" i="3"/>
  <c r="BH209" i="3"/>
  <c r="BH217" i="3"/>
  <c r="BH225" i="3"/>
  <c r="BH233" i="3"/>
  <c r="BH241" i="3"/>
  <c r="BH249" i="3"/>
  <c r="BH257" i="3"/>
  <c r="BH265" i="3"/>
  <c r="BH273" i="3"/>
  <c r="BH281" i="3"/>
  <c r="BH289" i="3"/>
  <c r="BH297" i="3"/>
  <c r="BH305" i="3"/>
  <c r="BH312" i="3"/>
  <c r="BH317" i="3"/>
  <c r="BH322" i="3"/>
  <c r="BH328" i="3"/>
  <c r="BH333" i="3"/>
  <c r="BH338" i="3"/>
  <c r="BH343" i="3"/>
  <c r="BH347" i="3"/>
  <c r="BH351" i="3"/>
  <c r="BH355" i="3"/>
  <c r="BH359" i="3"/>
  <c r="BH363" i="3"/>
  <c r="BH367" i="3"/>
  <c r="BH371" i="3"/>
  <c r="BH375" i="3"/>
  <c r="BH379" i="3"/>
  <c r="BH383" i="3"/>
  <c r="BH387" i="3"/>
  <c r="BH391" i="3"/>
  <c r="BH395" i="3"/>
  <c r="BH399" i="3"/>
  <c r="BH403" i="3"/>
  <c r="BH407" i="3"/>
  <c r="BH411" i="3"/>
  <c r="BH415" i="3"/>
  <c r="BH419" i="3"/>
  <c r="BH423" i="3"/>
  <c r="BH427" i="3"/>
  <c r="BH431" i="3"/>
  <c r="BH435" i="3"/>
  <c r="BH439" i="3"/>
  <c r="BH443" i="3"/>
  <c r="BH447" i="3"/>
  <c r="BH451" i="3"/>
  <c r="BH455" i="3"/>
  <c r="BH459" i="3"/>
  <c r="BH463" i="3"/>
  <c r="BH467" i="3"/>
  <c r="BH471" i="3"/>
  <c r="BH475" i="3"/>
  <c r="BH479" i="3"/>
  <c r="BH483" i="3"/>
  <c r="BH487" i="3"/>
  <c r="BH491" i="3"/>
  <c r="BH495" i="3"/>
  <c r="BH499" i="3"/>
  <c r="BH503" i="3"/>
  <c r="BH507" i="3"/>
  <c r="BH511" i="3"/>
  <c r="BH515" i="3"/>
  <c r="BH519" i="3"/>
  <c r="BH523" i="3"/>
  <c r="BH527" i="3"/>
  <c r="BH531" i="3"/>
  <c r="BH535" i="3"/>
  <c r="BH539" i="3"/>
  <c r="BH9" i="3"/>
  <c r="BH25" i="3"/>
  <c r="BH45" i="3"/>
  <c r="BH65" i="3"/>
  <c r="BH89" i="3"/>
  <c r="BH109" i="3"/>
  <c r="BH129" i="3"/>
  <c r="BH153" i="3"/>
  <c r="BH165" i="3"/>
  <c r="BH176" i="3"/>
  <c r="BH188" i="3"/>
  <c r="BH197" i="3"/>
  <c r="BH208" i="3"/>
  <c r="BH220" i="3"/>
  <c r="BH229" i="3"/>
  <c r="BH240" i="3"/>
  <c r="BH252" i="3"/>
  <c r="BH261" i="3"/>
  <c r="BH272" i="3"/>
  <c r="BH284" i="3"/>
  <c r="BH293" i="3"/>
  <c r="BH304" i="3"/>
  <c r="BH313" i="3"/>
  <c r="BH320" i="3"/>
  <c r="BH326" i="3"/>
  <c r="BH334" i="3"/>
  <c r="BH341" i="3"/>
  <c r="BH346" i="3"/>
  <c r="BH352" i="3"/>
  <c r="BH357" i="3"/>
  <c r="BH362" i="3"/>
  <c r="BH368" i="3"/>
  <c r="BH373" i="3"/>
  <c r="BH378" i="3"/>
  <c r="BH384" i="3"/>
  <c r="BH389" i="3"/>
  <c r="BH394" i="3"/>
  <c r="BH400" i="3"/>
  <c r="BH405" i="3"/>
  <c r="BH410" i="3"/>
  <c r="BH416" i="3"/>
  <c r="BH421" i="3"/>
  <c r="BH426" i="3"/>
  <c r="BH432" i="3"/>
  <c r="BH437" i="3"/>
  <c r="BH442" i="3"/>
  <c r="BH448" i="3"/>
  <c r="BH453" i="3"/>
  <c r="BH458" i="3"/>
  <c r="BH464" i="3"/>
  <c r="BH469" i="3"/>
  <c r="BH474" i="3"/>
  <c r="BH480" i="3"/>
  <c r="BH485" i="3"/>
  <c r="BH490" i="3"/>
  <c r="BH496" i="3"/>
  <c r="BH501" i="3"/>
  <c r="BH506" i="3"/>
  <c r="BH512" i="3"/>
  <c r="BH517" i="3"/>
  <c r="BH522" i="3"/>
  <c r="BH528" i="3"/>
  <c r="BH533" i="3"/>
  <c r="BH538" i="3"/>
  <c r="BH543" i="3"/>
  <c r="BH547" i="3"/>
  <c r="BH551" i="3"/>
  <c r="BH555" i="3"/>
  <c r="BH559" i="3"/>
  <c r="BH563" i="3"/>
  <c r="BH567" i="3"/>
  <c r="BH571" i="3"/>
  <c r="BH575" i="3"/>
  <c r="BH579" i="3"/>
  <c r="BH583" i="3"/>
  <c r="BH587" i="3"/>
  <c r="BH591" i="3"/>
  <c r="BH595" i="3"/>
  <c r="BH599" i="3"/>
  <c r="BH603" i="3"/>
  <c r="BH607" i="3"/>
  <c r="BH611" i="3"/>
  <c r="BH615" i="3"/>
  <c r="BH619" i="3"/>
  <c r="BH623" i="3"/>
  <c r="BH627" i="3"/>
  <c r="BH13" i="3"/>
  <c r="BH41" i="3"/>
  <c r="BH73" i="3"/>
  <c r="BH97" i="3"/>
  <c r="BH125" i="3"/>
  <c r="BH157" i="3"/>
  <c r="BH172" i="3"/>
  <c r="BH184" i="3"/>
  <c r="BH200" i="3"/>
  <c r="BH213" i="3"/>
  <c r="BH228" i="3"/>
  <c r="BH244" i="3"/>
  <c r="BH256" i="3"/>
  <c r="BH269" i="3"/>
  <c r="BH285" i="3"/>
  <c r="BH300" i="3"/>
  <c r="BH310" i="3"/>
  <c r="BH321" i="3"/>
  <c r="BH330" i="3"/>
  <c r="BH340" i="3"/>
  <c r="BH348" i="3"/>
  <c r="BH354" i="3"/>
  <c r="BH361" i="3"/>
  <c r="BH369" i="3"/>
  <c r="BH376" i="3"/>
  <c r="BH382" i="3"/>
  <c r="BH390" i="3"/>
  <c r="BH397" i="3"/>
  <c r="BH404" i="3"/>
  <c r="BH412" i="3"/>
  <c r="BH418" i="3"/>
  <c r="BH425" i="3"/>
  <c r="BH433" i="3"/>
  <c r="BH440" i="3"/>
  <c r="BH446" i="3"/>
  <c r="BH454" i="3"/>
  <c r="BH461" i="3"/>
  <c r="BH468" i="3"/>
  <c r="BH476" i="3"/>
  <c r="BH482" i="3"/>
  <c r="BH489" i="3"/>
  <c r="BH497" i="3"/>
  <c r="BH504" i="3"/>
  <c r="BH510" i="3"/>
  <c r="BH518" i="3"/>
  <c r="BH525" i="3"/>
  <c r="BH532" i="3"/>
  <c r="BH540" i="3"/>
  <c r="BH545" i="3"/>
  <c r="BH550" i="3"/>
  <c r="BH556" i="3"/>
  <c r="BH561" i="3"/>
  <c r="BH566" i="3"/>
  <c r="BH572" i="3"/>
  <c r="BH577" i="3"/>
  <c r="BH582" i="3"/>
  <c r="BH588" i="3"/>
  <c r="BH593" i="3"/>
  <c r="BH598" i="3"/>
  <c r="BH604" i="3"/>
  <c r="BH609" i="3"/>
  <c r="BH614" i="3"/>
  <c r="BH620" i="3"/>
  <c r="BH625" i="3"/>
  <c r="BH630" i="3"/>
  <c r="BH634" i="3"/>
  <c r="BH638" i="3"/>
  <c r="BH642" i="3"/>
  <c r="BH646" i="3"/>
  <c r="BH650" i="3"/>
  <c r="BH654" i="3"/>
  <c r="BH658" i="3"/>
  <c r="BH662" i="3"/>
  <c r="BH666" i="3"/>
  <c r="BH670" i="3"/>
  <c r="BH674" i="3"/>
  <c r="BH678" i="3"/>
  <c r="BH682" i="3"/>
  <c r="BH686" i="3"/>
  <c r="BH690" i="3"/>
  <c r="BH694" i="3"/>
  <c r="BH698" i="3"/>
  <c r="BH702" i="3"/>
  <c r="BH706" i="3"/>
  <c r="BH710" i="3"/>
  <c r="BH714" i="3"/>
  <c r="BH718" i="3"/>
  <c r="BH722" i="3"/>
  <c r="BH726" i="3"/>
  <c r="BH730" i="3"/>
  <c r="BH734" i="3"/>
  <c r="BH738" i="3"/>
  <c r="BH742" i="3"/>
  <c r="BH746" i="3"/>
  <c r="BH750" i="3"/>
  <c r="BH754" i="3"/>
  <c r="BH758" i="3"/>
  <c r="BH762" i="3"/>
  <c r="BH766" i="3"/>
  <c r="BH770" i="3"/>
  <c r="BH774" i="3"/>
  <c r="BH778" i="3"/>
  <c r="BH782" i="3"/>
  <c r="BH786" i="3"/>
  <c r="BH790" i="3"/>
  <c r="BH794" i="3"/>
  <c r="BH798" i="3"/>
  <c r="BH802" i="3"/>
  <c r="BH806" i="3"/>
  <c r="BH810" i="3"/>
  <c r="BH814" i="3"/>
  <c r="BH818" i="3"/>
  <c r="BH822" i="3"/>
  <c r="BH826" i="3"/>
  <c r="BH830" i="3"/>
  <c r="BH834" i="3"/>
  <c r="BH838" i="3"/>
  <c r="BH842" i="3"/>
  <c r="BH846" i="3"/>
  <c r="BH850" i="3"/>
  <c r="BH854" i="3"/>
  <c r="BH858" i="3"/>
  <c r="BH862" i="3"/>
  <c r="BH866" i="3"/>
  <c r="BH870" i="3"/>
  <c r="BH874" i="3"/>
  <c r="BH878" i="3"/>
  <c r="BH882" i="3"/>
  <c r="BH886" i="3"/>
  <c r="BH890" i="3"/>
  <c r="BH894" i="3"/>
  <c r="BH898" i="3"/>
  <c r="BH902" i="3"/>
  <c r="BH906" i="3"/>
  <c r="BH910" i="3"/>
  <c r="BH914" i="3"/>
  <c r="BH918" i="3"/>
  <c r="BH922" i="3"/>
  <c r="BH926" i="3"/>
  <c r="BH930" i="3"/>
  <c r="BH934" i="3"/>
  <c r="BH938" i="3"/>
  <c r="BH942" i="3"/>
  <c r="BH946" i="3"/>
  <c r="BH950" i="3"/>
  <c r="BH954" i="3"/>
  <c r="BH958" i="3"/>
  <c r="BH962" i="3"/>
  <c r="BH966" i="3"/>
  <c r="BH970" i="3"/>
  <c r="BH974" i="3"/>
  <c r="BH978" i="3"/>
  <c r="BH982" i="3"/>
  <c r="BH986" i="3"/>
  <c r="BH990" i="3"/>
  <c r="BH994" i="3"/>
  <c r="BH998" i="3"/>
  <c r="BH17" i="3"/>
  <c r="BH49" i="3"/>
  <c r="BH77" i="3"/>
  <c r="BH105" i="3"/>
  <c r="BH137" i="3"/>
  <c r="BH160" i="3"/>
  <c r="BH173" i="3"/>
  <c r="BH189" i="3"/>
  <c r="BH204" i="3"/>
  <c r="BH216" i="3"/>
  <c r="BH232" i="3"/>
  <c r="BH245" i="3"/>
  <c r="BH260" i="3"/>
  <c r="BH276" i="3"/>
  <c r="BH288" i="3"/>
  <c r="BH301" i="3"/>
  <c r="BH314" i="3"/>
  <c r="BH324" i="3"/>
  <c r="BH332" i="3"/>
  <c r="BH342" i="3"/>
  <c r="BH349" i="3"/>
  <c r="BH356" i="3"/>
  <c r="BH364" i="3"/>
  <c r="BH370" i="3"/>
  <c r="BH377" i="3"/>
  <c r="BH385" i="3"/>
  <c r="BH392" i="3"/>
  <c r="BH398" i="3"/>
  <c r="BH406" i="3"/>
  <c r="BH413" i="3"/>
  <c r="BH420" i="3"/>
  <c r="BH428" i="3"/>
  <c r="BH434" i="3"/>
  <c r="BH441" i="3"/>
  <c r="BH449" i="3"/>
  <c r="BH456" i="3"/>
  <c r="BH462" i="3"/>
  <c r="BH470" i="3"/>
  <c r="BH477" i="3"/>
  <c r="BH484" i="3"/>
  <c r="BH492" i="3"/>
  <c r="BH498" i="3"/>
  <c r="BH505" i="3"/>
  <c r="BH513" i="3"/>
  <c r="BH520" i="3"/>
  <c r="BH526" i="3"/>
  <c r="BH534" i="3"/>
  <c r="BH541" i="3"/>
  <c r="BH546" i="3"/>
  <c r="BH552" i="3"/>
  <c r="BH557" i="3"/>
  <c r="BH562" i="3"/>
  <c r="BH568" i="3"/>
  <c r="BH573" i="3"/>
  <c r="BH578" i="3"/>
  <c r="BH584" i="3"/>
  <c r="BH589" i="3"/>
  <c r="BH594" i="3"/>
  <c r="BH600" i="3"/>
  <c r="BH605" i="3"/>
  <c r="BH610" i="3"/>
  <c r="BH616" i="3"/>
  <c r="BH621" i="3"/>
  <c r="BH626" i="3"/>
  <c r="BH631" i="3"/>
  <c r="BH635" i="3"/>
  <c r="BH639" i="3"/>
  <c r="BH643" i="3"/>
  <c r="BH647" i="3"/>
  <c r="BH651" i="3"/>
  <c r="BH655" i="3"/>
  <c r="BH659" i="3"/>
  <c r="BH663" i="3"/>
  <c r="BH667" i="3"/>
  <c r="BH671" i="3"/>
  <c r="BH675" i="3"/>
  <c r="BH679" i="3"/>
  <c r="BH683" i="3"/>
  <c r="BH687" i="3"/>
  <c r="BH691" i="3"/>
  <c r="BH695" i="3"/>
  <c r="BH699" i="3"/>
  <c r="BH703" i="3"/>
  <c r="BH707" i="3"/>
  <c r="BH711" i="3"/>
  <c r="BH715" i="3"/>
  <c r="BH719" i="3"/>
  <c r="BH723" i="3"/>
  <c r="BH727" i="3"/>
  <c r="BH731" i="3"/>
  <c r="BH735" i="3"/>
  <c r="BH739" i="3"/>
  <c r="BH743" i="3"/>
  <c r="BH747" i="3"/>
  <c r="BH751" i="3"/>
  <c r="BH755" i="3"/>
  <c r="BH759" i="3"/>
  <c r="BH763" i="3"/>
  <c r="BH767" i="3"/>
  <c r="BH771" i="3"/>
  <c r="BH775" i="3"/>
  <c r="BH779" i="3"/>
  <c r="BH783" i="3"/>
  <c r="BH787" i="3"/>
  <c r="BH791" i="3"/>
  <c r="BH795" i="3"/>
  <c r="BH799" i="3"/>
  <c r="BH803" i="3"/>
  <c r="BH807" i="3"/>
  <c r="BH811" i="3"/>
  <c r="BH815" i="3"/>
  <c r="BH819" i="3"/>
  <c r="BH823" i="3"/>
  <c r="BH827" i="3"/>
  <c r="BH831" i="3"/>
  <c r="BH835" i="3"/>
  <c r="BH839" i="3"/>
  <c r="BH843" i="3"/>
  <c r="BH847" i="3"/>
  <c r="BH851" i="3"/>
  <c r="BH855" i="3"/>
  <c r="BH859" i="3"/>
  <c r="BH863" i="3"/>
  <c r="BH867" i="3"/>
  <c r="BH871" i="3"/>
  <c r="BH875" i="3"/>
  <c r="BH879" i="3"/>
  <c r="BH883" i="3"/>
  <c r="BH887" i="3"/>
  <c r="BH891" i="3"/>
  <c r="BH895" i="3"/>
  <c r="BH899" i="3"/>
  <c r="BH903" i="3"/>
  <c r="BH907" i="3"/>
  <c r="BH911" i="3"/>
  <c r="BH915" i="3"/>
  <c r="BH919" i="3"/>
  <c r="BH923" i="3"/>
  <c r="BH927" i="3"/>
  <c r="BH931" i="3"/>
  <c r="BH935" i="3"/>
  <c r="BH939" i="3"/>
  <c r="BH943" i="3"/>
  <c r="BH947" i="3"/>
  <c r="BH951" i="3"/>
  <c r="BH955" i="3"/>
  <c r="BH959" i="3"/>
  <c r="BH963" i="3"/>
  <c r="BH967" i="3"/>
  <c r="BH971" i="3"/>
  <c r="BH975" i="3"/>
  <c r="BH979" i="3"/>
  <c r="BH983" i="3"/>
  <c r="BH987" i="3"/>
  <c r="BH991" i="3"/>
  <c r="BH995" i="3"/>
  <c r="BH999" i="3"/>
  <c r="BH29" i="3"/>
  <c r="BH57" i="3"/>
  <c r="BH81" i="3"/>
  <c r="BH113" i="3"/>
  <c r="BH141" i="3"/>
  <c r="BH164" i="3"/>
  <c r="BH180" i="3"/>
  <c r="BH192" i="3"/>
  <c r="BH205" i="3"/>
  <c r="BH221" i="3"/>
  <c r="BH236" i="3"/>
  <c r="BH248" i="3"/>
  <c r="BH264" i="3"/>
  <c r="BH33" i="3"/>
  <c r="BH145" i="3"/>
  <c r="BH212" i="3"/>
  <c r="BH268" i="3"/>
  <c r="BH296" i="3"/>
  <c r="BH318" i="3"/>
  <c r="BH337" i="3"/>
  <c r="BH353" i="3"/>
  <c r="BH366" i="3"/>
  <c r="BH381" i="3"/>
  <c r="BH396" i="3"/>
  <c r="BH409" i="3"/>
  <c r="BH424" i="3"/>
  <c r="BH438" i="3"/>
  <c r="BH452" i="3"/>
  <c r="BH466" i="3"/>
  <c r="BH481" i="3"/>
  <c r="BH494" i="3"/>
  <c r="BH509" i="3"/>
  <c r="BH524" i="3"/>
  <c r="BH537" i="3"/>
  <c r="BH549" i="3"/>
  <c r="BH560" i="3"/>
  <c r="BH570" i="3"/>
  <c r="BH581" i="3"/>
  <c r="BH592" i="3"/>
  <c r="BH602" i="3"/>
  <c r="BH613" i="3"/>
  <c r="BH624" i="3"/>
  <c r="BH633" i="3"/>
  <c r="BH641" i="3"/>
  <c r="BH649" i="3"/>
  <c r="BH657" i="3"/>
  <c r="BH665" i="3"/>
  <c r="BH673" i="3"/>
  <c r="BH681" i="3"/>
  <c r="BH689" i="3"/>
  <c r="BH697" i="3"/>
  <c r="BH705" i="3"/>
  <c r="BH713" i="3"/>
  <c r="BH721" i="3"/>
  <c r="BH729" i="3"/>
  <c r="BH737" i="3"/>
  <c r="BH745" i="3"/>
  <c r="BH753" i="3"/>
  <c r="BH761" i="3"/>
  <c r="BH769" i="3"/>
  <c r="BH777" i="3"/>
  <c r="BH785" i="3"/>
  <c r="BH793" i="3"/>
  <c r="BH801" i="3"/>
  <c r="BH809" i="3"/>
  <c r="BH817" i="3"/>
  <c r="BH825" i="3"/>
  <c r="BH833" i="3"/>
  <c r="BH841" i="3"/>
  <c r="BH849" i="3"/>
  <c r="BH857" i="3"/>
  <c r="BH865" i="3"/>
  <c r="BH873" i="3"/>
  <c r="BH881" i="3"/>
  <c r="BH889" i="3"/>
  <c r="BH897" i="3"/>
  <c r="BH905" i="3"/>
  <c r="BH913" i="3"/>
  <c r="BH921" i="3"/>
  <c r="BH929" i="3"/>
  <c r="BH937" i="3"/>
  <c r="BH945" i="3"/>
  <c r="BH953" i="3"/>
  <c r="BH961" i="3"/>
  <c r="BH969" i="3"/>
  <c r="BH977" i="3"/>
  <c r="BH985" i="3"/>
  <c r="BH993" i="3"/>
  <c r="BH1001" i="3"/>
  <c r="BH565" i="3"/>
  <c r="BH709" i="3"/>
  <c r="BH741" i="3"/>
  <c r="BH757" i="3"/>
  <c r="BH773" i="3"/>
  <c r="BH797" i="3"/>
  <c r="BH813" i="3"/>
  <c r="BH829" i="3"/>
  <c r="BH845" i="3"/>
  <c r="BH861" i="3"/>
  <c r="BH877" i="3"/>
  <c r="BH893" i="3"/>
  <c r="BH909" i="3"/>
  <c r="BH925" i="3"/>
  <c r="BH941" i="3"/>
  <c r="BH957" i="3"/>
  <c r="BH973" i="3"/>
  <c r="BH989" i="3"/>
  <c r="BH121" i="3"/>
  <c r="BH196" i="3"/>
  <c r="BH253" i="3"/>
  <c r="BH292" i="3"/>
  <c r="BH316" i="3"/>
  <c r="BH336" i="3"/>
  <c r="BH350" i="3"/>
  <c r="BH365" i="3"/>
  <c r="BH380" i="3"/>
  <c r="BH393" i="3"/>
  <c r="BH408" i="3"/>
  <c r="BH422" i="3"/>
  <c r="BH436" i="3"/>
  <c r="BH450" i="3"/>
  <c r="BH465" i="3"/>
  <c r="BH478" i="3"/>
  <c r="BH493" i="3"/>
  <c r="BH508" i="3"/>
  <c r="BH521" i="3"/>
  <c r="BH536" i="3"/>
  <c r="BH548" i="3"/>
  <c r="BH558" i="3"/>
  <c r="BH580" i="3"/>
  <c r="BH590" i="3"/>
  <c r="BH601" i="3"/>
  <c r="BH612" i="3"/>
  <c r="BH622" i="3"/>
  <c r="BH632" i="3"/>
  <c r="BH640" i="3"/>
  <c r="BH648" i="3"/>
  <c r="BH664" i="3"/>
  <c r="BH672" i="3"/>
  <c r="BH688" i="3"/>
  <c r="BH696" i="3"/>
  <c r="BH712" i="3"/>
  <c r="BH736" i="3"/>
  <c r="BH752" i="3"/>
  <c r="BH768" i="3"/>
  <c r="BH776" i="3"/>
  <c r="BH792" i="3"/>
  <c r="BH808" i="3"/>
  <c r="BH824" i="3"/>
  <c r="BH840" i="3"/>
  <c r="BH856" i="3"/>
  <c r="BH872" i="3"/>
  <c r="BH888" i="3"/>
  <c r="BH904" i="3"/>
  <c r="BH920" i="3"/>
  <c r="BH936" i="3"/>
  <c r="BH952" i="3"/>
  <c r="BH968" i="3"/>
  <c r="BH984" i="3"/>
  <c r="BH1000" i="3"/>
  <c r="BH61" i="3"/>
  <c r="BH168" i="3"/>
  <c r="BH224" i="3"/>
  <c r="BH277" i="3"/>
  <c r="BH308" i="3"/>
  <c r="BH325" i="3"/>
  <c r="BH344" i="3"/>
  <c r="BH358" i="3"/>
  <c r="BH372" i="3"/>
  <c r="BH386" i="3"/>
  <c r="BH401" i="3"/>
  <c r="BH414" i="3"/>
  <c r="BH429" i="3"/>
  <c r="BH444" i="3"/>
  <c r="BH457" i="3"/>
  <c r="BH472" i="3"/>
  <c r="BH486" i="3"/>
  <c r="BH500" i="3"/>
  <c r="BH514" i="3"/>
  <c r="BH529" i="3"/>
  <c r="BH542" i="3"/>
  <c r="BH553" i="3"/>
  <c r="BH564" i="3"/>
  <c r="BH574" i="3"/>
  <c r="BH585" i="3"/>
  <c r="BH596" i="3"/>
  <c r="BH606" i="3"/>
  <c r="BH617" i="3"/>
  <c r="BH628" i="3"/>
  <c r="BH636" i="3"/>
  <c r="BH644" i="3"/>
  <c r="BH652" i="3"/>
  <c r="BH660" i="3"/>
  <c r="BH668" i="3"/>
  <c r="BH676" i="3"/>
  <c r="BH684" i="3"/>
  <c r="BH692" i="3"/>
  <c r="BH700" i="3"/>
  <c r="BH708" i="3"/>
  <c r="BH716" i="3"/>
  <c r="BH724" i="3"/>
  <c r="BH732" i="3"/>
  <c r="BH740" i="3"/>
  <c r="BH748" i="3"/>
  <c r="BH756" i="3"/>
  <c r="BH764" i="3"/>
  <c r="BH772" i="3"/>
  <c r="BH780" i="3"/>
  <c r="BH788" i="3"/>
  <c r="BH796" i="3"/>
  <c r="BH804" i="3"/>
  <c r="BH812" i="3"/>
  <c r="BH820" i="3"/>
  <c r="BH828" i="3"/>
  <c r="BH836" i="3"/>
  <c r="BH844" i="3"/>
  <c r="BH852" i="3"/>
  <c r="BH860" i="3"/>
  <c r="BH868" i="3"/>
  <c r="BH876" i="3"/>
  <c r="BH884" i="3"/>
  <c r="BH892" i="3"/>
  <c r="BH900" i="3"/>
  <c r="BH908" i="3"/>
  <c r="BH916" i="3"/>
  <c r="BH924" i="3"/>
  <c r="BH932" i="3"/>
  <c r="BH940" i="3"/>
  <c r="BH948" i="3"/>
  <c r="BH956" i="3"/>
  <c r="BH964" i="3"/>
  <c r="BH972" i="3"/>
  <c r="BH980" i="3"/>
  <c r="BH988" i="3"/>
  <c r="BH996" i="3"/>
  <c r="BH93" i="3"/>
  <c r="BH181" i="3"/>
  <c r="BH237" i="3"/>
  <c r="BH280" i="3"/>
  <c r="BH309" i="3"/>
  <c r="BH329" i="3"/>
  <c r="BH345" i="3"/>
  <c r="BH360" i="3"/>
  <c r="BH374" i="3"/>
  <c r="BH388" i="3"/>
  <c r="BH402" i="3"/>
  <c r="BH417" i="3"/>
  <c r="BH430" i="3"/>
  <c r="BH445" i="3"/>
  <c r="BH460" i="3"/>
  <c r="BH473" i="3"/>
  <c r="BH488" i="3"/>
  <c r="BH502" i="3"/>
  <c r="BH516" i="3"/>
  <c r="BH530" i="3"/>
  <c r="BH544" i="3"/>
  <c r="BH554" i="3"/>
  <c r="BH576" i="3"/>
  <c r="BH586" i="3"/>
  <c r="BH597" i="3"/>
  <c r="BH608" i="3"/>
  <c r="BH618" i="3"/>
  <c r="BH629" i="3"/>
  <c r="BH637" i="3"/>
  <c r="BH645" i="3"/>
  <c r="BH653" i="3"/>
  <c r="BH661" i="3"/>
  <c r="BH669" i="3"/>
  <c r="BH677" i="3"/>
  <c r="BH685" i="3"/>
  <c r="BH693" i="3"/>
  <c r="BH701" i="3"/>
  <c r="BH717" i="3"/>
  <c r="BH725" i="3"/>
  <c r="BH733" i="3"/>
  <c r="BH749" i="3"/>
  <c r="BH765" i="3"/>
  <c r="BH781" i="3"/>
  <c r="BH789" i="3"/>
  <c r="BH805" i="3"/>
  <c r="BH821" i="3"/>
  <c r="BH837" i="3"/>
  <c r="BH853" i="3"/>
  <c r="BH869" i="3"/>
  <c r="BH885" i="3"/>
  <c r="BH901" i="3"/>
  <c r="BH917" i="3"/>
  <c r="BH933" i="3"/>
  <c r="BH949" i="3"/>
  <c r="BH965" i="3"/>
  <c r="BH981" i="3"/>
  <c r="BH997" i="3"/>
  <c r="BH569" i="3"/>
  <c r="BH656" i="3"/>
  <c r="BH680" i="3"/>
  <c r="BH704" i="3"/>
  <c r="BH720" i="3"/>
  <c r="BH728" i="3"/>
  <c r="BH744" i="3"/>
  <c r="BH760" i="3"/>
  <c r="BH784" i="3"/>
  <c r="BH800" i="3"/>
  <c r="BH816" i="3"/>
  <c r="BH832" i="3"/>
  <c r="BH848" i="3"/>
  <c r="BH864" i="3"/>
  <c r="BH880" i="3"/>
  <c r="BH896" i="3"/>
  <c r="BH912" i="3"/>
  <c r="BH928" i="3"/>
  <c r="BH944" i="3"/>
  <c r="BH960" i="3"/>
  <c r="BH976" i="3"/>
  <c r="BH992" i="3"/>
  <c r="AV11" i="3"/>
  <c r="AV10" i="3"/>
  <c r="W35" i="4" l="1"/>
  <c r="BD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Amar</author>
  </authors>
  <commentList>
    <comment ref="P30" authorId="0" shapeId="0" xr:uid="{3FE55DBF-DB43-4543-99F2-5F7EAB388273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סעיף 203.4, עמ' 24-25</t>
        </r>
      </text>
    </comment>
    <comment ref="P31" authorId="0" shapeId="0" xr:uid="{06A09D3D-6709-45E9-B5EA-DCD5900E8808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ראה/י הגבלות בשימוש ברמות המשיכות השונות בסעיף 204.5, עמ' 27</t>
        </r>
      </text>
    </comment>
    <comment ref="U33" authorId="0" shapeId="0" xr:uid="{016DC262-A7DB-4FE9-B4A8-8062A10098A6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במבנים לא סדירים (מ-3 מערכות ההקשחה הראשונות ברשימה), ברמת משיכות בינונית וגבוהה, יוקטן ערך מקדם ההקטנה K ב-20%.</t>
        </r>
      </text>
    </comment>
    <comment ref="W33" authorId="0" shapeId="0" xr:uid="{A77D9708-A710-4A72-87C4-E92E99C1FA8D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תהיה התחשבות בערך זה באנליזה סטטית שקילה בלבד כאשר S1 &gt; 0.4.</t>
        </r>
      </text>
    </comment>
    <comment ref="P34" authorId="0" shapeId="0" xr:uid="{EDFC8F4E-7C1B-46F3-96E2-FA7D68C7F5C1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סעיף 203, עמ' 23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<sst xmlns="http://schemas.openxmlformats.org/spreadsheetml/2006/main" count="2708" uniqueCount="2655">
  <si>
    <t>בס"ד</t>
  </si>
  <si>
    <t>ספקטרום תגובה ומקדם תכן סיסמי</t>
  </si>
  <si>
    <t>חישוב ספקטרום תגובה</t>
  </si>
  <si>
    <t>מיקום</t>
  </si>
  <si>
    <t>ירושלים</t>
  </si>
  <si>
    <t>סוג קרקע</t>
  </si>
  <si>
    <t>E</t>
  </si>
  <si>
    <t>רמת חשיבות</t>
  </si>
  <si>
    <t>א</t>
  </si>
  <si>
    <t>מנת ריסון</t>
  </si>
  <si>
    <t>η</t>
  </si>
  <si>
    <t>Z</t>
  </si>
  <si>
    <t>Ss</t>
  </si>
  <si>
    <t>S1</t>
  </si>
  <si>
    <r>
      <t>S</t>
    </r>
    <r>
      <rPr>
        <vertAlign val="subscript"/>
        <sz val="10"/>
        <color theme="0"/>
        <rFont val="Tahoma"/>
        <family val="2"/>
      </rPr>
      <t>DS</t>
    </r>
    <r>
      <rPr>
        <sz val="10"/>
        <color theme="0"/>
        <rFont val="Tahoma"/>
        <family val="2"/>
      </rPr>
      <t>=F</t>
    </r>
    <r>
      <rPr>
        <vertAlign val="subscript"/>
        <sz val="10"/>
        <color theme="0"/>
        <rFont val="Tahoma"/>
        <family val="2"/>
      </rPr>
      <t>a</t>
    </r>
    <r>
      <rPr>
        <sz val="10"/>
        <color theme="0"/>
        <rFont val="Tahoma"/>
        <family val="2"/>
      </rPr>
      <t>S</t>
    </r>
    <r>
      <rPr>
        <vertAlign val="subscript"/>
        <sz val="10"/>
        <color theme="0"/>
        <rFont val="Tahoma"/>
        <family val="2"/>
      </rPr>
      <t>s</t>
    </r>
  </si>
  <si>
    <r>
      <t>F</t>
    </r>
    <r>
      <rPr>
        <vertAlign val="subscript"/>
        <sz val="11"/>
        <color theme="0"/>
        <rFont val="Tahoma"/>
        <family val="2"/>
      </rPr>
      <t>a</t>
    </r>
  </si>
  <si>
    <r>
      <t>S</t>
    </r>
    <r>
      <rPr>
        <vertAlign val="subscript"/>
        <sz val="10"/>
        <color theme="0"/>
        <rFont val="Tahoma"/>
        <family val="2"/>
      </rPr>
      <t>D1</t>
    </r>
    <r>
      <rPr>
        <sz val="10"/>
        <color theme="0"/>
        <rFont val="Tahoma"/>
        <family val="2"/>
      </rPr>
      <t>=F</t>
    </r>
    <r>
      <rPr>
        <vertAlign val="subscript"/>
        <sz val="10"/>
        <color theme="0"/>
        <rFont val="Tahoma"/>
        <family val="2"/>
      </rPr>
      <t>v</t>
    </r>
    <r>
      <rPr>
        <sz val="10"/>
        <color theme="0"/>
        <rFont val="Tahoma"/>
        <family val="2"/>
      </rPr>
      <t>S</t>
    </r>
    <r>
      <rPr>
        <vertAlign val="subscript"/>
        <sz val="10"/>
        <color theme="0"/>
        <rFont val="Tahoma"/>
        <family val="2"/>
      </rPr>
      <t>1</t>
    </r>
  </si>
  <si>
    <r>
      <t>F</t>
    </r>
    <r>
      <rPr>
        <vertAlign val="subscript"/>
        <sz val="11"/>
        <color theme="0"/>
        <rFont val="Tahoma"/>
        <family val="2"/>
      </rPr>
      <t>v</t>
    </r>
  </si>
  <si>
    <r>
      <t>T</t>
    </r>
    <r>
      <rPr>
        <vertAlign val="subscript"/>
        <sz val="10"/>
        <color theme="0"/>
        <rFont val="Tahoma"/>
        <family val="2"/>
      </rPr>
      <t>L</t>
    </r>
  </si>
  <si>
    <r>
      <t>T</t>
    </r>
    <r>
      <rPr>
        <vertAlign val="subscript"/>
        <sz val="10"/>
        <color theme="0"/>
        <rFont val="Tahoma"/>
        <family val="2"/>
      </rPr>
      <t>S</t>
    </r>
  </si>
  <si>
    <r>
      <t>T</t>
    </r>
    <r>
      <rPr>
        <vertAlign val="subscript"/>
        <sz val="10"/>
        <color theme="0"/>
        <rFont val="Tahoma"/>
        <family val="2"/>
      </rPr>
      <t>0</t>
    </r>
  </si>
  <si>
    <t>T</t>
  </si>
  <si>
    <t>I</t>
  </si>
  <si>
    <t>SaI/K</t>
  </si>
  <si>
    <t>רמת משיכות</t>
  </si>
  <si>
    <t>גבוהה</t>
  </si>
  <si>
    <t>0.2ZI</t>
  </si>
  <si>
    <t>מערכת הקשחה</t>
  </si>
  <si>
    <t>ארובות וממגורות מבטון מזוין יצוק באתר שקירותיהן יורדים עד למפלס היסודות, מגדלי קירור, שלטים, אצטבות במחסנים</t>
  </si>
  <si>
    <t>0.015I</t>
  </si>
  <si>
    <t>אנליזה</t>
  </si>
  <si>
    <t>סטטית שקילה</t>
  </si>
  <si>
    <t>0.75S1I/K</t>
  </si>
  <si>
    <t>מבנה</t>
  </si>
  <si>
    <t>לא סדיר</t>
  </si>
  <si>
    <r>
      <t>S</t>
    </r>
    <r>
      <rPr>
        <vertAlign val="subscript"/>
        <sz val="16"/>
        <color theme="0"/>
        <rFont val="Tahoma"/>
        <family val="2"/>
      </rPr>
      <t>a</t>
    </r>
    <r>
      <rPr>
        <sz val="16"/>
        <color theme="0"/>
        <rFont val="Tahoma"/>
        <family val="2"/>
      </rPr>
      <t>(T)</t>
    </r>
  </si>
  <si>
    <r>
      <t>C</t>
    </r>
    <r>
      <rPr>
        <vertAlign val="subscript"/>
        <sz val="16"/>
        <color theme="0"/>
        <rFont val="Tahoma"/>
        <family val="2"/>
      </rPr>
      <t>d</t>
    </r>
  </si>
  <si>
    <t>שם היישוב</t>
  </si>
  <si>
    <t>נקודת ציון מרכזית (במערכת קואורדינטות חדשות)</t>
  </si>
  <si>
    <t>1</t>
  </si>
  <si>
    <t>TL</t>
  </si>
  <si>
    <t>2</t>
  </si>
  <si>
    <t>אבו ג'ווייעד (שבט)</t>
  </si>
  <si>
    <t>A</t>
  </si>
  <si>
    <t>נמוכה</t>
  </si>
  <si>
    <t>בתי חולים , תחנות מכבי אש, תחנות משטרה...</t>
  </si>
  <si>
    <t>3</t>
  </si>
  <si>
    <t>אבו גוש</t>
  </si>
  <si>
    <t>B</t>
  </si>
  <si>
    <t>בינונית</t>
  </si>
  <si>
    <t>ב</t>
  </si>
  <si>
    <t>2%/5%</t>
  </si>
  <si>
    <t>4</t>
  </si>
  <si>
    <t>אבו סנאן</t>
  </si>
  <si>
    <t>C</t>
  </si>
  <si>
    <t>ג</t>
  </si>
  <si>
    <r>
      <t>S</t>
    </r>
    <r>
      <rPr>
        <vertAlign val="subscript"/>
        <sz val="10"/>
        <rFont val="Tahoma"/>
        <family val="2"/>
      </rPr>
      <t>1</t>
    </r>
  </si>
  <si>
    <t>5</t>
  </si>
  <si>
    <t>אבו סריחאן (שבט)</t>
  </si>
  <si>
    <t>D</t>
  </si>
  <si>
    <r>
      <t>S</t>
    </r>
    <r>
      <rPr>
        <vertAlign val="subscript"/>
        <sz val="10"/>
        <rFont val="Tahoma"/>
        <family val="2"/>
      </rPr>
      <t>S</t>
    </r>
  </si>
  <si>
    <t>6</t>
  </si>
  <si>
    <t>אבו עבדון (שבט)</t>
  </si>
  <si>
    <t>7</t>
  </si>
  <si>
    <t>אבו עמאר (שבט)</t>
  </si>
  <si>
    <t>מודלית</t>
  </si>
  <si>
    <r>
      <t>S</t>
    </r>
    <r>
      <rPr>
        <vertAlign val="subscript"/>
        <sz val="10"/>
        <rFont val="Tahoma"/>
        <family val="2"/>
      </rPr>
      <t>D1</t>
    </r>
  </si>
  <si>
    <t>8</t>
  </si>
  <si>
    <t>אבו עמרה (שבט)</t>
  </si>
  <si>
    <r>
      <t>S</t>
    </r>
    <r>
      <rPr>
        <vertAlign val="subscript"/>
        <sz val="10"/>
        <rFont val="Tahoma"/>
        <family val="2"/>
      </rPr>
      <t>DS</t>
    </r>
  </si>
  <si>
    <t>9</t>
  </si>
  <si>
    <t>אבו קורינאת (שבט)</t>
  </si>
  <si>
    <t>מסגרות מרחביות כפיפות מבטון מזוין</t>
  </si>
  <si>
    <r>
      <t>T</t>
    </r>
    <r>
      <rPr>
        <vertAlign val="subscript"/>
        <sz val="10"/>
        <rFont val="Tahoma"/>
        <family val="2"/>
      </rPr>
      <t>0</t>
    </r>
  </si>
  <si>
    <t>10</t>
  </si>
  <si>
    <t>מסגרות מרחביות מוקשחות מבטון מזוין</t>
  </si>
  <si>
    <r>
      <t>T</t>
    </r>
    <r>
      <rPr>
        <vertAlign val="subscript"/>
        <sz val="10"/>
        <rFont val="Tahoma"/>
        <family val="2"/>
      </rPr>
      <t>S</t>
    </r>
  </si>
  <si>
    <t>11</t>
  </si>
  <si>
    <t>אבו רובייעה (שבט)</t>
  </si>
  <si>
    <t>קירות הקשחה או מערכות דואליות מבטון מזוין</t>
  </si>
  <si>
    <r>
      <t>T</t>
    </r>
    <r>
      <rPr>
        <vertAlign val="subscript"/>
        <sz val="10"/>
        <rFont val="Tahoma"/>
        <family val="2"/>
      </rPr>
      <t>L</t>
    </r>
  </si>
  <si>
    <t>12</t>
  </si>
  <si>
    <t>אבו רוקייק (שבט)</t>
  </si>
  <si>
    <t>13</t>
  </si>
  <si>
    <t>אבטין</t>
  </si>
  <si>
    <t>ארובות וממגורות (שלא נזכרו לעיל), מתקני ייצור אנכיים, מכלי משפך, מגדלי אנטונות (זיזיים או כבולים), ושאר מבנים עצמאיים (תומכי עצמם) כיוצא בהם</t>
  </si>
  <si>
    <t>14</t>
  </si>
  <si>
    <t>אבטליון</t>
  </si>
  <si>
    <t>מבנים זיזיים שבראשם מסה מרוכזת, מתקני שעשועים, אנדרטות</t>
  </si>
  <si>
    <t>15</t>
  </si>
  <si>
    <t>אביאל</t>
  </si>
  <si>
    <t>16</t>
  </si>
  <si>
    <t>אביבים</t>
  </si>
  <si>
    <t>סדיר</t>
  </si>
  <si>
    <t>17</t>
  </si>
  <si>
    <t>אביגדור</t>
  </si>
  <si>
    <t>18</t>
  </si>
  <si>
    <t>אביחיל</t>
  </si>
  <si>
    <t>19</t>
  </si>
  <si>
    <t>אביטל</t>
  </si>
  <si>
    <t>20</t>
  </si>
  <si>
    <t>אביעזר</t>
  </si>
  <si>
    <t>21</t>
  </si>
  <si>
    <t>אבירים</t>
  </si>
  <si>
    <t>22</t>
  </si>
  <si>
    <t>אבן יהודה</t>
  </si>
  <si>
    <t>23</t>
  </si>
  <si>
    <t>אבן מנחם</t>
  </si>
  <si>
    <t>24</t>
  </si>
  <si>
    <t>אבן ספיר</t>
  </si>
  <si>
    <t>25</t>
  </si>
  <si>
    <t>אבן שמואל</t>
  </si>
  <si>
    <t>26</t>
  </si>
  <si>
    <t>אבני איתן</t>
  </si>
  <si>
    <t>27</t>
  </si>
  <si>
    <t>אבני חפץ</t>
  </si>
  <si>
    <t>2/5</t>
  </si>
  <si>
    <t>28</t>
  </si>
  <si>
    <t>אבנת</t>
  </si>
  <si>
    <t>29</t>
  </si>
  <si>
    <t>אבשלום</t>
  </si>
  <si>
    <t>30</t>
  </si>
  <si>
    <t>אדורה</t>
  </si>
  <si>
    <t>31</t>
  </si>
  <si>
    <t>אדירים</t>
  </si>
  <si>
    <t>32</t>
  </si>
  <si>
    <t>אדמית</t>
  </si>
  <si>
    <t>33</t>
  </si>
  <si>
    <t>אדרת</t>
  </si>
  <si>
    <t>34</t>
  </si>
  <si>
    <t>אודים</t>
  </si>
  <si>
    <t>35</t>
  </si>
  <si>
    <t>אודם</t>
  </si>
  <si>
    <t>36</t>
  </si>
  <si>
    <t>אוהד</t>
  </si>
  <si>
    <t>37</t>
  </si>
  <si>
    <t>אום אל-פחם</t>
  </si>
  <si>
    <t>38</t>
  </si>
  <si>
    <t>אום אל-קוטוף</t>
  </si>
  <si>
    <t>39</t>
  </si>
  <si>
    <t>אום בטין</t>
  </si>
  <si>
    <t>40</t>
  </si>
  <si>
    <t>אומן</t>
  </si>
  <si>
    <t>41</t>
  </si>
  <si>
    <t>אומץ</t>
  </si>
  <si>
    <t>42</t>
  </si>
  <si>
    <t>אופקים</t>
  </si>
  <si>
    <t>43</t>
  </si>
  <si>
    <t>אור הגנוז</t>
  </si>
  <si>
    <t>44</t>
  </si>
  <si>
    <t>אור הנר</t>
  </si>
  <si>
    <t>45</t>
  </si>
  <si>
    <t>אור יהודה</t>
  </si>
  <si>
    <t>46</t>
  </si>
  <si>
    <t>אור עקיבא</t>
  </si>
  <si>
    <t>47</t>
  </si>
  <si>
    <t>אורה</t>
  </si>
  <si>
    <t>48</t>
  </si>
  <si>
    <t>אורון</t>
  </si>
  <si>
    <t>49</t>
  </si>
  <si>
    <t>אורות</t>
  </si>
  <si>
    <t>50</t>
  </si>
  <si>
    <t>אורטל</t>
  </si>
  <si>
    <t>51</t>
  </si>
  <si>
    <t>אורים</t>
  </si>
  <si>
    <t>52</t>
  </si>
  <si>
    <t>אורנים</t>
  </si>
  <si>
    <t>53</t>
  </si>
  <si>
    <t>אורנית</t>
  </si>
  <si>
    <t>54</t>
  </si>
  <si>
    <t>אושה</t>
  </si>
  <si>
    <t>55</t>
  </si>
  <si>
    <t>אזור</t>
  </si>
  <si>
    <t>56</t>
  </si>
  <si>
    <t>אזור תעסוקה מיתרים*</t>
  </si>
  <si>
    <t>57</t>
  </si>
  <si>
    <t>אזור תעסוקה משגב</t>
  </si>
  <si>
    <t>58</t>
  </si>
  <si>
    <t>אזור תעשייה אכזיב (מילואות)</t>
  </si>
  <si>
    <t>59</t>
  </si>
  <si>
    <t>אזור תעשייה נעמן  (מילואות)</t>
  </si>
  <si>
    <t>60</t>
  </si>
  <si>
    <t>אחווה</t>
  </si>
  <si>
    <t>61</t>
  </si>
  <si>
    <t>אחוזם</t>
  </si>
  <si>
    <t>62</t>
  </si>
  <si>
    <t>אחוזת ברק</t>
  </si>
  <si>
    <t>63</t>
  </si>
  <si>
    <t>אחיהוד</t>
  </si>
  <si>
    <t>64</t>
  </si>
  <si>
    <t>אחיטוב</t>
  </si>
  <si>
    <t>65</t>
  </si>
  <si>
    <t>אחיסמך</t>
  </si>
  <si>
    <t>66</t>
  </si>
  <si>
    <t>אחיעזר</t>
  </si>
  <si>
    <t>67</t>
  </si>
  <si>
    <t>אטרש (שבט)</t>
  </si>
  <si>
    <t>68</t>
  </si>
  <si>
    <t>איבים</t>
  </si>
  <si>
    <t>69</t>
  </si>
  <si>
    <t>אייל</t>
  </si>
  <si>
    <t>70</t>
  </si>
  <si>
    <t>איילת השחר</t>
  </si>
  <si>
    <t>71</t>
  </si>
  <si>
    <t>אילון</t>
  </si>
  <si>
    <t>72</t>
  </si>
  <si>
    <t>אילון תבור*</t>
  </si>
  <si>
    <t>73</t>
  </si>
  <si>
    <t>אילות</t>
  </si>
  <si>
    <t>74</t>
  </si>
  <si>
    <t>אילנייה</t>
  </si>
  <si>
    <t>75</t>
  </si>
  <si>
    <t>אילת</t>
  </si>
  <si>
    <t>76</t>
  </si>
  <si>
    <t>איתמר</t>
  </si>
  <si>
    <t>77</t>
  </si>
  <si>
    <t>איתן</t>
  </si>
  <si>
    <t>78</t>
  </si>
  <si>
    <t>איתנים</t>
  </si>
  <si>
    <t>79</t>
  </si>
  <si>
    <t>אכסאל</t>
  </si>
  <si>
    <t>80</t>
  </si>
  <si>
    <t>אל-עזי</t>
  </si>
  <si>
    <t>81</t>
  </si>
  <si>
    <t>אל-עריאן</t>
  </si>
  <si>
    <t>82</t>
  </si>
  <si>
    <t>אל-רום</t>
  </si>
  <si>
    <t>83</t>
  </si>
  <si>
    <t>אל סייד</t>
  </si>
  <si>
    <t>84</t>
  </si>
  <si>
    <t>אלומה</t>
  </si>
  <si>
    <t>85</t>
  </si>
  <si>
    <t>אלומות</t>
  </si>
  <si>
    <t>86</t>
  </si>
  <si>
    <t>אלון הגליל</t>
  </si>
  <si>
    <t>87</t>
  </si>
  <si>
    <t>אלון מורה</t>
  </si>
  <si>
    <t>88</t>
  </si>
  <si>
    <t>אלון שבות</t>
  </si>
  <si>
    <t>89</t>
  </si>
  <si>
    <t>אלוני אבא</t>
  </si>
  <si>
    <t>90</t>
  </si>
  <si>
    <t>אלוני הבשן</t>
  </si>
  <si>
    <t>91</t>
  </si>
  <si>
    <t>אלוני יצחק</t>
  </si>
  <si>
    <t>92</t>
  </si>
  <si>
    <t>אלונים</t>
  </si>
  <si>
    <t>93</t>
  </si>
  <si>
    <t>אלי-עד</t>
  </si>
  <si>
    <t>94</t>
  </si>
  <si>
    <t>אליכין</t>
  </si>
  <si>
    <t>95</t>
  </si>
  <si>
    <t>אליפז</t>
  </si>
  <si>
    <t>96</t>
  </si>
  <si>
    <t>אליפלט</t>
  </si>
  <si>
    <t>97</t>
  </si>
  <si>
    <t>אליקים</t>
  </si>
  <si>
    <t>98</t>
  </si>
  <si>
    <t>אלישיב</t>
  </si>
  <si>
    <t>99</t>
  </si>
  <si>
    <t>אלישמע</t>
  </si>
  <si>
    <t>100</t>
  </si>
  <si>
    <t>אלמגור</t>
  </si>
  <si>
    <t>101</t>
  </si>
  <si>
    <t>אלמוג</t>
  </si>
  <si>
    <t>102</t>
  </si>
  <si>
    <t>אלעד</t>
  </si>
  <si>
    <t>103</t>
  </si>
  <si>
    <t>אלעזר</t>
  </si>
  <si>
    <t>104</t>
  </si>
  <si>
    <t>אלפי מנשה</t>
  </si>
  <si>
    <t>105</t>
  </si>
  <si>
    <t>אלקוש</t>
  </si>
  <si>
    <t>106</t>
  </si>
  <si>
    <t>אלקנה</t>
  </si>
  <si>
    <t>107</t>
  </si>
  <si>
    <t>אמונים</t>
  </si>
  <si>
    <t>108</t>
  </si>
  <si>
    <t>אמירים</t>
  </si>
  <si>
    <t>109</t>
  </si>
  <si>
    <t>אמנון</t>
  </si>
  <si>
    <t>110</t>
  </si>
  <si>
    <t>אמציה</t>
  </si>
  <si>
    <t>111</t>
  </si>
  <si>
    <t>אניעם</t>
  </si>
  <si>
    <t>112</t>
  </si>
  <si>
    <t>אסד (שבט)</t>
  </si>
  <si>
    <t>113</t>
  </si>
  <si>
    <t>אספר</t>
  </si>
  <si>
    <t>114</t>
  </si>
  <si>
    <t>אעבלין</t>
  </si>
  <si>
    <t>115</t>
  </si>
  <si>
    <t>אעצם (שבט)</t>
  </si>
  <si>
    <t>116</t>
  </si>
  <si>
    <t>אפיניש (שבט)</t>
  </si>
  <si>
    <t>117</t>
  </si>
  <si>
    <t>אפיק</t>
  </si>
  <si>
    <t>118</t>
  </si>
  <si>
    <t>אפיקים</t>
  </si>
  <si>
    <t>119</t>
  </si>
  <si>
    <t>אפק</t>
  </si>
  <si>
    <t>120</t>
  </si>
  <si>
    <t>אפרתה</t>
  </si>
  <si>
    <t>121</t>
  </si>
  <si>
    <t>ארבל</t>
  </si>
  <si>
    <t>122</t>
  </si>
  <si>
    <t>ארגמן</t>
  </si>
  <si>
    <t>123</t>
  </si>
  <si>
    <t>ארז</t>
  </si>
  <si>
    <t>124</t>
  </si>
  <si>
    <t>אריאל</t>
  </si>
  <si>
    <t>125</t>
  </si>
  <si>
    <t>ארסוף</t>
  </si>
  <si>
    <t>126</t>
  </si>
  <si>
    <t>אשבול</t>
  </si>
  <si>
    <t>127</t>
  </si>
  <si>
    <t>אשבל</t>
  </si>
  <si>
    <t>128</t>
  </si>
  <si>
    <t>אשדוד</t>
  </si>
  <si>
    <t>129</t>
  </si>
  <si>
    <t>אשדות יעקב (איחוד)</t>
  </si>
  <si>
    <t>130</t>
  </si>
  <si>
    <t>אשדות יעקב (מאוחד)</t>
  </si>
  <si>
    <t>131</t>
  </si>
  <si>
    <t>אשחר</t>
  </si>
  <si>
    <t>132</t>
  </si>
  <si>
    <t>אשכולות</t>
  </si>
  <si>
    <t>133</t>
  </si>
  <si>
    <t>אשל הנשיא</t>
  </si>
  <si>
    <t>134</t>
  </si>
  <si>
    <t>אשלים</t>
  </si>
  <si>
    <t>135</t>
  </si>
  <si>
    <t>אשקלון</t>
  </si>
  <si>
    <t>136</t>
  </si>
  <si>
    <t>אשרת</t>
  </si>
  <si>
    <t>137</t>
  </si>
  <si>
    <t>אשתאול</t>
  </si>
  <si>
    <t>138</t>
  </si>
  <si>
    <t>באקה-ג'ת*</t>
  </si>
  <si>
    <t>139</t>
  </si>
  <si>
    <t>באר אורה</t>
  </si>
  <si>
    <t>140</t>
  </si>
  <si>
    <t>באר טוביה</t>
  </si>
  <si>
    <t>141</t>
  </si>
  <si>
    <t>באר יעקב</t>
  </si>
  <si>
    <t>142</t>
  </si>
  <si>
    <t>באר מילכה</t>
  </si>
  <si>
    <t>143</t>
  </si>
  <si>
    <t>באר שבע</t>
  </si>
  <si>
    <t>144</t>
  </si>
  <si>
    <t>בארות יצחק</t>
  </si>
  <si>
    <t>145</t>
  </si>
  <si>
    <t>בארותיים</t>
  </si>
  <si>
    <t>146</t>
  </si>
  <si>
    <t>בארי</t>
  </si>
  <si>
    <t>147</t>
  </si>
  <si>
    <t>בוסתן הגליל</t>
  </si>
  <si>
    <t>148</t>
  </si>
  <si>
    <t>בועיינה-נוג'ידאת</t>
  </si>
  <si>
    <t>149</t>
  </si>
  <si>
    <t>בוקעאתא</t>
  </si>
  <si>
    <t>150</t>
  </si>
  <si>
    <t>בורגתה</t>
  </si>
  <si>
    <t>151</t>
  </si>
  <si>
    <t>בחן</t>
  </si>
  <si>
    <t>152</t>
  </si>
  <si>
    <t>בטחה</t>
  </si>
  <si>
    <t>153</t>
  </si>
  <si>
    <t>בי"ס אזורי מקיף (אשר)</t>
  </si>
  <si>
    <t>154</t>
  </si>
  <si>
    <t>ביצרון</t>
  </si>
  <si>
    <t>155</t>
  </si>
  <si>
    <t>ביר אל-מכסור</t>
  </si>
  <si>
    <t>156</t>
  </si>
  <si>
    <t>ביר הדאג'</t>
  </si>
  <si>
    <t>157</t>
  </si>
  <si>
    <t>בירייה</t>
  </si>
  <si>
    <t>158</t>
  </si>
  <si>
    <t>בית אורן</t>
  </si>
  <si>
    <t>159</t>
  </si>
  <si>
    <t>בית אל</t>
  </si>
  <si>
    <t>160</t>
  </si>
  <si>
    <t>בית אלעזרי</t>
  </si>
  <si>
    <t>161</t>
  </si>
  <si>
    <t>בית אלפא</t>
  </si>
  <si>
    <t>162</t>
  </si>
  <si>
    <t>בית אריה</t>
  </si>
  <si>
    <t>163</t>
  </si>
  <si>
    <t>בית ברל</t>
  </si>
  <si>
    <t>164</t>
  </si>
  <si>
    <t>בית ג'ן</t>
  </si>
  <si>
    <t>165</t>
  </si>
  <si>
    <t>בית גוברין</t>
  </si>
  <si>
    <t>166</t>
  </si>
  <si>
    <t>בית גמליאל</t>
  </si>
  <si>
    <t>167</t>
  </si>
  <si>
    <t>בית דגן</t>
  </si>
  <si>
    <t>168</t>
  </si>
  <si>
    <t>בית הגדי</t>
  </si>
  <si>
    <t>169</t>
  </si>
  <si>
    <t>בית הלוי</t>
  </si>
  <si>
    <t>170</t>
  </si>
  <si>
    <t>בית הלל</t>
  </si>
  <si>
    <t>171</t>
  </si>
  <si>
    <t>בית העמק</t>
  </si>
  <si>
    <t>172</t>
  </si>
  <si>
    <t>בית הערבה</t>
  </si>
  <si>
    <t>173</t>
  </si>
  <si>
    <t>בית השיטה</t>
  </si>
  <si>
    <t>174</t>
  </si>
  <si>
    <t>בית זיד</t>
  </si>
  <si>
    <t>175</t>
  </si>
  <si>
    <t>בית זית</t>
  </si>
  <si>
    <t>176</t>
  </si>
  <si>
    <t>בית זרע</t>
  </si>
  <si>
    <t>177</t>
  </si>
  <si>
    <t>בית חולים פוריה</t>
  </si>
  <si>
    <t>178</t>
  </si>
  <si>
    <t>בית חורון</t>
  </si>
  <si>
    <t>179</t>
  </si>
  <si>
    <t>בית חירות</t>
  </si>
  <si>
    <t>180</t>
  </si>
  <si>
    <t>בית חלקיה</t>
  </si>
  <si>
    <t>181</t>
  </si>
  <si>
    <t>בית חנן</t>
  </si>
  <si>
    <t>182</t>
  </si>
  <si>
    <t>בית חנניה</t>
  </si>
  <si>
    <t>183</t>
  </si>
  <si>
    <t>בית חשמונאי</t>
  </si>
  <si>
    <t>184</t>
  </si>
  <si>
    <t>בית יהושע</t>
  </si>
  <si>
    <t>185</t>
  </si>
  <si>
    <t>בית יוסף</t>
  </si>
  <si>
    <t>186</t>
  </si>
  <si>
    <t>בית ינאי</t>
  </si>
  <si>
    <t>187</t>
  </si>
  <si>
    <t>בית יצחק-שער חפר</t>
  </si>
  <si>
    <t>188</t>
  </si>
  <si>
    <t>בית לחם הגלילית</t>
  </si>
  <si>
    <t>189</t>
  </si>
  <si>
    <t>בית מאיר</t>
  </si>
  <si>
    <t>190</t>
  </si>
  <si>
    <t>בית נחמיה</t>
  </si>
  <si>
    <t>191</t>
  </si>
  <si>
    <t>בית ניר</t>
  </si>
  <si>
    <t>192</t>
  </si>
  <si>
    <t>בית נקופה</t>
  </si>
  <si>
    <t>193</t>
  </si>
  <si>
    <t>בית עובד</t>
  </si>
  <si>
    <t>194</t>
  </si>
  <si>
    <t>בית עוזיאל</t>
  </si>
  <si>
    <t>195</t>
  </si>
  <si>
    <t>בית עזרא</t>
  </si>
  <si>
    <t>196</t>
  </si>
  <si>
    <t>בית עריף</t>
  </si>
  <si>
    <t>197</t>
  </si>
  <si>
    <t>בית צבי</t>
  </si>
  <si>
    <t>198</t>
  </si>
  <si>
    <t>בית קמה</t>
  </si>
  <si>
    <t>199</t>
  </si>
  <si>
    <t>בית קשת</t>
  </si>
  <si>
    <t>200</t>
  </si>
  <si>
    <t>בית רבן</t>
  </si>
  <si>
    <t>201</t>
  </si>
  <si>
    <t>בית רימון</t>
  </si>
  <si>
    <t>202</t>
  </si>
  <si>
    <t>בית שאן</t>
  </si>
  <si>
    <t>203</t>
  </si>
  <si>
    <t>בית שמש</t>
  </si>
  <si>
    <t>204</t>
  </si>
  <si>
    <t>בית שערים</t>
  </si>
  <si>
    <t>205</t>
  </si>
  <si>
    <t>בית שקמה</t>
  </si>
  <si>
    <t>206</t>
  </si>
  <si>
    <t>ביתן אהרן</t>
  </si>
  <si>
    <t>207</t>
  </si>
  <si>
    <t>ביתר עילית</t>
  </si>
  <si>
    <t>208</t>
  </si>
  <si>
    <t>בלפוריה</t>
  </si>
  <si>
    <t>209</t>
  </si>
  <si>
    <t>בן זכאי</t>
  </si>
  <si>
    <t>210</t>
  </si>
  <si>
    <t>בן עמי</t>
  </si>
  <si>
    <t>211</t>
  </si>
  <si>
    <t>בן שמן (כפר נוער)</t>
  </si>
  <si>
    <t>212</t>
  </si>
  <si>
    <t>בן שמן (מושב)</t>
  </si>
  <si>
    <t>213</t>
  </si>
  <si>
    <t>בני ברק</t>
  </si>
  <si>
    <t>214</t>
  </si>
  <si>
    <t>בני דרום</t>
  </si>
  <si>
    <t>215</t>
  </si>
  <si>
    <t>בני דרור</t>
  </si>
  <si>
    <t>216</t>
  </si>
  <si>
    <t>בני יהודה</t>
  </si>
  <si>
    <t>217</t>
  </si>
  <si>
    <t>בני עטרות</t>
  </si>
  <si>
    <t>218</t>
  </si>
  <si>
    <t>בני עי"ש</t>
  </si>
  <si>
    <t>219</t>
  </si>
  <si>
    <t>בני ציון</t>
  </si>
  <si>
    <t>220</t>
  </si>
  <si>
    <t>בני ראם</t>
  </si>
  <si>
    <t>221</t>
  </si>
  <si>
    <t>בניה</t>
  </si>
  <si>
    <t>222</t>
  </si>
  <si>
    <t>בנימינה-גבעת עדה*</t>
  </si>
  <si>
    <t>223</t>
  </si>
  <si>
    <t>בסמ"ה</t>
  </si>
  <si>
    <t>224</t>
  </si>
  <si>
    <t>בסמת טבעון</t>
  </si>
  <si>
    <t>225</t>
  </si>
  <si>
    <t>בענה</t>
  </si>
  <si>
    <t>226</t>
  </si>
  <si>
    <t>בצרה</t>
  </si>
  <si>
    <t>227</t>
  </si>
  <si>
    <t>בצת</t>
  </si>
  <si>
    <t>228</t>
  </si>
  <si>
    <t>בקוע</t>
  </si>
  <si>
    <t>229</t>
  </si>
  <si>
    <t>בקעות</t>
  </si>
  <si>
    <t>230</t>
  </si>
  <si>
    <t>בר גיורא</t>
  </si>
  <si>
    <t>231</t>
  </si>
  <si>
    <t>בר יוחאי</t>
  </si>
  <si>
    <t>232</t>
  </si>
  <si>
    <t>ברור חיל</t>
  </si>
  <si>
    <t>233</t>
  </si>
  <si>
    <t>ברוש</t>
  </si>
  <si>
    <t>234</t>
  </si>
  <si>
    <t>ברכה</t>
  </si>
  <si>
    <t>235</t>
  </si>
  <si>
    <t>ברכיה</t>
  </si>
  <si>
    <t>236</t>
  </si>
  <si>
    <t>ברעם</t>
  </si>
  <si>
    <t>237</t>
  </si>
  <si>
    <t>ברק</t>
  </si>
  <si>
    <t>238</t>
  </si>
  <si>
    <t>ברקאי</t>
  </si>
  <si>
    <t>239</t>
  </si>
  <si>
    <t>ברקן</t>
  </si>
  <si>
    <t>240</t>
  </si>
  <si>
    <t>ברקת</t>
  </si>
  <si>
    <t>241</t>
  </si>
  <si>
    <t>בת הדר</t>
  </si>
  <si>
    <t>242</t>
  </si>
  <si>
    <t>בת חן</t>
  </si>
  <si>
    <t>243</t>
  </si>
  <si>
    <t>בת חפר</t>
  </si>
  <si>
    <t>244</t>
  </si>
  <si>
    <t>בת ים</t>
  </si>
  <si>
    <t>245</t>
  </si>
  <si>
    <t>בת עין</t>
  </si>
  <si>
    <t>246</t>
  </si>
  <si>
    <t>בת שלמה</t>
  </si>
  <si>
    <t>247</t>
  </si>
  <si>
    <t>בתי זיקוק - קישון*</t>
  </si>
  <si>
    <t>248</t>
  </si>
  <si>
    <t>ג'דיידה-מכר</t>
  </si>
  <si>
    <t>249</t>
  </si>
  <si>
    <t>ג'ולס</t>
  </si>
  <si>
    <t>250</t>
  </si>
  <si>
    <t>ג'לג'וליה</t>
  </si>
  <si>
    <t>251</t>
  </si>
  <si>
    <t>ג'נאביב (שבט)</t>
  </si>
  <si>
    <t>252</t>
  </si>
  <si>
    <t>ג'סר א-זרקא</t>
  </si>
  <si>
    <t>253</t>
  </si>
  <si>
    <t>ג'ש (גוש חלב)</t>
  </si>
  <si>
    <t>254</t>
  </si>
  <si>
    <t>גאולי תימן</t>
  </si>
  <si>
    <t>255</t>
  </si>
  <si>
    <t>גאולים</t>
  </si>
  <si>
    <t>256</t>
  </si>
  <si>
    <t>גאליה</t>
  </si>
  <si>
    <t>257</t>
  </si>
  <si>
    <t>גבולות</t>
  </si>
  <si>
    <t>258</t>
  </si>
  <si>
    <t>גבים</t>
  </si>
  <si>
    <t>259</t>
  </si>
  <si>
    <t>גבע</t>
  </si>
  <si>
    <t>260</t>
  </si>
  <si>
    <t>גבע בנימין</t>
  </si>
  <si>
    <t>261</t>
  </si>
  <si>
    <t>גבע כרמל</t>
  </si>
  <si>
    <t>262</t>
  </si>
  <si>
    <t>גבעולים</t>
  </si>
  <si>
    <t>263</t>
  </si>
  <si>
    <t>גבעון החדשה</t>
  </si>
  <si>
    <t>264</t>
  </si>
  <si>
    <t>גבעות בר</t>
  </si>
  <si>
    <t>265</t>
  </si>
  <si>
    <t>גבעת אבני</t>
  </si>
  <si>
    <t>266</t>
  </si>
  <si>
    <t>גבעת אלה</t>
  </si>
  <si>
    <t>267</t>
  </si>
  <si>
    <t>גבעת ברנר</t>
  </si>
  <si>
    <t>268</t>
  </si>
  <si>
    <t>גבעת השלושה</t>
  </si>
  <si>
    <t>269</t>
  </si>
  <si>
    <t>גבעת זאב</t>
  </si>
  <si>
    <t>270</t>
  </si>
  <si>
    <t>גבעת ח"ן</t>
  </si>
  <si>
    <t>271</t>
  </si>
  <si>
    <t>גבעת חביבה</t>
  </si>
  <si>
    <t>272</t>
  </si>
  <si>
    <t>גבעת חיים (איחוד)</t>
  </si>
  <si>
    <t>273</t>
  </si>
  <si>
    <t>גבעת חיים (מאוחד)</t>
  </si>
  <si>
    <t>274</t>
  </si>
  <si>
    <t>גבעת יואב</t>
  </si>
  <si>
    <t>275</t>
  </si>
  <si>
    <t>גבעת יערים</t>
  </si>
  <si>
    <t>276</t>
  </si>
  <si>
    <t>גבעת ישעיהו</t>
  </si>
  <si>
    <t>277</t>
  </si>
  <si>
    <t>גבעת כ"ח</t>
  </si>
  <si>
    <t>278</t>
  </si>
  <si>
    <t>גבעת ניל"י</t>
  </si>
  <si>
    <t>279</t>
  </si>
  <si>
    <t>גבעת עוז</t>
  </si>
  <si>
    <t>280</t>
  </si>
  <si>
    <t>גבעת שמואל</t>
  </si>
  <si>
    <t>281</t>
  </si>
  <si>
    <t>גבעת שמש</t>
  </si>
  <si>
    <t>282</t>
  </si>
  <si>
    <t>גבעת שפירא</t>
  </si>
  <si>
    <t>283</t>
  </si>
  <si>
    <t>גבעתי</t>
  </si>
  <si>
    <t>284</t>
  </si>
  <si>
    <t>גבעתיים</t>
  </si>
  <si>
    <t>285</t>
  </si>
  <si>
    <t>גברעם</t>
  </si>
  <si>
    <t>286</t>
  </si>
  <si>
    <t>גבת</t>
  </si>
  <si>
    <t>287</t>
  </si>
  <si>
    <t>גדות</t>
  </si>
  <si>
    <t>288</t>
  </si>
  <si>
    <t>גדיש</t>
  </si>
  <si>
    <t>289</t>
  </si>
  <si>
    <t>גדעונה</t>
  </si>
  <si>
    <t>290</t>
  </si>
  <si>
    <t>גדרה</t>
  </si>
  <si>
    <t>291</t>
  </si>
  <si>
    <t>גונן</t>
  </si>
  <si>
    <t>292</t>
  </si>
  <si>
    <t>גורן</t>
  </si>
  <si>
    <t>293</t>
  </si>
  <si>
    <t>גורנות הגליל</t>
  </si>
  <si>
    <t>294</t>
  </si>
  <si>
    <t>גזית</t>
  </si>
  <si>
    <t>295</t>
  </si>
  <si>
    <t>גזר</t>
  </si>
  <si>
    <t>296</t>
  </si>
  <si>
    <t>גיאה</t>
  </si>
  <si>
    <t>297</t>
  </si>
  <si>
    <t>גיבתון</t>
  </si>
  <si>
    <t>298</t>
  </si>
  <si>
    <t>גיזו</t>
  </si>
  <si>
    <t>299</t>
  </si>
  <si>
    <t>גילון</t>
  </si>
  <si>
    <t>300</t>
  </si>
  <si>
    <t>גילת</t>
  </si>
  <si>
    <t>301</t>
  </si>
  <si>
    <t>גינוסר</t>
  </si>
  <si>
    <t>302</t>
  </si>
  <si>
    <t>גיניגר</t>
  </si>
  <si>
    <t>303</t>
  </si>
  <si>
    <t>גינתון</t>
  </si>
  <si>
    <t>304</t>
  </si>
  <si>
    <t>גיתה</t>
  </si>
  <si>
    <t>305</t>
  </si>
  <si>
    <t>גיתית</t>
  </si>
  <si>
    <t>306</t>
  </si>
  <si>
    <t>גלאון</t>
  </si>
  <si>
    <t>307</t>
  </si>
  <si>
    <t>גלגל</t>
  </si>
  <si>
    <t>308</t>
  </si>
  <si>
    <t>גליל ים</t>
  </si>
  <si>
    <t>309</t>
  </si>
  <si>
    <t>גלעד (אבן יצחק)</t>
  </si>
  <si>
    <t>310</t>
  </si>
  <si>
    <t>גמזו</t>
  </si>
  <si>
    <t>311</t>
  </si>
  <si>
    <t>גן הדרום</t>
  </si>
  <si>
    <t>312</t>
  </si>
  <si>
    <t>גן השומרון</t>
  </si>
  <si>
    <t>313</t>
  </si>
  <si>
    <t>גן חיים</t>
  </si>
  <si>
    <t>314</t>
  </si>
  <si>
    <t>גן יאשיה</t>
  </si>
  <si>
    <t>315</t>
  </si>
  <si>
    <t>גן יבנה</t>
  </si>
  <si>
    <t>316</t>
  </si>
  <si>
    <t>גן נר</t>
  </si>
  <si>
    <t>317</t>
  </si>
  <si>
    <t>גן שורק</t>
  </si>
  <si>
    <t>318</t>
  </si>
  <si>
    <t>גן שלמה</t>
  </si>
  <si>
    <t>319</t>
  </si>
  <si>
    <t>גן שמואל</t>
  </si>
  <si>
    <t>320</t>
  </si>
  <si>
    <t>גנות</t>
  </si>
  <si>
    <t>321</t>
  </si>
  <si>
    <t>גנות הדר</t>
  </si>
  <si>
    <t>322</t>
  </si>
  <si>
    <t>גני הדר</t>
  </si>
  <si>
    <t>323</t>
  </si>
  <si>
    <t>גני יוחנן</t>
  </si>
  <si>
    <t>324</t>
  </si>
  <si>
    <t>גני עם</t>
  </si>
  <si>
    <t>325</t>
  </si>
  <si>
    <t>גני תקווה</t>
  </si>
  <si>
    <t>326</t>
  </si>
  <si>
    <t>געש</t>
  </si>
  <si>
    <t>327</t>
  </si>
  <si>
    <t>געתון</t>
  </si>
  <si>
    <t>328</t>
  </si>
  <si>
    <t>גפן</t>
  </si>
  <si>
    <t>329</t>
  </si>
  <si>
    <t>גרופית</t>
  </si>
  <si>
    <t>330</t>
  </si>
  <si>
    <t>גשור</t>
  </si>
  <si>
    <t>331</t>
  </si>
  <si>
    <t>גשר</t>
  </si>
  <si>
    <t>332</t>
  </si>
  <si>
    <t>גשר הזיו</t>
  </si>
  <si>
    <t>333</t>
  </si>
  <si>
    <t>גת (קיבוץ)</t>
  </si>
  <si>
    <t>334</t>
  </si>
  <si>
    <t>גת רימון</t>
  </si>
  <si>
    <t>335</t>
  </si>
  <si>
    <t>דאלית אל-כרמל</t>
  </si>
  <si>
    <t>336</t>
  </si>
  <si>
    <t>דבורה</t>
  </si>
  <si>
    <t>337</t>
  </si>
  <si>
    <t>דבורייה</t>
  </si>
  <si>
    <t>338</t>
  </si>
  <si>
    <t>דבירה</t>
  </si>
  <si>
    <t>339</t>
  </si>
  <si>
    <t>דברת</t>
  </si>
  <si>
    <t>340</t>
  </si>
  <si>
    <t>דגניה א'</t>
  </si>
  <si>
    <t>341</t>
  </si>
  <si>
    <t>דגניה ב'</t>
  </si>
  <si>
    <t>342</t>
  </si>
  <si>
    <t>דוב"ב</t>
  </si>
  <si>
    <t>343</t>
  </si>
  <si>
    <t>דולב</t>
  </si>
  <si>
    <t>344</t>
  </si>
  <si>
    <t>דור</t>
  </si>
  <si>
    <t>345</t>
  </si>
  <si>
    <t>דורות</t>
  </si>
  <si>
    <t>346</t>
  </si>
  <si>
    <t>דחי</t>
  </si>
  <si>
    <t>347</t>
  </si>
  <si>
    <t>דייר אל-אסד</t>
  </si>
  <si>
    <t>348</t>
  </si>
  <si>
    <t>דייר חנא</t>
  </si>
  <si>
    <t>349</t>
  </si>
  <si>
    <t>דייר ראפאת</t>
  </si>
  <si>
    <t>350</t>
  </si>
  <si>
    <t>דימונה</t>
  </si>
  <si>
    <t>351</t>
  </si>
  <si>
    <t>דישון</t>
  </si>
  <si>
    <t>352</t>
  </si>
  <si>
    <t>דלייה</t>
  </si>
  <si>
    <t>353</t>
  </si>
  <si>
    <t>דלתון</t>
  </si>
  <si>
    <t>354</t>
  </si>
  <si>
    <t>דמיידה</t>
  </si>
  <si>
    <t>355</t>
  </si>
  <si>
    <t>דן</t>
  </si>
  <si>
    <t>356</t>
  </si>
  <si>
    <t>דפנה</t>
  </si>
  <si>
    <t>357</t>
  </si>
  <si>
    <t>דקל</t>
  </si>
  <si>
    <t>358</t>
  </si>
  <si>
    <t>דריג'את</t>
  </si>
  <si>
    <t>359</t>
  </si>
  <si>
    <t>האון</t>
  </si>
  <si>
    <t>360</t>
  </si>
  <si>
    <t>הבונים</t>
  </si>
  <si>
    <t>361</t>
  </si>
  <si>
    <t>הגושרים</t>
  </si>
  <si>
    <t>362</t>
  </si>
  <si>
    <t>הדר עם</t>
  </si>
  <si>
    <t>363</t>
  </si>
  <si>
    <t>הוד השרון</t>
  </si>
  <si>
    <t>364</t>
  </si>
  <si>
    <t>הודיות</t>
  </si>
  <si>
    <t>365</t>
  </si>
  <si>
    <t>הודייה</t>
  </si>
  <si>
    <t>366</t>
  </si>
  <si>
    <t>הוואשלה (שבט)</t>
  </si>
  <si>
    <t>367</t>
  </si>
  <si>
    <t>הוזייל (שבט)</t>
  </si>
  <si>
    <t>368</t>
  </si>
  <si>
    <t>הושעיה</t>
  </si>
  <si>
    <t>369</t>
  </si>
  <si>
    <t>הזורע</t>
  </si>
  <si>
    <t>370</t>
  </si>
  <si>
    <t>הזורעים</t>
  </si>
  <si>
    <t>371</t>
  </si>
  <si>
    <t>החותרים</t>
  </si>
  <si>
    <t>372</t>
  </si>
  <si>
    <t>היוגב</t>
  </si>
  <si>
    <t>373</t>
  </si>
  <si>
    <t>הילה</t>
  </si>
  <si>
    <t>374</t>
  </si>
  <si>
    <t>המעפיל</t>
  </si>
  <si>
    <t>375</t>
  </si>
  <si>
    <t>המרכז למחקר-נחל שורק</t>
  </si>
  <si>
    <t>376</t>
  </si>
  <si>
    <t>הסוללים</t>
  </si>
  <si>
    <t>377</t>
  </si>
  <si>
    <t>העוגן</t>
  </si>
  <si>
    <t>378</t>
  </si>
  <si>
    <t>הר אדר</t>
  </si>
  <si>
    <t>379</t>
  </si>
  <si>
    <t>הר גילה</t>
  </si>
  <si>
    <t>380</t>
  </si>
  <si>
    <t>הר עמשא</t>
  </si>
  <si>
    <t>381</t>
  </si>
  <si>
    <t>הראל</t>
  </si>
  <si>
    <t>382</t>
  </si>
  <si>
    <t>הרדוף</t>
  </si>
  <si>
    <t>383</t>
  </si>
  <si>
    <t>הרצלייה</t>
  </si>
  <si>
    <t>384</t>
  </si>
  <si>
    <t>הררית</t>
  </si>
  <si>
    <t>385</t>
  </si>
  <si>
    <t>ורד יריחו</t>
  </si>
  <si>
    <t>386</t>
  </si>
  <si>
    <t>ורדון</t>
  </si>
  <si>
    <t>387</t>
  </si>
  <si>
    <t>זבארגה (שבט)</t>
  </si>
  <si>
    <t>388</t>
  </si>
  <si>
    <t>זבדיאל</t>
  </si>
  <si>
    <t>389</t>
  </si>
  <si>
    <t>זוהר</t>
  </si>
  <si>
    <t>390</t>
  </si>
  <si>
    <t>זיקים</t>
  </si>
  <si>
    <t>391</t>
  </si>
  <si>
    <t>זיתן</t>
  </si>
  <si>
    <t>392</t>
  </si>
  <si>
    <t>זכרון יעקב</t>
  </si>
  <si>
    <t>393</t>
  </si>
  <si>
    <t>זכריה</t>
  </si>
  <si>
    <t>394</t>
  </si>
  <si>
    <t>זמר</t>
  </si>
  <si>
    <t>395</t>
  </si>
  <si>
    <t>זמרת</t>
  </si>
  <si>
    <t>396</t>
  </si>
  <si>
    <t>זנוח</t>
  </si>
  <si>
    <t>397</t>
  </si>
  <si>
    <t>זרועה</t>
  </si>
  <si>
    <t>398</t>
  </si>
  <si>
    <t>זרזיר</t>
  </si>
  <si>
    <t>399</t>
  </si>
  <si>
    <t>זרחיה</t>
  </si>
  <si>
    <t>400</t>
  </si>
  <si>
    <t>ח'ואלד</t>
  </si>
  <si>
    <t>401</t>
  </si>
  <si>
    <t>ח'ואלד (שבט)</t>
  </si>
  <si>
    <t>402</t>
  </si>
  <si>
    <t>חבצלת השרון</t>
  </si>
  <si>
    <t>403</t>
  </si>
  <si>
    <t>חבר</t>
  </si>
  <si>
    <t>404</t>
  </si>
  <si>
    <t>חגור</t>
  </si>
  <si>
    <t>405</t>
  </si>
  <si>
    <t>חגי</t>
  </si>
  <si>
    <t>406</t>
  </si>
  <si>
    <t>חגלה</t>
  </si>
  <si>
    <t>407</t>
  </si>
  <si>
    <t>חד-נס</t>
  </si>
  <si>
    <t>408</t>
  </si>
  <si>
    <t>חדיד</t>
  </si>
  <si>
    <t>409</t>
  </si>
  <si>
    <t>חדרה</t>
  </si>
  <si>
    <t>410</t>
  </si>
  <si>
    <t>חוג'ייראת (ד'הרה) (שבט)</t>
  </si>
  <si>
    <t>411</t>
  </si>
  <si>
    <t>חולדה</t>
  </si>
  <si>
    <t>412</t>
  </si>
  <si>
    <t>חולון</t>
  </si>
  <si>
    <t>413</t>
  </si>
  <si>
    <t>חולית</t>
  </si>
  <si>
    <t>414</t>
  </si>
  <si>
    <t>חולתה</t>
  </si>
  <si>
    <t>415</t>
  </si>
  <si>
    <t>חוסן</t>
  </si>
  <si>
    <t>416</t>
  </si>
  <si>
    <t>חוסנייה</t>
  </si>
  <si>
    <t>417</t>
  </si>
  <si>
    <t>חופית</t>
  </si>
  <si>
    <t>418</t>
  </si>
  <si>
    <t>חוקוק</t>
  </si>
  <si>
    <t>419</t>
  </si>
  <si>
    <t>חורה</t>
  </si>
  <si>
    <t>420</t>
  </si>
  <si>
    <t>חורפיש</t>
  </si>
  <si>
    <t>421</t>
  </si>
  <si>
    <t>חורשים</t>
  </si>
  <si>
    <t>422</t>
  </si>
  <si>
    <t>חזון</t>
  </si>
  <si>
    <t>423</t>
  </si>
  <si>
    <t>חיבת ציון</t>
  </si>
  <si>
    <t>424</t>
  </si>
  <si>
    <t>חיננית</t>
  </si>
  <si>
    <t>425</t>
  </si>
  <si>
    <t>חיפה</t>
  </si>
  <si>
    <t>426</t>
  </si>
  <si>
    <t>חירות</t>
  </si>
  <si>
    <t>427</t>
  </si>
  <si>
    <t>חלוץ</t>
  </si>
  <si>
    <t>428</t>
  </si>
  <si>
    <t>חלמיש</t>
  </si>
  <si>
    <t>429</t>
  </si>
  <si>
    <t>חלץ</t>
  </si>
  <si>
    <t>430</t>
  </si>
  <si>
    <t>חמאם</t>
  </si>
  <si>
    <t>431</t>
  </si>
  <si>
    <t>חמד</t>
  </si>
  <si>
    <t>432</t>
  </si>
  <si>
    <t>חמדיה</t>
  </si>
  <si>
    <t>433</t>
  </si>
  <si>
    <t>חמדת</t>
  </si>
  <si>
    <t>434</t>
  </si>
  <si>
    <t>חמרה</t>
  </si>
  <si>
    <t>435</t>
  </si>
  <si>
    <t>חניאל</t>
  </si>
  <si>
    <t>436</t>
  </si>
  <si>
    <t>חניתה</t>
  </si>
  <si>
    <t>437</t>
  </si>
  <si>
    <t>חנתון</t>
  </si>
  <si>
    <t>438</t>
  </si>
  <si>
    <t>חספין</t>
  </si>
  <si>
    <t>439</t>
  </si>
  <si>
    <t>חפץ חיים</t>
  </si>
  <si>
    <t>440</t>
  </si>
  <si>
    <t>חפצי-בה</t>
  </si>
  <si>
    <t>441</t>
  </si>
  <si>
    <t>חצב</t>
  </si>
  <si>
    <t>442</t>
  </si>
  <si>
    <t>חצבה</t>
  </si>
  <si>
    <t>443</t>
  </si>
  <si>
    <t>חצור-אשדוד</t>
  </si>
  <si>
    <t>444</t>
  </si>
  <si>
    <t>חצור הגלילית</t>
  </si>
  <si>
    <t>445</t>
  </si>
  <si>
    <t>חצרים</t>
  </si>
  <si>
    <t>446</t>
  </si>
  <si>
    <t>חרב לאת</t>
  </si>
  <si>
    <t>447</t>
  </si>
  <si>
    <t>חרוצים</t>
  </si>
  <si>
    <t>448</t>
  </si>
  <si>
    <t>חרמש</t>
  </si>
  <si>
    <t>449</t>
  </si>
  <si>
    <t>חרשים</t>
  </si>
  <si>
    <t>450</t>
  </si>
  <si>
    <t>חשמונאים</t>
  </si>
  <si>
    <t>451</t>
  </si>
  <si>
    <t>טבריה</t>
  </si>
  <si>
    <t>452</t>
  </si>
  <si>
    <t>טובא-זנגרייה</t>
  </si>
  <si>
    <t>453</t>
  </si>
  <si>
    <t>טורעאן</t>
  </si>
  <si>
    <t>454</t>
  </si>
  <si>
    <t>טייבה</t>
  </si>
  <si>
    <t>455</t>
  </si>
  <si>
    <t>טייבה (בעמק)</t>
  </si>
  <si>
    <t>456</t>
  </si>
  <si>
    <t>טירה</t>
  </si>
  <si>
    <t>457</t>
  </si>
  <si>
    <t>טירת יהודה</t>
  </si>
  <si>
    <t>458</t>
  </si>
  <si>
    <t>טירת כרמל</t>
  </si>
  <si>
    <t>459</t>
  </si>
  <si>
    <t>טירת צבי</t>
  </si>
  <si>
    <t>460</t>
  </si>
  <si>
    <t>טל-אל</t>
  </si>
  <si>
    <t>461</t>
  </si>
  <si>
    <t>טל שחר</t>
  </si>
  <si>
    <t>462</t>
  </si>
  <si>
    <t>טללים</t>
  </si>
  <si>
    <t>463</t>
  </si>
  <si>
    <t>טלמון</t>
  </si>
  <si>
    <t>464</t>
  </si>
  <si>
    <t>טמרה</t>
  </si>
  <si>
    <t>465</t>
  </si>
  <si>
    <t>טמרה (יזרעאל)</t>
  </si>
  <si>
    <t>466</t>
  </si>
  <si>
    <t>טנא</t>
  </si>
  <si>
    <t>467</t>
  </si>
  <si>
    <t>טפחות</t>
  </si>
  <si>
    <t>468</t>
  </si>
  <si>
    <t>יאנוח-ג'ת</t>
  </si>
  <si>
    <t>469</t>
  </si>
  <si>
    <t>יבול</t>
  </si>
  <si>
    <t>470</t>
  </si>
  <si>
    <t>יבנאל</t>
  </si>
  <si>
    <t>471</t>
  </si>
  <si>
    <t>יבנה</t>
  </si>
  <si>
    <t>472</t>
  </si>
  <si>
    <t>יגור</t>
  </si>
  <si>
    <t>473</t>
  </si>
  <si>
    <t>יגל</t>
  </si>
  <si>
    <t>474</t>
  </si>
  <si>
    <t>יד בנימין</t>
  </si>
  <si>
    <t>475</t>
  </si>
  <si>
    <t>יד השמונה</t>
  </si>
  <si>
    <t>476</t>
  </si>
  <si>
    <t>יד חנה</t>
  </si>
  <si>
    <t>477</t>
  </si>
  <si>
    <t>יד מרדכי</t>
  </si>
  <si>
    <t>478</t>
  </si>
  <si>
    <t>יד נתן</t>
  </si>
  <si>
    <t>479</t>
  </si>
  <si>
    <t>יד רמב"ם</t>
  </si>
  <si>
    <t>480</t>
  </si>
  <si>
    <t>ידידה</t>
  </si>
  <si>
    <t>481</t>
  </si>
  <si>
    <t>יהוד</t>
  </si>
  <si>
    <t>482</t>
  </si>
  <si>
    <t>יהל</t>
  </si>
  <si>
    <t>483</t>
  </si>
  <si>
    <t>יובל</t>
  </si>
  <si>
    <t>484</t>
  </si>
  <si>
    <t>יובלים</t>
  </si>
  <si>
    <t>485</t>
  </si>
  <si>
    <t>יודפת</t>
  </si>
  <si>
    <t>486</t>
  </si>
  <si>
    <t>יונתן</t>
  </si>
  <si>
    <t>487</t>
  </si>
  <si>
    <t>יושיביה</t>
  </si>
  <si>
    <t>488</t>
  </si>
  <si>
    <t>יזרעאל</t>
  </si>
  <si>
    <t>489</t>
  </si>
  <si>
    <t>יחיעם</t>
  </si>
  <si>
    <t>490</t>
  </si>
  <si>
    <t>יטבתה</t>
  </si>
  <si>
    <t>491</t>
  </si>
  <si>
    <t>ייט"ב</t>
  </si>
  <si>
    <t>492</t>
  </si>
  <si>
    <t>יכיני</t>
  </si>
  <si>
    <t>493</t>
  </si>
  <si>
    <t>ים המלח - בתי מלון</t>
  </si>
  <si>
    <t>494</t>
  </si>
  <si>
    <t>ינוב</t>
  </si>
  <si>
    <t>495</t>
  </si>
  <si>
    <t>ינון</t>
  </si>
  <si>
    <t>496</t>
  </si>
  <si>
    <t>יסוד המעלה</t>
  </si>
  <si>
    <t>497</t>
  </si>
  <si>
    <t>יסודות</t>
  </si>
  <si>
    <t>498</t>
  </si>
  <si>
    <t>יסעור</t>
  </si>
  <si>
    <t>499</t>
  </si>
  <si>
    <t>יעד</t>
  </si>
  <si>
    <t>500</t>
  </si>
  <si>
    <t>יעל</t>
  </si>
  <si>
    <t>501</t>
  </si>
  <si>
    <t>יעף</t>
  </si>
  <si>
    <t>502</t>
  </si>
  <si>
    <t>יערה</t>
  </si>
  <si>
    <t>503</t>
  </si>
  <si>
    <t>יפיע</t>
  </si>
  <si>
    <t>504</t>
  </si>
  <si>
    <t>יפית</t>
  </si>
  <si>
    <t>505</t>
  </si>
  <si>
    <t>יפעת</t>
  </si>
  <si>
    <t>506</t>
  </si>
  <si>
    <t>יפתח</t>
  </si>
  <si>
    <t>507</t>
  </si>
  <si>
    <t>יצהר</t>
  </si>
  <si>
    <t>508</t>
  </si>
  <si>
    <t>יציץ</t>
  </si>
  <si>
    <t>509</t>
  </si>
  <si>
    <t>יקום</t>
  </si>
  <si>
    <t>510</t>
  </si>
  <si>
    <t>יקיר</t>
  </si>
  <si>
    <t>511</t>
  </si>
  <si>
    <t>יקנעם (מושבה)</t>
  </si>
  <si>
    <t>512</t>
  </si>
  <si>
    <t>יקנעם עילית</t>
  </si>
  <si>
    <t>513</t>
  </si>
  <si>
    <t>יראון</t>
  </si>
  <si>
    <t>514</t>
  </si>
  <si>
    <t>ירדנה</t>
  </si>
  <si>
    <t>515</t>
  </si>
  <si>
    <t>ירוחם</t>
  </si>
  <si>
    <t>516</t>
  </si>
  <si>
    <t>517</t>
  </si>
  <si>
    <t>ירחיב</t>
  </si>
  <si>
    <t>518</t>
  </si>
  <si>
    <t>ירכא</t>
  </si>
  <si>
    <t>519</t>
  </si>
  <si>
    <t>ירקונה</t>
  </si>
  <si>
    <t>520</t>
  </si>
  <si>
    <t>ישע</t>
  </si>
  <si>
    <t>521</t>
  </si>
  <si>
    <t>ישעי</t>
  </si>
  <si>
    <t>522</t>
  </si>
  <si>
    <t>ישרש</t>
  </si>
  <si>
    <t>523</t>
  </si>
  <si>
    <t>יתד</t>
  </si>
  <si>
    <t>524</t>
  </si>
  <si>
    <t>כאבול</t>
  </si>
  <si>
    <t>525</t>
  </si>
  <si>
    <t>כאוכב אבו אל-היג'א</t>
  </si>
  <si>
    <t>526</t>
  </si>
  <si>
    <t>כברי</t>
  </si>
  <si>
    <t>527</t>
  </si>
  <si>
    <t>כדורי</t>
  </si>
  <si>
    <t>528</t>
  </si>
  <si>
    <t>כדיתה</t>
  </si>
  <si>
    <t>529</t>
  </si>
  <si>
    <t>כוכב השחר</t>
  </si>
  <si>
    <t>530</t>
  </si>
  <si>
    <t>כוכב יאיר</t>
  </si>
  <si>
    <t>531</t>
  </si>
  <si>
    <t>כוכב יעקב</t>
  </si>
  <si>
    <t>532</t>
  </si>
  <si>
    <t>כוכב מיכאל</t>
  </si>
  <si>
    <t>533</t>
  </si>
  <si>
    <t>כורזים</t>
  </si>
  <si>
    <t>534</t>
  </si>
  <si>
    <t>כחל</t>
  </si>
  <si>
    <t>535</t>
  </si>
  <si>
    <t>כחלה</t>
  </si>
  <si>
    <t>536</t>
  </si>
  <si>
    <t>כיסופים</t>
  </si>
  <si>
    <t>537</t>
  </si>
  <si>
    <t>כישור</t>
  </si>
  <si>
    <t>538</t>
  </si>
  <si>
    <t>כליל</t>
  </si>
  <si>
    <t>539</t>
  </si>
  <si>
    <t>כלנית</t>
  </si>
  <si>
    <t>540</t>
  </si>
  <si>
    <t>כמאנה</t>
  </si>
  <si>
    <t>541</t>
  </si>
  <si>
    <t>כמהין</t>
  </si>
  <si>
    <t>542</t>
  </si>
  <si>
    <t>כמון</t>
  </si>
  <si>
    <t>543</t>
  </si>
  <si>
    <t>כנות</t>
  </si>
  <si>
    <t>544</t>
  </si>
  <si>
    <t>כנף</t>
  </si>
  <si>
    <t>545</t>
  </si>
  <si>
    <t>כנרת (מושבה)</t>
  </si>
  <si>
    <t>546</t>
  </si>
  <si>
    <t>כנרת (קבוצה)</t>
  </si>
  <si>
    <t>547</t>
  </si>
  <si>
    <t>כסיפה</t>
  </si>
  <si>
    <t>548</t>
  </si>
  <si>
    <t>כסלון</t>
  </si>
  <si>
    <t>549</t>
  </si>
  <si>
    <t>כסרא-סמיע</t>
  </si>
  <si>
    <t>550</t>
  </si>
  <si>
    <t>כעביה-טבאש-חג'אג'רה</t>
  </si>
  <si>
    <t>551</t>
  </si>
  <si>
    <t>כפר אביב</t>
  </si>
  <si>
    <t>552</t>
  </si>
  <si>
    <t>כפר אדומים</t>
  </si>
  <si>
    <t>553</t>
  </si>
  <si>
    <t>כפר אוריה</t>
  </si>
  <si>
    <t>554</t>
  </si>
  <si>
    <t>כפר אחים</t>
  </si>
  <si>
    <t>555</t>
  </si>
  <si>
    <t>כפר ביאליק</t>
  </si>
  <si>
    <t>556</t>
  </si>
  <si>
    <t>כפר ביל"ו</t>
  </si>
  <si>
    <t>557</t>
  </si>
  <si>
    <t>כפר בלום</t>
  </si>
  <si>
    <t>558</t>
  </si>
  <si>
    <t>כפר בן נון</t>
  </si>
  <si>
    <t>559</t>
  </si>
  <si>
    <t>כפר ברא</t>
  </si>
  <si>
    <t>560</t>
  </si>
  <si>
    <t>כפר ברוך</t>
  </si>
  <si>
    <t>561</t>
  </si>
  <si>
    <t>כפר גדעון</t>
  </si>
  <si>
    <t>562</t>
  </si>
  <si>
    <t>כפר גלים</t>
  </si>
  <si>
    <t>563</t>
  </si>
  <si>
    <t>כפר גליקסון</t>
  </si>
  <si>
    <t>564</t>
  </si>
  <si>
    <t>כפר גלעדי</t>
  </si>
  <si>
    <t>565</t>
  </si>
  <si>
    <t>כפר דניאל</t>
  </si>
  <si>
    <t>566</t>
  </si>
  <si>
    <t>כפר האורנים</t>
  </si>
  <si>
    <t>567</t>
  </si>
  <si>
    <t>כפר החורש</t>
  </si>
  <si>
    <t>568</t>
  </si>
  <si>
    <t>כפר המכבי</t>
  </si>
  <si>
    <t>569</t>
  </si>
  <si>
    <t>כפר הנגיד</t>
  </si>
  <si>
    <t>570</t>
  </si>
  <si>
    <t>כפר הנוער הדתי</t>
  </si>
  <si>
    <t>571</t>
  </si>
  <si>
    <t>כפר הנשיא</t>
  </si>
  <si>
    <t>572</t>
  </si>
  <si>
    <t>כפר הס</t>
  </si>
  <si>
    <t>573</t>
  </si>
  <si>
    <t>כפר הרא"ה</t>
  </si>
  <si>
    <t>574</t>
  </si>
  <si>
    <t>כפר הרי"ף</t>
  </si>
  <si>
    <t>575</t>
  </si>
  <si>
    <t>כפר ויתקין</t>
  </si>
  <si>
    <t>576</t>
  </si>
  <si>
    <t>כפר ורבורג</t>
  </si>
  <si>
    <t>577</t>
  </si>
  <si>
    <t>כפר ורדים</t>
  </si>
  <si>
    <t>578</t>
  </si>
  <si>
    <t>כפר זוהרים</t>
  </si>
  <si>
    <t>579</t>
  </si>
  <si>
    <t>כפר זיתים</t>
  </si>
  <si>
    <t>580</t>
  </si>
  <si>
    <t>כפר חב"ד</t>
  </si>
  <si>
    <t>581</t>
  </si>
  <si>
    <t>כפר חושן</t>
  </si>
  <si>
    <t>582</t>
  </si>
  <si>
    <t>כפר חיטים</t>
  </si>
  <si>
    <t>583</t>
  </si>
  <si>
    <t>כפר חיים</t>
  </si>
  <si>
    <t>584</t>
  </si>
  <si>
    <t>כפר חנניה</t>
  </si>
  <si>
    <t>585</t>
  </si>
  <si>
    <t>כפר חסידים א'</t>
  </si>
  <si>
    <t>586</t>
  </si>
  <si>
    <t>כפר חסידים ב'</t>
  </si>
  <si>
    <t>587</t>
  </si>
  <si>
    <t>כפר חרוב</t>
  </si>
  <si>
    <t>588</t>
  </si>
  <si>
    <t>כפר טרומן</t>
  </si>
  <si>
    <t>589</t>
  </si>
  <si>
    <t>כפר יאסיף</t>
  </si>
  <si>
    <t>590</t>
  </si>
  <si>
    <t>כפר ידידיה</t>
  </si>
  <si>
    <t>591</t>
  </si>
  <si>
    <t>כפר יהושע</t>
  </si>
  <si>
    <t>592</t>
  </si>
  <si>
    <t>כפר יונה</t>
  </si>
  <si>
    <t>593</t>
  </si>
  <si>
    <t>כפר יחזקאל</t>
  </si>
  <si>
    <t>594</t>
  </si>
  <si>
    <t>כפר יעבץ</t>
  </si>
  <si>
    <t>595</t>
  </si>
  <si>
    <t>כפר כמא</t>
  </si>
  <si>
    <t>596</t>
  </si>
  <si>
    <t>כפר כנא</t>
  </si>
  <si>
    <t>597</t>
  </si>
  <si>
    <t>כפר מונש</t>
  </si>
  <si>
    <t>598</t>
  </si>
  <si>
    <t>כפר מימון</t>
  </si>
  <si>
    <t>599</t>
  </si>
  <si>
    <t>כפר מל"ל</t>
  </si>
  <si>
    <t>600</t>
  </si>
  <si>
    <t>כפר מנדא</t>
  </si>
  <si>
    <t>601</t>
  </si>
  <si>
    <t>כפר מנחם</t>
  </si>
  <si>
    <t>602</t>
  </si>
  <si>
    <t>כפר מסריק</t>
  </si>
  <si>
    <t>603</t>
  </si>
  <si>
    <t>כפר מצר</t>
  </si>
  <si>
    <t>604</t>
  </si>
  <si>
    <t>כפר מרדכי</t>
  </si>
  <si>
    <t>605</t>
  </si>
  <si>
    <t>כפר נטר</t>
  </si>
  <si>
    <t>606</t>
  </si>
  <si>
    <t>כפר סאלד</t>
  </si>
  <si>
    <t>607</t>
  </si>
  <si>
    <t>כפר סבא</t>
  </si>
  <si>
    <t>608</t>
  </si>
  <si>
    <t>כפר סילבר</t>
  </si>
  <si>
    <t>609</t>
  </si>
  <si>
    <t>כפר סירקין</t>
  </si>
  <si>
    <t>610</t>
  </si>
  <si>
    <t>כפר עבודה</t>
  </si>
  <si>
    <t>611</t>
  </si>
  <si>
    <t>כפר עזה</t>
  </si>
  <si>
    <t>612</t>
  </si>
  <si>
    <t>כפר עציון</t>
  </si>
  <si>
    <t>613</t>
  </si>
  <si>
    <t>כפר פינס</t>
  </si>
  <si>
    <t>614</t>
  </si>
  <si>
    <t>כפר קאסם</t>
  </si>
  <si>
    <t>615</t>
  </si>
  <si>
    <t>כפר קיש</t>
  </si>
  <si>
    <t>616</t>
  </si>
  <si>
    <t>כפר קרע</t>
  </si>
  <si>
    <t>617</t>
  </si>
  <si>
    <t>כפר ראש הנקרה</t>
  </si>
  <si>
    <t>618</t>
  </si>
  <si>
    <t>כפר רוזנואלד (זרעית)</t>
  </si>
  <si>
    <t>619</t>
  </si>
  <si>
    <t>כפר רופין</t>
  </si>
  <si>
    <t>620</t>
  </si>
  <si>
    <t>כפר רות</t>
  </si>
  <si>
    <t>621</t>
  </si>
  <si>
    <t>כפר שמאי</t>
  </si>
  <si>
    <t>622</t>
  </si>
  <si>
    <t>כפר שמואל</t>
  </si>
  <si>
    <t>623</t>
  </si>
  <si>
    <t>כפר שמריהו</t>
  </si>
  <si>
    <t>624</t>
  </si>
  <si>
    <t>כפר תבור</t>
  </si>
  <si>
    <t>625</t>
  </si>
  <si>
    <t>כפר תפוח</t>
  </si>
  <si>
    <t>626</t>
  </si>
  <si>
    <t>כרכום</t>
  </si>
  <si>
    <t>627</t>
  </si>
  <si>
    <t>כרם בן זמרה</t>
  </si>
  <si>
    <t>628</t>
  </si>
  <si>
    <t>כרם בן שמן</t>
  </si>
  <si>
    <t>629</t>
  </si>
  <si>
    <t>כרם יבנה (ישיבה)</t>
  </si>
  <si>
    <t>630</t>
  </si>
  <si>
    <t>כרם מהר"ל</t>
  </si>
  <si>
    <t>631</t>
  </si>
  <si>
    <t>כרם שלום</t>
  </si>
  <si>
    <t>632</t>
  </si>
  <si>
    <t>כרמי יוסף</t>
  </si>
  <si>
    <t>633</t>
  </si>
  <si>
    <t>כרמי צור</t>
  </si>
  <si>
    <t>634</t>
  </si>
  <si>
    <t>כרמיאל</t>
  </si>
  <si>
    <t>635</t>
  </si>
  <si>
    <t>כרמייה</t>
  </si>
  <si>
    <t>636</t>
  </si>
  <si>
    <t>כרמים</t>
  </si>
  <si>
    <t>637</t>
  </si>
  <si>
    <t>כרמל</t>
  </si>
  <si>
    <t>638</t>
  </si>
  <si>
    <t>לבון</t>
  </si>
  <si>
    <t>639</t>
  </si>
  <si>
    <t>לביא</t>
  </si>
  <si>
    <t>640</t>
  </si>
  <si>
    <t>לבנים</t>
  </si>
  <si>
    <t>641</t>
  </si>
  <si>
    <t>להב</t>
  </si>
  <si>
    <t>642</t>
  </si>
  <si>
    <t>להבות הבשן</t>
  </si>
  <si>
    <t>643</t>
  </si>
  <si>
    <t>להבות חביבה</t>
  </si>
  <si>
    <t>644</t>
  </si>
  <si>
    <t>להבים</t>
  </si>
  <si>
    <t>645</t>
  </si>
  <si>
    <t>לוד</t>
  </si>
  <si>
    <t>646</t>
  </si>
  <si>
    <t>לוזית</t>
  </si>
  <si>
    <t>647</t>
  </si>
  <si>
    <t>לוחמי הגיטאות</t>
  </si>
  <si>
    <t>648</t>
  </si>
  <si>
    <t>לוטם</t>
  </si>
  <si>
    <t>649</t>
  </si>
  <si>
    <t>לוטן</t>
  </si>
  <si>
    <t>650</t>
  </si>
  <si>
    <t>לימן</t>
  </si>
  <si>
    <t>651</t>
  </si>
  <si>
    <t>לכיש</t>
  </si>
  <si>
    <t>652</t>
  </si>
  <si>
    <t>לפיד</t>
  </si>
  <si>
    <t>653</t>
  </si>
  <si>
    <t>לפידות</t>
  </si>
  <si>
    <t>654</t>
  </si>
  <si>
    <t>לקיה</t>
  </si>
  <si>
    <t>655</t>
  </si>
  <si>
    <t>מאור</t>
  </si>
  <si>
    <t>656</t>
  </si>
  <si>
    <t>מאיר שפיה</t>
  </si>
  <si>
    <t>657</t>
  </si>
  <si>
    <t>מבוא ביתר</t>
  </si>
  <si>
    <t>658</t>
  </si>
  <si>
    <t>מבוא דותן</t>
  </si>
  <si>
    <t>659</t>
  </si>
  <si>
    <t>מבוא חורון</t>
  </si>
  <si>
    <t>660</t>
  </si>
  <si>
    <t>מבוא חמה</t>
  </si>
  <si>
    <t>661</t>
  </si>
  <si>
    <t>מבוא מודיעים</t>
  </si>
  <si>
    <t>662</t>
  </si>
  <si>
    <t>מבואות ים</t>
  </si>
  <si>
    <t>663</t>
  </si>
  <si>
    <t>מבועים</t>
  </si>
  <si>
    <t>664</t>
  </si>
  <si>
    <t>מבטחים</t>
  </si>
  <si>
    <t>665</t>
  </si>
  <si>
    <t>מבקיעים</t>
  </si>
  <si>
    <t>666</t>
  </si>
  <si>
    <t>מבשרת ציון</t>
  </si>
  <si>
    <t>667</t>
  </si>
  <si>
    <t>מג'ד אל-כרום</t>
  </si>
  <si>
    <t>668</t>
  </si>
  <si>
    <t>מג'דל שמס</t>
  </si>
  <si>
    <t>669</t>
  </si>
  <si>
    <t>מגאר</t>
  </si>
  <si>
    <t>670</t>
  </si>
  <si>
    <t>מגדים</t>
  </si>
  <si>
    <t>671</t>
  </si>
  <si>
    <t>מגדל</t>
  </si>
  <si>
    <t>672</t>
  </si>
  <si>
    <t>מגדל העמק</t>
  </si>
  <si>
    <t>673</t>
  </si>
  <si>
    <t>מגדל עוז</t>
  </si>
  <si>
    <t>674</t>
  </si>
  <si>
    <t>מגדל תפן</t>
  </si>
  <si>
    <t>675</t>
  </si>
  <si>
    <t>מגדלים</t>
  </si>
  <si>
    <t>676</t>
  </si>
  <si>
    <t>מגידו</t>
  </si>
  <si>
    <t>677</t>
  </si>
  <si>
    <t>מגל</t>
  </si>
  <si>
    <t>678</t>
  </si>
  <si>
    <t>מגן</t>
  </si>
  <si>
    <t>679</t>
  </si>
  <si>
    <t>מגן שאול</t>
  </si>
  <si>
    <t>680</t>
  </si>
  <si>
    <t>מגשימים</t>
  </si>
  <si>
    <t>681</t>
  </si>
  <si>
    <t>מדרך עוז</t>
  </si>
  <si>
    <t>682</t>
  </si>
  <si>
    <t>מדרשת בן גוריון</t>
  </si>
  <si>
    <t>683</t>
  </si>
  <si>
    <t>מדרשת רופין</t>
  </si>
  <si>
    <t>684</t>
  </si>
  <si>
    <t>מודיעין-מכבים-רעות*</t>
  </si>
  <si>
    <t>685</t>
  </si>
  <si>
    <t>מודיעין עילית</t>
  </si>
  <si>
    <t>686</t>
  </si>
  <si>
    <t>מולדה*</t>
  </si>
  <si>
    <t>687</t>
  </si>
  <si>
    <t>מולדת</t>
  </si>
  <si>
    <t>688</t>
  </si>
  <si>
    <t>מוצא עילית</t>
  </si>
  <si>
    <t>689</t>
  </si>
  <si>
    <t>מוקייבלה</t>
  </si>
  <si>
    <t>690</t>
  </si>
  <si>
    <t>מורן</t>
  </si>
  <si>
    <t>691</t>
  </si>
  <si>
    <t>מורשת</t>
  </si>
  <si>
    <t>692</t>
  </si>
  <si>
    <t>מזור</t>
  </si>
  <si>
    <t>693</t>
  </si>
  <si>
    <t>מזכרת בתיה</t>
  </si>
  <si>
    <t>694</t>
  </si>
  <si>
    <t>מזרע</t>
  </si>
  <si>
    <t>695</t>
  </si>
  <si>
    <t>מזרעה</t>
  </si>
  <si>
    <t>696</t>
  </si>
  <si>
    <t>מחולה</t>
  </si>
  <si>
    <t>697</t>
  </si>
  <si>
    <t>מחנה הילה*</t>
  </si>
  <si>
    <t>698</t>
  </si>
  <si>
    <t>מחנה טלי*</t>
  </si>
  <si>
    <t>699</t>
  </si>
  <si>
    <t>מחנה יבור</t>
  </si>
  <si>
    <t>700</t>
  </si>
  <si>
    <t>מחנה יהודית*</t>
  </si>
  <si>
    <t>701</t>
  </si>
  <si>
    <t>מחנה יוכבד*</t>
  </si>
  <si>
    <t>702</t>
  </si>
  <si>
    <t>מחנה יפה*</t>
  </si>
  <si>
    <t>703</t>
  </si>
  <si>
    <t>מחנה יתיר</t>
  </si>
  <si>
    <t>704</t>
  </si>
  <si>
    <t>מחנה מרים*</t>
  </si>
  <si>
    <t>705</t>
  </si>
  <si>
    <t>מחנה עדי*</t>
  </si>
  <si>
    <t>706</t>
  </si>
  <si>
    <t>מחנה תל נוף*</t>
  </si>
  <si>
    <t>707</t>
  </si>
  <si>
    <t>מחניים</t>
  </si>
  <si>
    <t>708</t>
  </si>
  <si>
    <t>מחסיה</t>
  </si>
  <si>
    <t>709</t>
  </si>
  <si>
    <t>מטולה</t>
  </si>
  <si>
    <t>710</t>
  </si>
  <si>
    <t>מטע</t>
  </si>
  <si>
    <t>711</t>
  </si>
  <si>
    <t>מי עמי</t>
  </si>
  <si>
    <t>712</t>
  </si>
  <si>
    <t>מיטב</t>
  </si>
  <si>
    <t>713</t>
  </si>
  <si>
    <t>מייסר</t>
  </si>
  <si>
    <t>714</t>
  </si>
  <si>
    <t>מיצר</t>
  </si>
  <si>
    <t>715</t>
  </si>
  <si>
    <t>מירב</t>
  </si>
  <si>
    <t>716</t>
  </si>
  <si>
    <t>מירון</t>
  </si>
  <si>
    <t>717</t>
  </si>
  <si>
    <t>מישר</t>
  </si>
  <si>
    <t>718</t>
  </si>
  <si>
    <t>מיתר</t>
  </si>
  <si>
    <t>719</t>
  </si>
  <si>
    <t>מכורה</t>
  </si>
  <si>
    <t>720</t>
  </si>
  <si>
    <t>מכחול</t>
  </si>
  <si>
    <t>721</t>
  </si>
  <si>
    <t>מכמורת</t>
  </si>
  <si>
    <t>722</t>
  </si>
  <si>
    <t>מכמנים</t>
  </si>
  <si>
    <t>723</t>
  </si>
  <si>
    <t>מלאה</t>
  </si>
  <si>
    <t>724</t>
  </si>
  <si>
    <t>מלילות</t>
  </si>
  <si>
    <t>725</t>
  </si>
  <si>
    <t>מלכייה</t>
  </si>
  <si>
    <t>726</t>
  </si>
  <si>
    <t>מלכישוע</t>
  </si>
  <si>
    <t>727</t>
  </si>
  <si>
    <t>מנוחה</t>
  </si>
  <si>
    <t>728</t>
  </si>
  <si>
    <t>מנוף</t>
  </si>
  <si>
    <t>729</t>
  </si>
  <si>
    <t>מנות</t>
  </si>
  <si>
    <t>730</t>
  </si>
  <si>
    <t>מנחמיה</t>
  </si>
  <si>
    <t>731</t>
  </si>
  <si>
    <t>מנרה</t>
  </si>
  <si>
    <t>732</t>
  </si>
  <si>
    <t>מנשית זבדה</t>
  </si>
  <si>
    <t>733</t>
  </si>
  <si>
    <t>מסד</t>
  </si>
  <si>
    <t>734</t>
  </si>
  <si>
    <t>מסדה</t>
  </si>
  <si>
    <t>735</t>
  </si>
  <si>
    <t>מסילות</t>
  </si>
  <si>
    <t>736</t>
  </si>
  <si>
    <t>מסילת ציון</t>
  </si>
  <si>
    <t>737</t>
  </si>
  <si>
    <t>מסלול</t>
  </si>
  <si>
    <t>738</t>
  </si>
  <si>
    <t>מסעדה</t>
  </si>
  <si>
    <t>739</t>
  </si>
  <si>
    <t>מסעודין אל-עזאזמה (שבט)</t>
  </si>
  <si>
    <t>740</t>
  </si>
  <si>
    <t>מעברות</t>
  </si>
  <si>
    <t>741</t>
  </si>
  <si>
    <t>מעגלים</t>
  </si>
  <si>
    <t>742</t>
  </si>
  <si>
    <t>מעגן</t>
  </si>
  <si>
    <t>743</t>
  </si>
  <si>
    <t>מעגן מיכאל</t>
  </si>
  <si>
    <t>744</t>
  </si>
  <si>
    <t>מעוז חיים</t>
  </si>
  <si>
    <t>745</t>
  </si>
  <si>
    <t>מעון</t>
  </si>
  <si>
    <t>746</t>
  </si>
  <si>
    <t>מעונה</t>
  </si>
  <si>
    <t>747</t>
  </si>
  <si>
    <t>מעיין ברוך</t>
  </si>
  <si>
    <t>748</t>
  </si>
  <si>
    <t>מעיין צבי</t>
  </si>
  <si>
    <t>749</t>
  </si>
  <si>
    <t>מעיליא</t>
  </si>
  <si>
    <t>750</t>
  </si>
  <si>
    <t>מעלה אדומים</t>
  </si>
  <si>
    <t>751</t>
  </si>
  <si>
    <t>מעלה אפרים</t>
  </si>
  <si>
    <t>752</t>
  </si>
  <si>
    <t>מעלה גלבוע</t>
  </si>
  <si>
    <t>753</t>
  </si>
  <si>
    <t>מעלה גמלא</t>
  </si>
  <si>
    <t>754</t>
  </si>
  <si>
    <t>מעלה החמישה</t>
  </si>
  <si>
    <t>755</t>
  </si>
  <si>
    <t>מעלה לבונה</t>
  </si>
  <si>
    <t>756</t>
  </si>
  <si>
    <t>מעלה מכמש</t>
  </si>
  <si>
    <t>757</t>
  </si>
  <si>
    <t>מעלה עירון</t>
  </si>
  <si>
    <t>758</t>
  </si>
  <si>
    <t>מעלה עמוס</t>
  </si>
  <si>
    <t>759</t>
  </si>
  <si>
    <t>מעלה שומרון</t>
  </si>
  <si>
    <t>760</t>
  </si>
  <si>
    <t>מעלות-תרשיחא</t>
  </si>
  <si>
    <t>761</t>
  </si>
  <si>
    <t>מענית</t>
  </si>
  <si>
    <t>762</t>
  </si>
  <si>
    <t>מעש</t>
  </si>
  <si>
    <t>763</t>
  </si>
  <si>
    <t>מפלסים</t>
  </si>
  <si>
    <t>764</t>
  </si>
  <si>
    <t>מפעלי אבשלום</t>
  </si>
  <si>
    <t>765</t>
  </si>
  <si>
    <t>מפעלי ברקן*</t>
  </si>
  <si>
    <t>766</t>
  </si>
  <si>
    <t>מפעלי גליל עליון</t>
  </si>
  <si>
    <t>767</t>
  </si>
  <si>
    <t>מפעלי גרנות</t>
  </si>
  <si>
    <t>768</t>
  </si>
  <si>
    <t>מפעלי הר טוב*</t>
  </si>
  <si>
    <t>769</t>
  </si>
  <si>
    <t>מפעלי יזרעאל* (העמק)</t>
  </si>
  <si>
    <t>770</t>
  </si>
  <si>
    <t>מפעלי ים המלח (סדום)</t>
  </si>
  <si>
    <t>771</t>
  </si>
  <si>
    <t>מפעלי כנות</t>
  </si>
  <si>
    <t>772</t>
  </si>
  <si>
    <t>מפעלי מעון*</t>
  </si>
  <si>
    <t>773</t>
  </si>
  <si>
    <t>מפעלי צומת מלאכי*</t>
  </si>
  <si>
    <t>774</t>
  </si>
  <si>
    <t>מפעלי צין - ערבה</t>
  </si>
  <si>
    <t>775</t>
  </si>
  <si>
    <t>מפעלי צמח</t>
  </si>
  <si>
    <t>776</t>
  </si>
  <si>
    <t>מפעלי רותם</t>
  </si>
  <si>
    <t>777</t>
  </si>
  <si>
    <t>מפעלי שאן*</t>
  </si>
  <si>
    <t>778</t>
  </si>
  <si>
    <t>מצדות יהודה</t>
  </si>
  <si>
    <t>779</t>
  </si>
  <si>
    <t>מצובה</t>
  </si>
  <si>
    <t>780</t>
  </si>
  <si>
    <t>מצליח</t>
  </si>
  <si>
    <t>781</t>
  </si>
  <si>
    <t>מצפה</t>
  </si>
  <si>
    <t>782</t>
  </si>
  <si>
    <t>מצפה אבי"ב</t>
  </si>
  <si>
    <t>783</t>
  </si>
  <si>
    <t>מצפה אילן</t>
  </si>
  <si>
    <t>784</t>
  </si>
  <si>
    <t>מצפה יריחו</t>
  </si>
  <si>
    <t>785</t>
  </si>
  <si>
    <t>מצפה נטופה</t>
  </si>
  <si>
    <t>786</t>
  </si>
  <si>
    <t>מצפה רמון</t>
  </si>
  <si>
    <t>787</t>
  </si>
  <si>
    <t>מצפה שלם</t>
  </si>
  <si>
    <t>788</t>
  </si>
  <si>
    <t>מצר</t>
  </si>
  <si>
    <t>789</t>
  </si>
  <si>
    <t>מקווה ישראל</t>
  </si>
  <si>
    <t>790</t>
  </si>
  <si>
    <t>מרגליות</t>
  </si>
  <si>
    <t>791</t>
  </si>
  <si>
    <t>מרום גולן</t>
  </si>
  <si>
    <t>792</t>
  </si>
  <si>
    <t>מרחב עם</t>
  </si>
  <si>
    <t>793</t>
  </si>
  <si>
    <t>מרחביה (מושב)</t>
  </si>
  <si>
    <t>794</t>
  </si>
  <si>
    <t>מרחביה (קיבוץ)</t>
  </si>
  <si>
    <t>795</t>
  </si>
  <si>
    <t>מרכז אזורי כדורי</t>
  </si>
  <si>
    <t>796</t>
  </si>
  <si>
    <t>מרכז אזורי מרום הגליל</t>
  </si>
  <si>
    <t>797</t>
  </si>
  <si>
    <t>מרכז אזורי משגב</t>
  </si>
  <si>
    <t>798</t>
  </si>
  <si>
    <t>מרכז כ"ח</t>
  </si>
  <si>
    <t>799</t>
  </si>
  <si>
    <t>מרכז מיר"ב*</t>
  </si>
  <si>
    <t>800</t>
  </si>
  <si>
    <t>מרכז שוהם</t>
  </si>
  <si>
    <t>801</t>
  </si>
  <si>
    <t>מרכז שפירא</t>
  </si>
  <si>
    <t>802</t>
  </si>
  <si>
    <t>משאבי שדה</t>
  </si>
  <si>
    <t>803</t>
  </si>
  <si>
    <t>משגב דב</t>
  </si>
  <si>
    <t>804</t>
  </si>
  <si>
    <t>משגב עם</t>
  </si>
  <si>
    <t>805</t>
  </si>
  <si>
    <t>משהד</t>
  </si>
  <si>
    <t>806</t>
  </si>
  <si>
    <t>משואה</t>
  </si>
  <si>
    <t>807</t>
  </si>
  <si>
    <t>משואות יצחק</t>
  </si>
  <si>
    <t>808</t>
  </si>
  <si>
    <t>משכיות</t>
  </si>
  <si>
    <t>809</t>
  </si>
  <si>
    <t>משמר איילון</t>
  </si>
  <si>
    <t>810</t>
  </si>
  <si>
    <t>משמר דוד</t>
  </si>
  <si>
    <t>811</t>
  </si>
  <si>
    <t>משמר הירדן</t>
  </si>
  <si>
    <t>812</t>
  </si>
  <si>
    <t>משמר הנגב</t>
  </si>
  <si>
    <t>813</t>
  </si>
  <si>
    <t>משמר העמק</t>
  </si>
  <si>
    <t>814</t>
  </si>
  <si>
    <t>משמר השבעה</t>
  </si>
  <si>
    <t>815</t>
  </si>
  <si>
    <t>משמר השרון</t>
  </si>
  <si>
    <t>816</t>
  </si>
  <si>
    <t>משמרות</t>
  </si>
  <si>
    <t>817</t>
  </si>
  <si>
    <t>משמרת</t>
  </si>
  <si>
    <t>818</t>
  </si>
  <si>
    <t>משען</t>
  </si>
  <si>
    <t>819</t>
  </si>
  <si>
    <t>מתן</t>
  </si>
  <si>
    <t>820</t>
  </si>
  <si>
    <t>מתת</t>
  </si>
  <si>
    <t>821</t>
  </si>
  <si>
    <t>מתתיהו</t>
  </si>
  <si>
    <t>822</t>
  </si>
  <si>
    <t>נאות גולן</t>
  </si>
  <si>
    <t>823</t>
  </si>
  <si>
    <t>נאות הכיכר</t>
  </si>
  <si>
    <t>824</t>
  </si>
  <si>
    <t>נאות מרדכי</t>
  </si>
  <si>
    <t>825</t>
  </si>
  <si>
    <t>נאות סמדר</t>
  </si>
  <si>
    <t>826</t>
  </si>
  <si>
    <t>נאעורה</t>
  </si>
  <si>
    <t>827</t>
  </si>
  <si>
    <t>נבטים</t>
  </si>
  <si>
    <t>828</t>
  </si>
  <si>
    <t>נגבה</t>
  </si>
  <si>
    <t>829</t>
  </si>
  <si>
    <t>נגוהות</t>
  </si>
  <si>
    <t>830</t>
  </si>
  <si>
    <t>נהורה</t>
  </si>
  <si>
    <t>831</t>
  </si>
  <si>
    <t>נהלל</t>
  </si>
  <si>
    <t>832</t>
  </si>
  <si>
    <t>נהרייה</t>
  </si>
  <si>
    <t>833</t>
  </si>
  <si>
    <t>נוב</t>
  </si>
  <si>
    <t>834</t>
  </si>
  <si>
    <t>נוגה</t>
  </si>
  <si>
    <t>835</t>
  </si>
  <si>
    <t>נווה אבות</t>
  </si>
  <si>
    <t>836</t>
  </si>
  <si>
    <t>נווה אור</t>
  </si>
  <si>
    <t>837</t>
  </si>
  <si>
    <t>נווה אטי"ב</t>
  </si>
  <si>
    <t>838</t>
  </si>
  <si>
    <t>נווה אילן</t>
  </si>
  <si>
    <t>839</t>
  </si>
  <si>
    <t>נווה אילן*</t>
  </si>
  <si>
    <t>840</t>
  </si>
  <si>
    <t>נווה איתן</t>
  </si>
  <si>
    <t>841</t>
  </si>
  <si>
    <t>נווה דניאל</t>
  </si>
  <si>
    <t>842</t>
  </si>
  <si>
    <t>נווה זוהר</t>
  </si>
  <si>
    <t>843</t>
  </si>
  <si>
    <t>נווה זיו</t>
  </si>
  <si>
    <t>844</t>
  </si>
  <si>
    <t>נווה חריף</t>
  </si>
  <si>
    <t>845</t>
  </si>
  <si>
    <t>נווה ים</t>
  </si>
  <si>
    <t>846</t>
  </si>
  <si>
    <t>נווה ימין</t>
  </si>
  <si>
    <t>847</t>
  </si>
  <si>
    <t>נווה ירק</t>
  </si>
  <si>
    <t>848</t>
  </si>
  <si>
    <t>נווה מבטח</t>
  </si>
  <si>
    <t>849</t>
  </si>
  <si>
    <t>נווה מיכאל</t>
  </si>
  <si>
    <t>850</t>
  </si>
  <si>
    <t>נווה שלום</t>
  </si>
  <si>
    <t>851</t>
  </si>
  <si>
    <t>נועם</t>
  </si>
  <si>
    <t>852</t>
  </si>
  <si>
    <t>נוף איילון</t>
  </si>
  <si>
    <t>853</t>
  </si>
  <si>
    <t>נופים</t>
  </si>
  <si>
    <t>854</t>
  </si>
  <si>
    <t>נופית</t>
  </si>
  <si>
    <t>855</t>
  </si>
  <si>
    <t>נופך</t>
  </si>
  <si>
    <t>856</t>
  </si>
  <si>
    <t>נוקדים</t>
  </si>
  <si>
    <t>857</t>
  </si>
  <si>
    <t>נורדייה</t>
  </si>
  <si>
    <t>858</t>
  </si>
  <si>
    <t>נורית</t>
  </si>
  <si>
    <t>859</t>
  </si>
  <si>
    <t>נחושה</t>
  </si>
  <si>
    <t>860</t>
  </si>
  <si>
    <t>נחל עוז</t>
  </si>
  <si>
    <t>861</t>
  </si>
  <si>
    <t>נחלה</t>
  </si>
  <si>
    <t>862</t>
  </si>
  <si>
    <t>נחליאל</t>
  </si>
  <si>
    <t>863</t>
  </si>
  <si>
    <t>נחלים</t>
  </si>
  <si>
    <t>864</t>
  </si>
  <si>
    <t>נחם</t>
  </si>
  <si>
    <t>865</t>
  </si>
  <si>
    <t>נחף</t>
  </si>
  <si>
    <t>866</t>
  </si>
  <si>
    <t>נחשולים</t>
  </si>
  <si>
    <t>867</t>
  </si>
  <si>
    <t>נחשון</t>
  </si>
  <si>
    <t>868</t>
  </si>
  <si>
    <t>נחשונים</t>
  </si>
  <si>
    <t>869</t>
  </si>
  <si>
    <t>נטועה</t>
  </si>
  <si>
    <t>870</t>
  </si>
  <si>
    <t>נטור</t>
  </si>
  <si>
    <t>871</t>
  </si>
  <si>
    <t>נטעים</t>
  </si>
  <si>
    <t>872</t>
  </si>
  <si>
    <t>נטף</t>
  </si>
  <si>
    <t>873</t>
  </si>
  <si>
    <t>ניין</t>
  </si>
  <si>
    <t>874</t>
  </si>
  <si>
    <t>ניל"י</t>
  </si>
  <si>
    <t>875</t>
  </si>
  <si>
    <t>ניצן</t>
  </si>
  <si>
    <t>876</t>
  </si>
  <si>
    <t>ניצן ב'</t>
  </si>
  <si>
    <t>877</t>
  </si>
  <si>
    <t>ניצנה (קהילת חינוך)</t>
  </si>
  <si>
    <t>878</t>
  </si>
  <si>
    <t>ניצני סיני</t>
  </si>
  <si>
    <t>879</t>
  </si>
  <si>
    <t>ניצני עוז</t>
  </si>
  <si>
    <t>880</t>
  </si>
  <si>
    <t>ניצנים</t>
  </si>
  <si>
    <t>881</t>
  </si>
  <si>
    <t>ניר אליהו</t>
  </si>
  <si>
    <t>882</t>
  </si>
  <si>
    <t>ניר בנים</t>
  </si>
  <si>
    <t>883</t>
  </si>
  <si>
    <t>ניר גלים</t>
  </si>
  <si>
    <t>884</t>
  </si>
  <si>
    <t>ניר דוד (תל עמל)</t>
  </si>
  <si>
    <t>885</t>
  </si>
  <si>
    <t>ניר ח"ן</t>
  </si>
  <si>
    <t>886</t>
  </si>
  <si>
    <t>ניר יפה</t>
  </si>
  <si>
    <t>887</t>
  </si>
  <si>
    <t>ניר יצחק</t>
  </si>
  <si>
    <t>888</t>
  </si>
  <si>
    <t>ניר ישראל</t>
  </si>
  <si>
    <t>889</t>
  </si>
  <si>
    <t>ניר משה</t>
  </si>
  <si>
    <t>890</t>
  </si>
  <si>
    <t>ניר עוז</t>
  </si>
  <si>
    <t>891</t>
  </si>
  <si>
    <t>ניר עם</t>
  </si>
  <si>
    <t>892</t>
  </si>
  <si>
    <t>ניר עציון</t>
  </si>
  <si>
    <t>893</t>
  </si>
  <si>
    <t>ניר עקיבא</t>
  </si>
  <si>
    <t>894</t>
  </si>
  <si>
    <t>ניר צבי</t>
  </si>
  <si>
    <t>895</t>
  </si>
  <si>
    <t>נירים</t>
  </si>
  <si>
    <t>896</t>
  </si>
  <si>
    <t>נירית</t>
  </si>
  <si>
    <t>897</t>
  </si>
  <si>
    <t>נירן</t>
  </si>
  <si>
    <t>898</t>
  </si>
  <si>
    <t>נמל תעופה בן-גוריון</t>
  </si>
  <si>
    <t>899</t>
  </si>
  <si>
    <t>נס הרים</t>
  </si>
  <si>
    <t>900</t>
  </si>
  <si>
    <t>נס עמים</t>
  </si>
  <si>
    <t>901</t>
  </si>
  <si>
    <t>נס ציונה</t>
  </si>
  <si>
    <t>902</t>
  </si>
  <si>
    <t>נעורים</t>
  </si>
  <si>
    <t>903</t>
  </si>
  <si>
    <t>נעלה</t>
  </si>
  <si>
    <t>904</t>
  </si>
  <si>
    <t>נעמ"ה</t>
  </si>
  <si>
    <t>905</t>
  </si>
  <si>
    <t>נען</t>
  </si>
  <si>
    <t>906</t>
  </si>
  <si>
    <t>נצאצרה (שבט)</t>
  </si>
  <si>
    <t>907</t>
  </si>
  <si>
    <t>נצר סרני</t>
  </si>
  <si>
    <t>908</t>
  </si>
  <si>
    <t>נצרת</t>
  </si>
  <si>
    <t>909</t>
  </si>
  <si>
    <t>נצרת עילית</t>
  </si>
  <si>
    <t>910</t>
  </si>
  <si>
    <t>נשר</t>
  </si>
  <si>
    <t>911</t>
  </si>
  <si>
    <t>נתיב הגדוד</t>
  </si>
  <si>
    <t>912</t>
  </si>
  <si>
    <t>נתיב הל"ה</t>
  </si>
  <si>
    <t>913</t>
  </si>
  <si>
    <t>נתיב העשרה</t>
  </si>
  <si>
    <t>914</t>
  </si>
  <si>
    <t>נתיב השיירה</t>
  </si>
  <si>
    <t>915</t>
  </si>
  <si>
    <t>נתיבות</t>
  </si>
  <si>
    <t>916</t>
  </si>
  <si>
    <t>נתניה</t>
  </si>
  <si>
    <t>917</t>
  </si>
  <si>
    <t>סאג'ור</t>
  </si>
  <si>
    <t>918</t>
  </si>
  <si>
    <t>סאסא</t>
  </si>
  <si>
    <t>919</t>
  </si>
  <si>
    <t>סביון*</t>
  </si>
  <si>
    <t>920</t>
  </si>
  <si>
    <t>סגולה</t>
  </si>
  <si>
    <t>921</t>
  </si>
  <si>
    <t>סואעד (חמרייה*)</t>
  </si>
  <si>
    <t>922</t>
  </si>
  <si>
    <t>סואעד (כמאנה) (שבט)</t>
  </si>
  <si>
    <t>923</t>
  </si>
  <si>
    <t>סולם</t>
  </si>
  <si>
    <t>924</t>
  </si>
  <si>
    <t>סוסיה</t>
  </si>
  <si>
    <t>925</t>
  </si>
  <si>
    <t>סופה</t>
  </si>
  <si>
    <t>926</t>
  </si>
  <si>
    <t>סח'נין</t>
  </si>
  <si>
    <t>927</t>
  </si>
  <si>
    <t>סייד (שבט)</t>
  </si>
  <si>
    <t>928</t>
  </si>
  <si>
    <t>סלמה</t>
  </si>
  <si>
    <t>929</t>
  </si>
  <si>
    <t>סלעית</t>
  </si>
  <si>
    <t>930</t>
  </si>
  <si>
    <t>סמר</t>
  </si>
  <si>
    <t>931</t>
  </si>
  <si>
    <t>סעד</t>
  </si>
  <si>
    <t>932</t>
  </si>
  <si>
    <t>סער</t>
  </si>
  <si>
    <t>933</t>
  </si>
  <si>
    <t>ספיר</t>
  </si>
  <si>
    <t>934</t>
  </si>
  <si>
    <t>סתרייה</t>
  </si>
  <si>
    <t>935</t>
  </si>
  <si>
    <t>ע'ג'ר</t>
  </si>
  <si>
    <t>936</t>
  </si>
  <si>
    <t>עבדון</t>
  </si>
  <si>
    <t>937</t>
  </si>
  <si>
    <t>עברון</t>
  </si>
  <si>
    <t>938</t>
  </si>
  <si>
    <t>עגור</t>
  </si>
  <si>
    <t>939</t>
  </si>
  <si>
    <t>עד הלום</t>
  </si>
  <si>
    <t>940</t>
  </si>
  <si>
    <t>עדי</t>
  </si>
  <si>
    <t>941</t>
  </si>
  <si>
    <t>עדנים</t>
  </si>
  <si>
    <t>942</t>
  </si>
  <si>
    <t>עוזה</t>
  </si>
  <si>
    <t>943</t>
  </si>
  <si>
    <t>עוזייר</t>
  </si>
  <si>
    <t>944</t>
  </si>
  <si>
    <t>עולש</t>
  </si>
  <si>
    <t>945</t>
  </si>
  <si>
    <t>עומר</t>
  </si>
  <si>
    <t>946</t>
  </si>
  <si>
    <t>עופר</t>
  </si>
  <si>
    <t>947</t>
  </si>
  <si>
    <t>עוצם</t>
  </si>
  <si>
    <t>948</t>
  </si>
  <si>
    <t>עוקבי (בנו עוקבה) (שבט)</t>
  </si>
  <si>
    <t>949</t>
  </si>
  <si>
    <t>עזוז</t>
  </si>
  <si>
    <t>950</t>
  </si>
  <si>
    <t>עזר</t>
  </si>
  <si>
    <t>951</t>
  </si>
  <si>
    <t>עזריאל</t>
  </si>
  <si>
    <t>952</t>
  </si>
  <si>
    <t>עזריה</t>
  </si>
  <si>
    <t>953</t>
  </si>
  <si>
    <t>עזריקם</t>
  </si>
  <si>
    <t>954</t>
  </si>
  <si>
    <t>עטאוונה (שבט)</t>
  </si>
  <si>
    <t>955</t>
  </si>
  <si>
    <t>עטרת</t>
  </si>
  <si>
    <t>956</t>
  </si>
  <si>
    <t>עידן</t>
  </si>
  <si>
    <t>957</t>
  </si>
  <si>
    <t>עיילבון</t>
  </si>
  <si>
    <t>958</t>
  </si>
  <si>
    <t>עיינות</t>
  </si>
  <si>
    <t>959</t>
  </si>
  <si>
    <t>עילוט</t>
  </si>
  <si>
    <t>960</t>
  </si>
  <si>
    <t>עין איילה</t>
  </si>
  <si>
    <t>961</t>
  </si>
  <si>
    <t>עין אל-אסד</t>
  </si>
  <si>
    <t>962</t>
  </si>
  <si>
    <t>עין גב</t>
  </si>
  <si>
    <t>963</t>
  </si>
  <si>
    <t>עין גדי</t>
  </si>
  <si>
    <t>964</t>
  </si>
  <si>
    <t>עין דור</t>
  </si>
  <si>
    <t>965</t>
  </si>
  <si>
    <t>עין הבשור</t>
  </si>
  <si>
    <t>966</t>
  </si>
  <si>
    <t>עין הוד</t>
  </si>
  <si>
    <t>967</t>
  </si>
  <si>
    <t>עין החורש</t>
  </si>
  <si>
    <t>968</t>
  </si>
  <si>
    <t>עין המפרץ</t>
  </si>
  <si>
    <t>969</t>
  </si>
  <si>
    <t>עין הנצי"ב</t>
  </si>
  <si>
    <t>970</t>
  </si>
  <si>
    <t>עין העמק</t>
  </si>
  <si>
    <t>971</t>
  </si>
  <si>
    <t>עין השופט</t>
  </si>
  <si>
    <t>972</t>
  </si>
  <si>
    <t>עין השלושה</t>
  </si>
  <si>
    <t>973</t>
  </si>
  <si>
    <t>עין ורד</t>
  </si>
  <si>
    <t>974</t>
  </si>
  <si>
    <t>עין זיוון</t>
  </si>
  <si>
    <t>975</t>
  </si>
  <si>
    <t>עין חוד</t>
  </si>
  <si>
    <t>976</t>
  </si>
  <si>
    <t>עין חצבה</t>
  </si>
  <si>
    <t>977</t>
  </si>
  <si>
    <t>עין חרוד (איחוד)</t>
  </si>
  <si>
    <t>978</t>
  </si>
  <si>
    <t>עין חרוד (מאוחד)</t>
  </si>
  <si>
    <t>979</t>
  </si>
  <si>
    <t>עין יהב</t>
  </si>
  <si>
    <t>980</t>
  </si>
  <si>
    <t>עין יעקב</t>
  </si>
  <si>
    <t>981</t>
  </si>
  <si>
    <t>עין כרם-בי"ס חקלאי</t>
  </si>
  <si>
    <t>982</t>
  </si>
  <si>
    <t>עין כרמל</t>
  </si>
  <si>
    <t>983</t>
  </si>
  <si>
    <t>עין מאהל</t>
  </si>
  <si>
    <t>984</t>
  </si>
  <si>
    <t>עין נקובא</t>
  </si>
  <si>
    <t>985</t>
  </si>
  <si>
    <t>עין עירון</t>
  </si>
  <si>
    <t>986</t>
  </si>
  <si>
    <t>עין צורים</t>
  </si>
  <si>
    <t>987</t>
  </si>
  <si>
    <t>עין קנייא</t>
  </si>
  <si>
    <t>988</t>
  </si>
  <si>
    <t>עין ראפה</t>
  </si>
  <si>
    <t>989</t>
  </si>
  <si>
    <t>עין שמר</t>
  </si>
  <si>
    <t>990</t>
  </si>
  <si>
    <t>עין שריד</t>
  </si>
  <si>
    <t>991</t>
  </si>
  <si>
    <t>עין תמר</t>
  </si>
  <si>
    <t>992</t>
  </si>
  <si>
    <t>עינת</t>
  </si>
  <si>
    <t>993</t>
  </si>
  <si>
    <t>עיר אובות</t>
  </si>
  <si>
    <t>994</t>
  </si>
  <si>
    <t>עכו</t>
  </si>
  <si>
    <t>995</t>
  </si>
  <si>
    <t>עלומים</t>
  </si>
  <si>
    <t>996</t>
  </si>
  <si>
    <t>עלי</t>
  </si>
  <si>
    <t>997</t>
  </si>
  <si>
    <t>עלי זהב</t>
  </si>
  <si>
    <t>998</t>
  </si>
  <si>
    <t>עלמה</t>
  </si>
  <si>
    <t>999</t>
  </si>
  <si>
    <t>עלמון</t>
  </si>
  <si>
    <t>1000</t>
  </si>
  <si>
    <t>עמוקה</t>
  </si>
  <si>
    <t>1001</t>
  </si>
  <si>
    <t>עמינדב</t>
  </si>
  <si>
    <t>1002</t>
  </si>
  <si>
    <t>עמיעד</t>
  </si>
  <si>
    <t>1003</t>
  </si>
  <si>
    <t>עמיעוז</t>
  </si>
  <si>
    <t>1004</t>
  </si>
  <si>
    <t>עמיקם</t>
  </si>
  <si>
    <t>1005</t>
  </si>
  <si>
    <t>עמיר</t>
  </si>
  <si>
    <t>1006</t>
  </si>
  <si>
    <t>עמנואל</t>
  </si>
  <si>
    <t>1007</t>
  </si>
  <si>
    <t>עמקה</t>
  </si>
  <si>
    <t>1008</t>
  </si>
  <si>
    <t>ענב</t>
  </si>
  <si>
    <t>1009</t>
  </si>
  <si>
    <t>עספיא</t>
  </si>
  <si>
    <t>1010</t>
  </si>
  <si>
    <t>עפולה</t>
  </si>
  <si>
    <t>1011</t>
  </si>
  <si>
    <t>עפרה</t>
  </si>
  <si>
    <t>1012</t>
  </si>
  <si>
    <t>עץ אפרים</t>
  </si>
  <si>
    <t>1013</t>
  </si>
  <si>
    <t>עצמון שגב</t>
  </si>
  <si>
    <t>1014</t>
  </si>
  <si>
    <t>עראבה</t>
  </si>
  <si>
    <t>1015</t>
  </si>
  <si>
    <t>עראמשה*</t>
  </si>
  <si>
    <t>1016</t>
  </si>
  <si>
    <t>ערב אל נעים</t>
  </si>
  <si>
    <t>1017</t>
  </si>
  <si>
    <t>ערד</t>
  </si>
  <si>
    <t>1018</t>
  </si>
  <si>
    <t>ערוגות</t>
  </si>
  <si>
    <t>1019</t>
  </si>
  <si>
    <t>ערערה</t>
  </si>
  <si>
    <t>1020</t>
  </si>
  <si>
    <t>ערערה-בנגב</t>
  </si>
  <si>
    <t>1021</t>
  </si>
  <si>
    <t>עשרת</t>
  </si>
  <si>
    <t>1022</t>
  </si>
  <si>
    <t>עתלית</t>
  </si>
  <si>
    <t>1023</t>
  </si>
  <si>
    <t>עתניאל</t>
  </si>
  <si>
    <t>1024</t>
  </si>
  <si>
    <t>פארן</t>
  </si>
  <si>
    <t>1025</t>
  </si>
  <si>
    <t>פארק תעשיה חבל מודיעים</t>
  </si>
  <si>
    <t>1026</t>
  </si>
  <si>
    <t>פארק תעשיות עמק חפר</t>
  </si>
  <si>
    <t>1027</t>
  </si>
  <si>
    <t>פדואל</t>
  </si>
  <si>
    <t>1028</t>
  </si>
  <si>
    <t>פדויים</t>
  </si>
  <si>
    <t>1029</t>
  </si>
  <si>
    <t>פדיה</t>
  </si>
  <si>
    <t>1030</t>
  </si>
  <si>
    <t>פוריידיס</t>
  </si>
  <si>
    <t>1031</t>
  </si>
  <si>
    <t>פורייה - כפר עבודה</t>
  </si>
  <si>
    <t>1032</t>
  </si>
  <si>
    <t>פורייה - נווה עובד</t>
  </si>
  <si>
    <t>1033</t>
  </si>
  <si>
    <t>פורייה עילית</t>
  </si>
  <si>
    <t>1034</t>
  </si>
  <si>
    <t>פורת</t>
  </si>
  <si>
    <t>1035</t>
  </si>
  <si>
    <t>פטיש</t>
  </si>
  <si>
    <t>1036</t>
  </si>
  <si>
    <t>פלך</t>
  </si>
  <si>
    <t>1037</t>
  </si>
  <si>
    <t>פלמחים</t>
  </si>
  <si>
    <t>1038</t>
  </si>
  <si>
    <t>פני חבר</t>
  </si>
  <si>
    <t>1039</t>
  </si>
  <si>
    <t>פסגות</t>
  </si>
  <si>
    <t>1040</t>
  </si>
  <si>
    <t>פסוטה</t>
  </si>
  <si>
    <t>1041</t>
  </si>
  <si>
    <t>פעמי תש"ז</t>
  </si>
  <si>
    <t>1042</t>
  </si>
  <si>
    <t>פצאל</t>
  </si>
  <si>
    <t>1043</t>
  </si>
  <si>
    <t>פקיעין (בוקייעה)</t>
  </si>
  <si>
    <t>1044</t>
  </si>
  <si>
    <t>פקיעין חדשה</t>
  </si>
  <si>
    <t>1045</t>
  </si>
  <si>
    <t>פרדס חנה-כרכור</t>
  </si>
  <si>
    <t>1046</t>
  </si>
  <si>
    <t>פרדסייה</t>
  </si>
  <si>
    <t>1047</t>
  </si>
  <si>
    <t>פרוד</t>
  </si>
  <si>
    <t>1048</t>
  </si>
  <si>
    <t>פרזון</t>
  </si>
  <si>
    <t>1049</t>
  </si>
  <si>
    <t>פרי גן</t>
  </si>
  <si>
    <t>1050</t>
  </si>
  <si>
    <t>פתח תקווה</t>
  </si>
  <si>
    <t>1051</t>
  </si>
  <si>
    <t>פתחיה</t>
  </si>
  <si>
    <t>1052</t>
  </si>
  <si>
    <t>צאלים</t>
  </si>
  <si>
    <t>1053</t>
  </si>
  <si>
    <t>צביה</t>
  </si>
  <si>
    <t>1054</t>
  </si>
  <si>
    <t>צבעון</t>
  </si>
  <si>
    <t>1055</t>
  </si>
  <si>
    <t>צובה</t>
  </si>
  <si>
    <t>1056</t>
  </si>
  <si>
    <t>צוחר</t>
  </si>
  <si>
    <t>1057</t>
  </si>
  <si>
    <t>צופייה</t>
  </si>
  <si>
    <t>1058</t>
  </si>
  <si>
    <t>צופים</t>
  </si>
  <si>
    <t>1059</t>
  </si>
  <si>
    <t>צופית</t>
  </si>
  <si>
    <t>1060</t>
  </si>
  <si>
    <t>צופר</t>
  </si>
  <si>
    <t>1061</t>
  </si>
  <si>
    <t>צוקי ים</t>
  </si>
  <si>
    <t>1062</t>
  </si>
  <si>
    <t>צוקים</t>
  </si>
  <si>
    <t>1063</t>
  </si>
  <si>
    <t>צור הדסה</t>
  </si>
  <si>
    <t>1064</t>
  </si>
  <si>
    <t>צור יצחק</t>
  </si>
  <si>
    <t>1065</t>
  </si>
  <si>
    <t>צור משה</t>
  </si>
  <si>
    <t>1066</t>
  </si>
  <si>
    <t>צור נתן</t>
  </si>
  <si>
    <t>1067</t>
  </si>
  <si>
    <t>צוריאל</t>
  </si>
  <si>
    <t>1068</t>
  </si>
  <si>
    <t>צורית</t>
  </si>
  <si>
    <t>1069</t>
  </si>
  <si>
    <t>ציפורי</t>
  </si>
  <si>
    <t>1070</t>
  </si>
  <si>
    <t>צלפון</t>
  </si>
  <si>
    <t>1071</t>
  </si>
  <si>
    <t>צנדלה</t>
  </si>
  <si>
    <t>1072</t>
  </si>
  <si>
    <t>צפרייה</t>
  </si>
  <si>
    <t>1073</t>
  </si>
  <si>
    <t>צפרירים</t>
  </si>
  <si>
    <t>1074</t>
  </si>
  <si>
    <t>צפת</t>
  </si>
  <si>
    <t>1075</t>
  </si>
  <si>
    <t>צרופה</t>
  </si>
  <si>
    <t>1076</t>
  </si>
  <si>
    <t>צרעה</t>
  </si>
  <si>
    <t>1077</t>
  </si>
  <si>
    <t>קבועה (שבט)</t>
  </si>
  <si>
    <t>1078</t>
  </si>
  <si>
    <t>קבוצת יבנה</t>
  </si>
  <si>
    <t>1079</t>
  </si>
  <si>
    <t>קדומים</t>
  </si>
  <si>
    <t>1080</t>
  </si>
  <si>
    <t>קדימה-צורן</t>
  </si>
  <si>
    <t>1081</t>
  </si>
  <si>
    <t>קדמה</t>
  </si>
  <si>
    <t>1082</t>
  </si>
  <si>
    <t>קדמת צבי</t>
  </si>
  <si>
    <t>1083</t>
  </si>
  <si>
    <t>קדר</t>
  </si>
  <si>
    <t>1084</t>
  </si>
  <si>
    <t>קדרון</t>
  </si>
  <si>
    <t>1085</t>
  </si>
  <si>
    <t>קדרים</t>
  </si>
  <si>
    <t>1086</t>
  </si>
  <si>
    <t>קודייראת א-צאנע (שבט)</t>
  </si>
  <si>
    <t>1087</t>
  </si>
  <si>
    <t>קוואעין (שבט)</t>
  </si>
  <si>
    <t>1088</t>
  </si>
  <si>
    <t>קוממיות</t>
  </si>
  <si>
    <t>1089</t>
  </si>
  <si>
    <t>קורנית</t>
  </si>
  <si>
    <t>1090</t>
  </si>
  <si>
    <t>קטורה</t>
  </si>
  <si>
    <t>1091</t>
  </si>
  <si>
    <t>קיסריה</t>
  </si>
  <si>
    <t>1092</t>
  </si>
  <si>
    <t>קלחים</t>
  </si>
  <si>
    <t>1093</t>
  </si>
  <si>
    <t>קליה</t>
  </si>
  <si>
    <t>1094</t>
  </si>
  <si>
    <t>קלנסווה</t>
  </si>
  <si>
    <t>1095</t>
  </si>
  <si>
    <t>קלע</t>
  </si>
  <si>
    <t>1096</t>
  </si>
  <si>
    <t>קציר-חריש</t>
  </si>
  <si>
    <t>1097</t>
  </si>
  <si>
    <t>קצר א-סר</t>
  </si>
  <si>
    <t>1098</t>
  </si>
  <si>
    <t>קצרין</t>
  </si>
  <si>
    <t>1099</t>
  </si>
  <si>
    <t>קריית אונו</t>
  </si>
  <si>
    <t>1100</t>
  </si>
  <si>
    <t>קריית ארבע</t>
  </si>
  <si>
    <t>1101</t>
  </si>
  <si>
    <t>קריית אתא</t>
  </si>
  <si>
    <t>1102</t>
  </si>
  <si>
    <t>קריית ביאליק</t>
  </si>
  <si>
    <t>1103</t>
  </si>
  <si>
    <t>קריית גת</t>
  </si>
  <si>
    <t>1104</t>
  </si>
  <si>
    <t>קריית חינוך מרחבים</t>
  </si>
  <si>
    <t>1105</t>
  </si>
  <si>
    <t>קריית טבעון</t>
  </si>
  <si>
    <t>1106</t>
  </si>
  <si>
    <t>קריית ים</t>
  </si>
  <si>
    <t>1107</t>
  </si>
  <si>
    <t>קריית יערים</t>
  </si>
  <si>
    <t>1108</t>
  </si>
  <si>
    <t>קריית יערים (מוסד)</t>
  </si>
  <si>
    <t>1109</t>
  </si>
  <si>
    <t>קריית מוצקין</t>
  </si>
  <si>
    <t>1110</t>
  </si>
  <si>
    <t>קריית מלאכי</t>
  </si>
  <si>
    <t>1111</t>
  </si>
  <si>
    <t>קריית נטפים</t>
  </si>
  <si>
    <t>1112</t>
  </si>
  <si>
    <t>קריית ענבים</t>
  </si>
  <si>
    <t>1113</t>
  </si>
  <si>
    <t>קריית עקרון</t>
  </si>
  <si>
    <t>1114</t>
  </si>
  <si>
    <t>קריית שלמה</t>
  </si>
  <si>
    <t>1115</t>
  </si>
  <si>
    <t>קריית שמונה</t>
  </si>
  <si>
    <t>1116</t>
  </si>
  <si>
    <t>קרית חינוך עזתה</t>
  </si>
  <si>
    <t>1117</t>
  </si>
  <si>
    <t>קרית תעופה</t>
  </si>
  <si>
    <t>1118</t>
  </si>
  <si>
    <t>קרני שומרון</t>
  </si>
  <si>
    <t>1119</t>
  </si>
  <si>
    <t>קשת</t>
  </si>
  <si>
    <t>1120</t>
  </si>
  <si>
    <t>ראמה</t>
  </si>
  <si>
    <t>1121</t>
  </si>
  <si>
    <t>ראס אל-עין</t>
  </si>
  <si>
    <t>1122</t>
  </si>
  <si>
    <t>ראס עלי</t>
  </si>
  <si>
    <t>1123</t>
  </si>
  <si>
    <t>ראש העין</t>
  </si>
  <si>
    <t>1124</t>
  </si>
  <si>
    <t>ראש פינה</t>
  </si>
  <si>
    <t>1125</t>
  </si>
  <si>
    <t>ראש צורים</t>
  </si>
  <si>
    <t>1126</t>
  </si>
  <si>
    <t>ראשון לציון</t>
  </si>
  <si>
    <t>1127</t>
  </si>
  <si>
    <t>רבבה</t>
  </si>
  <si>
    <t>1128</t>
  </si>
  <si>
    <t>רבדים</t>
  </si>
  <si>
    <t>1129</t>
  </si>
  <si>
    <t>רביבים</t>
  </si>
  <si>
    <t>1130</t>
  </si>
  <si>
    <t>רביד</t>
  </si>
  <si>
    <t>1131</t>
  </si>
  <si>
    <t>רגבה</t>
  </si>
  <si>
    <t>1132</t>
  </si>
  <si>
    <t>רגבים</t>
  </si>
  <si>
    <t>1133</t>
  </si>
  <si>
    <t>רהט</t>
  </si>
  <si>
    <t>1134</t>
  </si>
  <si>
    <t>רווחה</t>
  </si>
  <si>
    <t>1135</t>
  </si>
  <si>
    <t>רוויה</t>
  </si>
  <si>
    <t>1136</t>
  </si>
  <si>
    <t>רוחמה</t>
  </si>
  <si>
    <t>1137</t>
  </si>
  <si>
    <t>רומאנה</t>
  </si>
  <si>
    <t>1138</t>
  </si>
  <si>
    <t>רומת הייב</t>
  </si>
  <si>
    <t>1139</t>
  </si>
  <si>
    <t>רועי</t>
  </si>
  <si>
    <t>1140</t>
  </si>
  <si>
    <t>רותם</t>
  </si>
  <si>
    <t>1141</t>
  </si>
  <si>
    <t>רחוב</t>
  </si>
  <si>
    <t>1142</t>
  </si>
  <si>
    <t>רחובות</t>
  </si>
  <si>
    <t>1143</t>
  </si>
  <si>
    <t>ריחאנייה</t>
  </si>
  <si>
    <t>1144</t>
  </si>
  <si>
    <t>ריחן</t>
  </si>
  <si>
    <t>1145</t>
  </si>
  <si>
    <t>ריינה</t>
  </si>
  <si>
    <t>1146</t>
  </si>
  <si>
    <t>רימונים</t>
  </si>
  <si>
    <t>1147</t>
  </si>
  <si>
    <t>רינתיה</t>
  </si>
  <si>
    <t>1148</t>
  </si>
  <si>
    <t>רכסים</t>
  </si>
  <si>
    <t>1149</t>
  </si>
  <si>
    <t>רם-און</t>
  </si>
  <si>
    <t>1150</t>
  </si>
  <si>
    <t>רמות</t>
  </si>
  <si>
    <t>1151</t>
  </si>
  <si>
    <t>רמות השבים</t>
  </si>
  <si>
    <t>1152</t>
  </si>
  <si>
    <t>רמות מאיר</t>
  </si>
  <si>
    <t>1153</t>
  </si>
  <si>
    <t>רמות מנשה</t>
  </si>
  <si>
    <t>1154</t>
  </si>
  <si>
    <t>רמות נפתלי</t>
  </si>
  <si>
    <t>1155</t>
  </si>
  <si>
    <t>רמלה</t>
  </si>
  <si>
    <t>1156</t>
  </si>
  <si>
    <t>רמת גן</t>
  </si>
  <si>
    <t>1157</t>
  </si>
  <si>
    <t>רמת דוד</t>
  </si>
  <si>
    <t>1158</t>
  </si>
  <si>
    <t>רמת הכובש</t>
  </si>
  <si>
    <t>1159</t>
  </si>
  <si>
    <t>רמת השופט</t>
  </si>
  <si>
    <t>1160</t>
  </si>
  <si>
    <t>רמת השרון</t>
  </si>
  <si>
    <t>1161</t>
  </si>
  <si>
    <t>רמת חובב</t>
  </si>
  <si>
    <t>1162</t>
  </si>
  <si>
    <t>רמת יוחנן</t>
  </si>
  <si>
    <t>1163</t>
  </si>
  <si>
    <t>רמת ישי</t>
  </si>
  <si>
    <t>1164</t>
  </si>
  <si>
    <t>רמת מגשימים</t>
  </si>
  <si>
    <t>1165</t>
  </si>
  <si>
    <t>רמת צבי</t>
  </si>
  <si>
    <t>1166</t>
  </si>
  <si>
    <t>רמת רזיאל</t>
  </si>
  <si>
    <t>1167</t>
  </si>
  <si>
    <t>רמת רחל</t>
  </si>
  <si>
    <t>1168</t>
  </si>
  <si>
    <t>רנן</t>
  </si>
  <si>
    <t>1169</t>
  </si>
  <si>
    <t>רעים</t>
  </si>
  <si>
    <t>1170</t>
  </si>
  <si>
    <t>רעננה</t>
  </si>
  <si>
    <t>1171</t>
  </si>
  <si>
    <t>רקפת</t>
  </si>
  <si>
    <t>1172</t>
  </si>
  <si>
    <t>רשפון</t>
  </si>
  <si>
    <t>1173</t>
  </si>
  <si>
    <t>רשפים</t>
  </si>
  <si>
    <t>1174</t>
  </si>
  <si>
    <t>רתמים</t>
  </si>
  <si>
    <t>1175</t>
  </si>
  <si>
    <t>שאר ישוב</t>
  </si>
  <si>
    <t>1176</t>
  </si>
  <si>
    <t>שבי ציון</t>
  </si>
  <si>
    <t>1177</t>
  </si>
  <si>
    <t>שבי שומרון</t>
  </si>
  <si>
    <t>1178</t>
  </si>
  <si>
    <t>שבלי - אום אל-גנם</t>
  </si>
  <si>
    <t>1179</t>
  </si>
  <si>
    <t>שגב-שלום</t>
  </si>
  <si>
    <t>1180</t>
  </si>
  <si>
    <t>שדה אילן</t>
  </si>
  <si>
    <t>1181</t>
  </si>
  <si>
    <t>שדה אליהו</t>
  </si>
  <si>
    <t>1182</t>
  </si>
  <si>
    <t>שדה אליעזר</t>
  </si>
  <si>
    <t>1183</t>
  </si>
  <si>
    <t>שדה בוקר</t>
  </si>
  <si>
    <t>1184</t>
  </si>
  <si>
    <t>שדה דוד</t>
  </si>
  <si>
    <t>1185</t>
  </si>
  <si>
    <t>שדה ורבורג</t>
  </si>
  <si>
    <t>1186</t>
  </si>
  <si>
    <t>שדה יואב</t>
  </si>
  <si>
    <t>1187</t>
  </si>
  <si>
    <t>שדה יעקב</t>
  </si>
  <si>
    <t>1188</t>
  </si>
  <si>
    <t>שדה יצחק</t>
  </si>
  <si>
    <t>1189</t>
  </si>
  <si>
    <t>שדה משה</t>
  </si>
  <si>
    <t>1190</t>
  </si>
  <si>
    <t>שדה נחום</t>
  </si>
  <si>
    <t>1191</t>
  </si>
  <si>
    <t>שדה נחמיה</t>
  </si>
  <si>
    <t>1192</t>
  </si>
  <si>
    <t>שדה ניצן</t>
  </si>
  <si>
    <t>1193</t>
  </si>
  <si>
    <t>שדה עוזיהו</t>
  </si>
  <si>
    <t>1194</t>
  </si>
  <si>
    <t>שדה צבי</t>
  </si>
  <si>
    <t>1195</t>
  </si>
  <si>
    <t>שדות ים</t>
  </si>
  <si>
    <t>1196</t>
  </si>
  <si>
    <t>שדות מיכה</t>
  </si>
  <si>
    <t>1197</t>
  </si>
  <si>
    <t>שדי אברהם</t>
  </si>
  <si>
    <t>1198</t>
  </si>
  <si>
    <t>שדי חמד</t>
  </si>
  <si>
    <t>1199</t>
  </si>
  <si>
    <t>שדי תרומות</t>
  </si>
  <si>
    <t>1200</t>
  </si>
  <si>
    <t>שדמה</t>
  </si>
  <si>
    <t>1201</t>
  </si>
  <si>
    <t>שדמות דבורה</t>
  </si>
  <si>
    <t>1202</t>
  </si>
  <si>
    <t>שדמות מחולה</t>
  </si>
  <si>
    <t>1203</t>
  </si>
  <si>
    <t>שדרות</t>
  </si>
  <si>
    <t>1204</t>
  </si>
  <si>
    <t>שואבה</t>
  </si>
  <si>
    <t>1205</t>
  </si>
  <si>
    <t>שובה</t>
  </si>
  <si>
    <t>1206</t>
  </si>
  <si>
    <t>שובל</t>
  </si>
  <si>
    <t>1207</t>
  </si>
  <si>
    <t>שוהם</t>
  </si>
  <si>
    <t>1208</t>
  </si>
  <si>
    <t>שומרה</t>
  </si>
  <si>
    <t>1209</t>
  </si>
  <si>
    <t>שומרייה</t>
  </si>
  <si>
    <t>1210</t>
  </si>
  <si>
    <t>שוקדה</t>
  </si>
  <si>
    <t>1211</t>
  </si>
  <si>
    <t>שורש</t>
  </si>
  <si>
    <t>1212</t>
  </si>
  <si>
    <t>שורשים</t>
  </si>
  <si>
    <t>1213</t>
  </si>
  <si>
    <t>שושנת העמקים</t>
  </si>
  <si>
    <t>1214</t>
  </si>
  <si>
    <t>שזור</t>
  </si>
  <si>
    <t>1215</t>
  </si>
  <si>
    <t>שחר</t>
  </si>
  <si>
    <t>1216</t>
  </si>
  <si>
    <t>שחרות</t>
  </si>
  <si>
    <t>1217</t>
  </si>
  <si>
    <t>שיבולים</t>
  </si>
  <si>
    <t>1218</t>
  </si>
  <si>
    <t>שיטים</t>
  </si>
  <si>
    <t>1219</t>
  </si>
  <si>
    <t>שייח' דנון</t>
  </si>
  <si>
    <t>1220</t>
  </si>
  <si>
    <t>שילה</t>
  </si>
  <si>
    <t>1221</t>
  </si>
  <si>
    <t>שילת</t>
  </si>
  <si>
    <t>1222</t>
  </si>
  <si>
    <t>שכניה</t>
  </si>
  <si>
    <t>1223</t>
  </si>
  <si>
    <t>שלווה</t>
  </si>
  <si>
    <t>1224</t>
  </si>
  <si>
    <t>שלוחות</t>
  </si>
  <si>
    <t>1225</t>
  </si>
  <si>
    <t>שלומי</t>
  </si>
  <si>
    <t>1226</t>
  </si>
  <si>
    <t>שלומציון</t>
  </si>
  <si>
    <t>1227</t>
  </si>
  <si>
    <t>שמיר</t>
  </si>
  <si>
    <t>1228</t>
  </si>
  <si>
    <t>שמעה</t>
  </si>
  <si>
    <t>1229</t>
  </si>
  <si>
    <t>שמרת</t>
  </si>
  <si>
    <t>1230</t>
  </si>
  <si>
    <t>שמשית</t>
  </si>
  <si>
    <t>1231</t>
  </si>
  <si>
    <t>שני</t>
  </si>
  <si>
    <t>1232</t>
  </si>
  <si>
    <t>שניר</t>
  </si>
  <si>
    <t>1233</t>
  </si>
  <si>
    <t>שעב</t>
  </si>
  <si>
    <t>1234</t>
  </si>
  <si>
    <t>שעל</t>
  </si>
  <si>
    <t>1235</t>
  </si>
  <si>
    <t>שעלבים</t>
  </si>
  <si>
    <t>1236</t>
  </si>
  <si>
    <t>שער אפרים</t>
  </si>
  <si>
    <t>1237</t>
  </si>
  <si>
    <t>שער הגולן</t>
  </si>
  <si>
    <t>1238</t>
  </si>
  <si>
    <t>שער העמקים</t>
  </si>
  <si>
    <t>1239</t>
  </si>
  <si>
    <t>שער מנשה</t>
  </si>
  <si>
    <t>1240</t>
  </si>
  <si>
    <t>שערי תקווה</t>
  </si>
  <si>
    <t>1241</t>
  </si>
  <si>
    <t>שפיים</t>
  </si>
  <si>
    <t>1242</t>
  </si>
  <si>
    <t>שפיר</t>
  </si>
  <si>
    <t>1243</t>
  </si>
  <si>
    <t>שפר</t>
  </si>
  <si>
    <t>1244</t>
  </si>
  <si>
    <t>שפרעם</t>
  </si>
  <si>
    <t>1245</t>
  </si>
  <si>
    <t>שקד</t>
  </si>
  <si>
    <t>1246</t>
  </si>
  <si>
    <t>שקף</t>
  </si>
  <si>
    <t>1247</t>
  </si>
  <si>
    <t>שרונה</t>
  </si>
  <si>
    <t>1248</t>
  </si>
  <si>
    <t>שריגים (לי-און)</t>
  </si>
  <si>
    <t>1249</t>
  </si>
  <si>
    <t>שריד</t>
  </si>
  <si>
    <t>1250</t>
  </si>
  <si>
    <t>שרשרת</t>
  </si>
  <si>
    <t>1251</t>
  </si>
  <si>
    <t>שתולה</t>
  </si>
  <si>
    <t>1252</t>
  </si>
  <si>
    <t>שתולים</t>
  </si>
  <si>
    <t>1253</t>
  </si>
  <si>
    <t>תאשור</t>
  </si>
  <si>
    <t>1254</t>
  </si>
  <si>
    <t>תדהר</t>
  </si>
  <si>
    <t>1255</t>
  </si>
  <si>
    <t>תובל</t>
  </si>
  <si>
    <t>1256</t>
  </si>
  <si>
    <t>תומר</t>
  </si>
  <si>
    <t>1257</t>
  </si>
  <si>
    <t>תושייה</t>
  </si>
  <si>
    <t>1258</t>
  </si>
  <si>
    <t>תימורים</t>
  </si>
  <si>
    <t>1259</t>
  </si>
  <si>
    <t>תירוש</t>
  </si>
  <si>
    <t>1260</t>
  </si>
  <si>
    <t>תל-חי</t>
  </si>
  <si>
    <t>1261</t>
  </si>
  <si>
    <t>תל אביב -יפו</t>
  </si>
  <si>
    <t>1262</t>
  </si>
  <si>
    <t>תל יוסף</t>
  </si>
  <si>
    <t>1263</t>
  </si>
  <si>
    <t>תל יצחק</t>
  </si>
  <si>
    <t>1264</t>
  </si>
  <si>
    <t>תל מונד</t>
  </si>
  <si>
    <t>1265</t>
  </si>
  <si>
    <t>תל עדשים</t>
  </si>
  <si>
    <t>1266</t>
  </si>
  <si>
    <t>תל קציר</t>
  </si>
  <si>
    <t>1267</t>
  </si>
  <si>
    <t>תל שבע</t>
  </si>
  <si>
    <t>1268</t>
  </si>
  <si>
    <t>תל תאומים</t>
  </si>
  <si>
    <t>1269</t>
  </si>
  <si>
    <t>תלם</t>
  </si>
  <si>
    <t>1270</t>
  </si>
  <si>
    <t>תלמי אליהו</t>
  </si>
  <si>
    <t>1271</t>
  </si>
  <si>
    <t>תלמי אלעזר</t>
  </si>
  <si>
    <t>1272</t>
  </si>
  <si>
    <t>תלמי ביל"ו</t>
  </si>
  <si>
    <t>1273</t>
  </si>
  <si>
    <t>תלמי יוסף</t>
  </si>
  <si>
    <t>1274</t>
  </si>
  <si>
    <t>תלמי יחיאל</t>
  </si>
  <si>
    <t>1275</t>
  </si>
  <si>
    <t>תלמי יפה</t>
  </si>
  <si>
    <t>1276</t>
  </si>
  <si>
    <t>תלמים</t>
  </si>
  <si>
    <t>1277</t>
  </si>
  <si>
    <t>תמרת</t>
  </si>
  <si>
    <t>1278</t>
  </si>
  <si>
    <t>תנובות</t>
  </si>
  <si>
    <t>1279</t>
  </si>
  <si>
    <t>תעוז</t>
  </si>
  <si>
    <t>1280</t>
  </si>
  <si>
    <t>תעשיון בנימין*</t>
  </si>
  <si>
    <t>1281</t>
  </si>
  <si>
    <t>תעשיון בר-לב</t>
  </si>
  <si>
    <t>1282</t>
  </si>
  <si>
    <t>תעשיון גליל תחתון</t>
  </si>
  <si>
    <t>1283</t>
  </si>
  <si>
    <t>תעשיון דלתון</t>
  </si>
  <si>
    <t>1284</t>
  </si>
  <si>
    <t>תעשיון השרון</t>
  </si>
  <si>
    <t>1285</t>
  </si>
  <si>
    <t>תעשיון חוף יבנה</t>
  </si>
  <si>
    <t>1286</t>
  </si>
  <si>
    <t>תעשיון חצב*</t>
  </si>
  <si>
    <t>1287</t>
  </si>
  <si>
    <t>תעשיון מבצע*</t>
  </si>
  <si>
    <t>1288</t>
  </si>
  <si>
    <t>תעשיון צריפין</t>
  </si>
  <si>
    <t>1289</t>
  </si>
  <si>
    <t>תעשיון ראם*</t>
  </si>
  <si>
    <t>1290</t>
  </si>
  <si>
    <t>תעשיון שח"ק</t>
  </si>
  <si>
    <t>1291</t>
  </si>
  <si>
    <t>תעשיות ספירים</t>
  </si>
  <si>
    <t>1292</t>
  </si>
  <si>
    <t>תפרח</t>
  </si>
  <si>
    <t>1293</t>
  </si>
  <si>
    <t>תקומה</t>
  </si>
  <si>
    <t>1294</t>
  </si>
  <si>
    <t>תקוע</t>
  </si>
  <si>
    <t>1295</t>
  </si>
  <si>
    <t>תראבין א-צאנע (שבט)</t>
  </si>
  <si>
    <t>1296</t>
  </si>
  <si>
    <t>תראבין א-צאנע (יישוב*)</t>
  </si>
  <si>
    <t>תרום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</si>
</sst>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"/>
  </numFmts>
  <fonts count="24" x14ac:knownFonts="1">
    <font>
      <sz val="11"/>
      <color theme="1"/>
      <name val="Calibri"/>
      <family val="2"/>
      <scheme val="minor"/>
    </font>
    <font>
      <b/>
      <sz val="22"/>
      <color theme="0"/>
      <name val="David"/>
      <family val="2"/>
    </font>
    <font>
      <sz val="11"/>
      <color theme="0"/>
      <name val="David"/>
      <family val="2"/>
    </font>
    <font>
      <sz val="11"/>
      <name val="David"/>
      <family val="2"/>
    </font>
    <font>
      <sz val="8"/>
      <name val="Calibri"/>
      <family val="2"/>
      <scheme val="minor"/>
    </font>
    <font>
      <sz val="11"/>
      <color theme="0"/>
      <name val="Tahoma"/>
      <family val="2"/>
    </font>
    <font>
      <vertAlign val="subscript"/>
      <sz val="11"/>
      <color theme="0"/>
      <name val="Tahoma"/>
      <family val="2"/>
    </font>
    <font>
      <sz val="10"/>
      <color theme="0"/>
      <name val="Tahoma"/>
      <family val="2"/>
    </font>
    <font>
      <vertAlign val="subscript"/>
      <sz val="10"/>
      <color theme="0"/>
      <name val="Tahoma"/>
      <family val="2"/>
    </font>
    <font>
      <sz val="8"/>
      <color theme="0"/>
      <name val="Tahoma"/>
      <family val="2"/>
    </font>
    <font>
      <sz val="10"/>
      <name val="Tahoma"/>
      <family val="2"/>
    </font>
    <font>
      <vertAlign val="subscript"/>
      <sz val="10"/>
      <name val="Tahoma"/>
      <family val="2"/>
    </font>
    <font>
      <b/>
      <sz val="11"/>
      <name val="Arial"/>
      <family val="2"/>
    </font>
    <font>
      <b/>
      <sz val="12"/>
      <name val="Arial"/>
      <family val="2"/>
    </font>
    <font>
      <sz val="11"/>
      <name val="Calibri"/>
      <family val="2"/>
      <scheme val="minor"/>
    </font>
    <font>
      <sz val="10"/>
      <name val="Cambria Math"/>
      <family val="1"/>
    </font>
    <font>
      <sz val="11"/>
      <name val="Microsoft Sans Serif"/>
      <family val="2"/>
    </font>
    <font>
      <sz val="12"/>
      <name val="Tahoma"/>
      <family val="2"/>
    </font>
    <font>
      <sz val="16"/>
      <color theme="0"/>
      <name val="Tahoma"/>
      <family val="2"/>
    </font>
    <font>
      <sz val="18"/>
      <color theme="0"/>
      <name val="David"/>
      <family val="2"/>
    </font>
    <font>
      <vertAlign val="subscript"/>
      <sz val="16"/>
      <color theme="0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0" tint="-0.249977111117893"/>
      <name val="David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A4EE"/>
        <bgColor indexed="64"/>
      </patternFill>
    </fill>
    <fill>
      <patternFill patternType="solid">
        <fgColor rgb="FF007AB0"/>
        <bgColor indexed="64"/>
      </patternFill>
    </fill>
    <fill>
      <patternFill patternType="solid">
        <fgColor rgb="FF00547A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 style="thick">
        <color theme="0" tint="-4.9989318521683403E-2"/>
      </top>
      <bottom/>
      <diagonal/>
    </border>
    <border>
      <left/>
      <right/>
      <top/>
      <bottom style="thick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/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5" fillId="6" borderId="13" xfId="0" applyFont="1" applyFill="1" applyBorder="1" applyAlignment="1">
      <alignment horizontal="left" vertical="center" indent="1" readingOrder="2"/>
    </xf>
    <xf numFmtId="0" fontId="5" fillId="6" borderId="13" xfId="0" applyFont="1" applyFill="1" applyBorder="1" applyAlignment="1">
      <alignment horizontal="left" indent="1"/>
    </xf>
    <xf numFmtId="0" fontId="5" fillId="5" borderId="13" xfId="0" applyFont="1" applyFill="1" applyBorder="1" applyAlignment="1">
      <alignment horizontal="left" indent="1"/>
    </xf>
    <xf numFmtId="0" fontId="5" fillId="5" borderId="13" xfId="0" applyFont="1" applyFill="1" applyBorder="1" applyAlignment="1">
      <alignment horizontal="left" vertical="center" indent="1"/>
    </xf>
    <xf numFmtId="0" fontId="5" fillId="6" borderId="8" xfId="0" applyFont="1" applyFill="1" applyBorder="1" applyAlignment="1">
      <alignment horizontal="left" vertical="center" indent="1"/>
    </xf>
    <xf numFmtId="0" fontId="5" fillId="6" borderId="9" xfId="0" applyFont="1" applyFill="1" applyBorder="1" applyAlignment="1">
      <alignment horizontal="left" vertical="center" indent="1" readingOrder="2"/>
    </xf>
    <xf numFmtId="0" fontId="12" fillId="0" borderId="0" xfId="0" applyFont="1" applyAlignment="1">
      <alignment horizontal="center" vertical="center" wrapText="1" readingOrder="2"/>
    </xf>
    <xf numFmtId="0" fontId="14" fillId="0" borderId="0" xfId="0" applyFont="1" applyAlignment="1">
      <alignment horizontal="center" vertical="center"/>
    </xf>
    <xf numFmtId="0" fontId="14" fillId="0" borderId="0" xfId="0" applyFont="1"/>
    <xf numFmtId="0" fontId="15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 readingOrder="2"/>
    </xf>
    <xf numFmtId="0" fontId="16" fillId="0" borderId="0" xfId="0" applyFont="1" applyAlignment="1">
      <alignment horizontal="center" vertical="center" wrapText="1"/>
    </xf>
    <xf numFmtId="0" fontId="10" fillId="0" borderId="0" xfId="0" applyFont="1" applyAlignment="1">
      <alignment horizontal="left" indent="1"/>
    </xf>
    <xf numFmtId="0" fontId="16" fillId="0" borderId="0" xfId="0" applyFont="1" applyAlignment="1">
      <alignment horizontal="center" vertical="center"/>
    </xf>
    <xf numFmtId="0" fontId="5" fillId="6" borderId="0" xfId="0" applyFont="1" applyFill="1" applyAlignment="1">
      <alignment horizontal="left" vertical="center" indent="1"/>
    </xf>
    <xf numFmtId="0" fontId="5" fillId="5" borderId="0" xfId="0" applyFont="1" applyFill="1" applyAlignment="1">
      <alignment horizontal="left" vertical="center" indent="1"/>
    </xf>
    <xf numFmtId="0" fontId="5" fillId="5" borderId="11" xfId="0" applyFont="1" applyFill="1" applyBorder="1" applyAlignment="1">
      <alignment horizontal="left" vertical="center" indent="1"/>
    </xf>
    <xf numFmtId="0" fontId="7" fillId="6" borderId="0" xfId="0" applyFont="1" applyFill="1"/>
    <xf numFmtId="0" fontId="7" fillId="6" borderId="0" xfId="0" applyFont="1" applyFill="1" applyAlignment="1">
      <alignment horizontal="left" indent="1"/>
    </xf>
    <xf numFmtId="164" fontId="5" fillId="5" borderId="12" xfId="0" applyNumberFormat="1" applyFont="1" applyFill="1" applyBorder="1" applyAlignment="1">
      <alignment horizontal="left" vertical="center" indent="1"/>
    </xf>
    <xf numFmtId="164" fontId="5" fillId="5" borderId="11" xfId="0" applyNumberFormat="1" applyFont="1" applyFill="1" applyBorder="1" applyAlignment="1">
      <alignment horizontal="left" vertical="center" indent="1"/>
    </xf>
    <xf numFmtId="9" fontId="14" fillId="0" borderId="0" xfId="0" applyNumberFormat="1" applyFont="1"/>
    <xf numFmtId="0" fontId="3" fillId="0" borderId="14" xfId="0" applyFont="1" applyBorder="1" applyAlignment="1">
      <alignment horizontal="right"/>
    </xf>
    <xf numFmtId="49" fontId="3" fillId="0" borderId="14" xfId="0" applyNumberFormat="1" applyFont="1" applyBorder="1" applyAlignment="1">
      <alignment horizontal="right"/>
    </xf>
    <xf numFmtId="0" fontId="10" fillId="0" borderId="14" xfId="0" applyFont="1" applyBorder="1" applyAlignment="1">
      <alignment horizontal="left" indent="1"/>
    </xf>
    <xf numFmtId="164" fontId="3" fillId="0" borderId="14" xfId="0" applyNumberFormat="1" applyFont="1" applyBorder="1" applyAlignment="1">
      <alignment horizontal="right"/>
    </xf>
    <xf numFmtId="0" fontId="10" fillId="4" borderId="14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17" fillId="0" borderId="0" xfId="0" applyFont="1"/>
    <xf numFmtId="0" fontId="14" fillId="0" borderId="0" xfId="0" applyFont="1" applyAlignment="1">
      <alignment horizontal="right" vertical="center"/>
    </xf>
    <xf numFmtId="0" fontId="14" fillId="12" borderId="0" xfId="0" applyFont="1" applyFill="1" applyAlignment="1">
      <alignment horizontal="center" vertical="center"/>
    </xf>
    <xf numFmtId="0" fontId="2" fillId="0" borderId="0" xfId="0" applyFont="1"/>
    <xf numFmtId="0" fontId="5" fillId="6" borderId="7" xfId="0" applyFont="1" applyFill="1" applyBorder="1" applyAlignment="1">
      <alignment horizontal="left" vertical="center" indent="1"/>
    </xf>
    <xf numFmtId="0" fontId="5" fillId="5" borderId="4" xfId="0" applyFont="1" applyFill="1" applyBorder="1" applyAlignment="1">
      <alignment horizontal="left" vertical="center" indent="1"/>
    </xf>
    <xf numFmtId="0" fontId="5" fillId="5" borderId="13" xfId="0" applyFont="1" applyFill="1" applyBorder="1" applyAlignment="1">
      <alignment horizontal="left" vertical="center" indent="1" readingOrder="2"/>
    </xf>
    <xf numFmtId="0" fontId="5" fillId="6" borderId="4" xfId="0" applyFont="1" applyFill="1" applyBorder="1" applyAlignment="1">
      <alignment horizontal="left" vertical="center" indent="1"/>
    </xf>
    <xf numFmtId="0" fontId="5" fillId="5" borderId="10" xfId="0" applyFont="1" applyFill="1" applyBorder="1" applyAlignment="1">
      <alignment horizontal="left" vertical="center" indent="1"/>
    </xf>
    <xf numFmtId="0" fontId="7" fillId="9" borderId="7" xfId="0" applyFont="1" applyFill="1" applyBorder="1" applyAlignment="1">
      <alignment horizontal="center" vertical="center"/>
    </xf>
    <xf numFmtId="0" fontId="7" fillId="10" borderId="9" xfId="0" applyFont="1" applyFill="1" applyBorder="1" applyAlignment="1">
      <alignment horizontal="center" vertical="center"/>
    </xf>
    <xf numFmtId="0" fontId="7" fillId="9" borderId="8" xfId="0" applyFont="1" applyFill="1" applyBorder="1" applyAlignment="1">
      <alignment horizontal="center" vertical="center"/>
    </xf>
    <xf numFmtId="0" fontId="2" fillId="0" borderId="0" xfId="0" applyFont="1" applyAlignment="1">
      <alignment vertical="top" wrapText="1"/>
    </xf>
    <xf numFmtId="0" fontId="7" fillId="9" borderId="4" xfId="0" applyFont="1" applyFill="1" applyBorder="1" applyAlignment="1">
      <alignment horizontal="center" vertical="center"/>
    </xf>
    <xf numFmtId="0" fontId="7" fillId="10" borderId="13" xfId="0" applyFont="1" applyFill="1" applyBorder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9" fillId="9" borderId="10" xfId="0" applyFont="1" applyFill="1" applyBorder="1" applyAlignment="1">
      <alignment horizontal="center" vertical="center" readingOrder="2"/>
    </xf>
    <xf numFmtId="0" fontId="7" fillId="10" borderId="12" xfId="0" applyFont="1" applyFill="1" applyBorder="1" applyAlignment="1">
      <alignment horizontal="center" vertical="center"/>
    </xf>
    <xf numFmtId="0" fontId="7" fillId="9" borderId="11" xfId="0" applyFont="1" applyFill="1" applyBorder="1" applyAlignment="1">
      <alignment horizontal="center" vertical="center"/>
    </xf>
    <xf numFmtId="0" fontId="2" fillId="0" borderId="0" xfId="0" applyFont="1" applyAlignment="1">
      <alignment horizontal="left"/>
    </xf>
    <xf numFmtId="49" fontId="2" fillId="0" borderId="0" xfId="0" applyNumberFormat="1" applyFont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/>
    </xf>
    <xf numFmtId="0" fontId="7" fillId="6" borderId="4" xfId="0" applyFont="1" applyFill="1" applyBorder="1" applyAlignment="1">
      <alignment horizontal="left" indent="1"/>
    </xf>
    <xf numFmtId="0" fontId="7" fillId="6" borderId="0" xfId="0" applyFont="1" applyFill="1" applyAlignment="1">
      <alignment horizontal="left" indent="1"/>
    </xf>
    <xf numFmtId="0" fontId="3" fillId="4" borderId="3" xfId="0" applyFont="1" applyFill="1" applyBorder="1" applyAlignment="1" applyProtection="1">
      <alignment horizontal="center"/>
      <protection locked="0"/>
    </xf>
    <xf numFmtId="9" fontId="3" fillId="4" borderId="3" xfId="0" applyNumberFormat="1" applyFont="1" applyFill="1" applyBorder="1" applyAlignment="1" applyProtection="1">
      <alignment horizontal="center"/>
      <protection locked="0"/>
    </xf>
    <xf numFmtId="0" fontId="23" fillId="2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right" indent="1"/>
    </xf>
    <xf numFmtId="0" fontId="7" fillId="7" borderId="7" xfId="0" applyFont="1" applyFill="1" applyBorder="1" applyAlignment="1">
      <alignment horizontal="center" vertical="center"/>
    </xf>
    <xf numFmtId="0" fontId="7" fillId="7" borderId="8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165" fontId="18" fillId="5" borderId="7" xfId="0" applyNumberFormat="1" applyFont="1" applyFill="1" applyBorder="1" applyAlignment="1">
      <alignment horizontal="center" vertical="center"/>
    </xf>
    <xf numFmtId="165" fontId="18" fillId="5" borderId="9" xfId="0" applyNumberFormat="1" applyFont="1" applyFill="1" applyBorder="1" applyAlignment="1">
      <alignment horizontal="center" vertical="center"/>
    </xf>
    <xf numFmtId="165" fontId="18" fillId="5" borderId="10" xfId="0" applyNumberFormat="1" applyFont="1" applyFill="1" applyBorder="1" applyAlignment="1">
      <alignment horizontal="center" vertical="center"/>
    </xf>
    <xf numFmtId="165" fontId="18" fillId="5" borderId="12" xfId="0" applyNumberFormat="1" applyFont="1" applyFill="1" applyBorder="1" applyAlignment="1">
      <alignment horizontal="center" vertical="center"/>
    </xf>
    <xf numFmtId="0" fontId="2" fillId="11" borderId="3" xfId="0" applyFont="1" applyFill="1" applyBorder="1" applyAlignment="1">
      <alignment horizontal="center"/>
    </xf>
    <xf numFmtId="0" fontId="18" fillId="6" borderId="7" xfId="0" applyFont="1" applyFill="1" applyBorder="1" applyAlignment="1">
      <alignment horizontal="center" vertical="center"/>
    </xf>
    <xf numFmtId="0" fontId="18" fillId="6" borderId="9" xfId="0" applyFont="1" applyFill="1" applyBorder="1" applyAlignment="1">
      <alignment horizontal="center" vertical="center"/>
    </xf>
    <xf numFmtId="0" fontId="18" fillId="6" borderId="10" xfId="0" applyFont="1" applyFill="1" applyBorder="1" applyAlignment="1">
      <alignment horizontal="center" vertical="center"/>
    </xf>
    <xf numFmtId="0" fontId="18" fillId="6" borderId="12" xfId="0" applyFont="1" applyFill="1" applyBorder="1" applyAlignment="1">
      <alignment horizontal="center" vertical="center"/>
    </xf>
    <xf numFmtId="0" fontId="18" fillId="6" borderId="8" xfId="0" applyFont="1" applyFill="1" applyBorder="1" applyAlignment="1">
      <alignment horizontal="center" vertical="center"/>
    </xf>
    <xf numFmtId="0" fontId="18" fillId="6" borderId="11" xfId="0" applyFont="1" applyFill="1" applyBorder="1" applyAlignment="1">
      <alignment horizontal="center" vertical="center"/>
    </xf>
    <xf numFmtId="165" fontId="5" fillId="5" borderId="7" xfId="0" applyNumberFormat="1" applyFont="1" applyFill="1" applyBorder="1" applyAlignment="1">
      <alignment horizontal="center" vertical="center"/>
    </xf>
    <xf numFmtId="165" fontId="5" fillId="5" borderId="9" xfId="0" applyNumberFormat="1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/>
    </xf>
    <xf numFmtId="0" fontId="7" fillId="5" borderId="12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 vertical="center" readingOrder="1"/>
    </xf>
    <xf numFmtId="0" fontId="2" fillId="0" borderId="0" xfId="0" applyFont="1" applyAlignment="1">
      <alignment horizontal="center"/>
    </xf>
    <xf numFmtId="2" fontId="5" fillId="5" borderId="3" xfId="0" applyNumberFormat="1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7" fillId="8" borderId="5" xfId="0" applyFont="1" applyFill="1" applyBorder="1" applyAlignment="1">
      <alignment horizontal="center" vertical="center" readingOrder="1"/>
    </xf>
    <xf numFmtId="164" fontId="5" fillId="5" borderId="4" xfId="0" applyNumberFormat="1" applyFont="1" applyFill="1" applyBorder="1" applyAlignment="1">
      <alignment horizontal="left" indent="1"/>
    </xf>
    <xf numFmtId="164" fontId="5" fillId="5" borderId="0" xfId="0" applyNumberFormat="1" applyFont="1" applyFill="1" applyAlignment="1">
      <alignment horizontal="left" indent="1"/>
    </xf>
    <xf numFmtId="0" fontId="9" fillId="0" borderId="5" xfId="0" applyFont="1" applyBorder="1" applyAlignment="1">
      <alignment horizontal="left" vertical="top" indent="1"/>
    </xf>
    <xf numFmtId="0" fontId="9" fillId="0" borderId="8" xfId="0" applyFont="1" applyBorder="1" applyAlignment="1">
      <alignment horizontal="left" vertical="center" indent="1"/>
    </xf>
    <xf numFmtId="0" fontId="9" fillId="0" borderId="5" xfId="0" applyFont="1" applyBorder="1" applyAlignment="1">
      <alignment horizontal="left" vertical="center" indent="1"/>
    </xf>
    <xf numFmtId="0" fontId="12" fillId="0" borderId="0" xfId="0" applyFont="1" applyAlignment="1">
      <alignment horizontal="center" vertical="center" wrapText="1" readingOrder="2"/>
    </xf>
    <xf numFmtId="9" fontId="13" fillId="0" borderId="0" xfId="0" applyNumberFormat="1" applyFont="1" applyAlignment="1">
      <alignment horizontal="center" vertical="center" wrapText="1" readingOrder="2"/>
    </xf>
    <xf numFmtId="0" fontId="13" fillId="0" borderId="0" xfId="0" applyFont="1" applyAlignment="1">
      <alignment horizontal="center" vertical="center" wrapText="1" readingOrder="2"/>
    </xf>
    <xf numFmtId="0" fontId="15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A4EE"/>
      <color rgb="FF007AB0"/>
      <color rgb="FFFF5C01"/>
      <color rgb="FFFF6201"/>
      <color rgb="FF00547A"/>
      <color rgb="FFFFC9C9"/>
      <color rgb="FFE4E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DRS!$B$16:$D$16</c:f>
              <c:strCache>
                <c:ptCount val="1"/>
                <c:pt idx="0">
                  <c:v>10%@50years</c:v>
                </c:pt>
              </c:strCache>
            </c:strRef>
          </c:tx>
          <c:spPr>
            <a:ln w="22225" cap="rnd">
              <a:solidFill>
                <a:srgbClr val="FF0000"/>
              </a:solidFill>
            </a:ln>
            <a:effectLst>
              <a:glow rad="139700">
                <a:srgbClr val="FF0000">
                  <a:alpha val="14000"/>
                </a:srgbClr>
              </a:glow>
            </a:effectLst>
          </c:spPr>
          <c:marker>
            <c:symbol val="none"/>
          </c:marker>
          <c:xVal>
            <c:numRef>
              <c:f>'S2'!$BF$1:$BF$1001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'S2'!$BG$1:$BG$1001</c:f>
              <c:numCache>
                <c:formatCode>General</c:formatCode>
                <c:ptCount val="1001"/>
                <c:pt idx="0">
                  <c:v>0.24680000000000002</c:v>
                </c:pt>
                <c:pt idx="1">
                  <c:v>0.30713014247619053</c:v>
                </c:pt>
                <c:pt idx="2">
                  <c:v>0.36746028495238103</c:v>
                </c:pt>
                <c:pt idx="3">
                  <c:v>0.42779042742857154</c:v>
                </c:pt>
                <c:pt idx="4">
                  <c:v>0.48812056990476194</c:v>
                </c:pt>
                <c:pt idx="5">
                  <c:v>0.54845071238095244</c:v>
                </c:pt>
                <c:pt idx="6">
                  <c:v>0.60878085485714295</c:v>
                </c:pt>
                <c:pt idx="7">
                  <c:v>0.64168000000000003</c:v>
                </c:pt>
                <c:pt idx="8">
                  <c:v>0.64168000000000003</c:v>
                </c:pt>
                <c:pt idx="9">
                  <c:v>0.64168000000000003</c:v>
                </c:pt>
                <c:pt idx="10">
                  <c:v>0.64168000000000003</c:v>
                </c:pt>
                <c:pt idx="11">
                  <c:v>0.64168000000000003</c:v>
                </c:pt>
                <c:pt idx="12">
                  <c:v>0.64168000000000003</c:v>
                </c:pt>
                <c:pt idx="13">
                  <c:v>0.64168000000000003</c:v>
                </c:pt>
                <c:pt idx="14">
                  <c:v>0.64168000000000003</c:v>
                </c:pt>
                <c:pt idx="15">
                  <c:v>0.64168000000000003</c:v>
                </c:pt>
                <c:pt idx="16">
                  <c:v>0.64168000000000003</c:v>
                </c:pt>
                <c:pt idx="17">
                  <c:v>0.64168000000000003</c:v>
                </c:pt>
                <c:pt idx="18">
                  <c:v>0.64168000000000003</c:v>
                </c:pt>
                <c:pt idx="19">
                  <c:v>0.64168000000000003</c:v>
                </c:pt>
                <c:pt idx="20">
                  <c:v>0.64168000000000003</c:v>
                </c:pt>
                <c:pt idx="21">
                  <c:v>0.64168000000000003</c:v>
                </c:pt>
                <c:pt idx="22">
                  <c:v>0.64168000000000003</c:v>
                </c:pt>
                <c:pt idx="23">
                  <c:v>0.64168000000000003</c:v>
                </c:pt>
                <c:pt idx="24">
                  <c:v>0.64168000000000003</c:v>
                </c:pt>
                <c:pt idx="25">
                  <c:v>0.64168000000000003</c:v>
                </c:pt>
                <c:pt idx="26">
                  <c:v>0.64168000000000003</c:v>
                </c:pt>
                <c:pt idx="27">
                  <c:v>0.64168000000000003</c:v>
                </c:pt>
                <c:pt idx="28">
                  <c:v>0.64168000000000003</c:v>
                </c:pt>
                <c:pt idx="29">
                  <c:v>0.64168000000000003</c:v>
                </c:pt>
                <c:pt idx="30">
                  <c:v>0.64168000000000003</c:v>
                </c:pt>
                <c:pt idx="31">
                  <c:v>0.64168000000000003</c:v>
                </c:pt>
                <c:pt idx="32">
                  <c:v>0.64168000000000003</c:v>
                </c:pt>
                <c:pt idx="33">
                  <c:v>0.63636363636363635</c:v>
                </c:pt>
                <c:pt idx="34">
                  <c:v>0.61764705882352933</c:v>
                </c:pt>
                <c:pt idx="35">
                  <c:v>0.6</c:v>
                </c:pt>
                <c:pt idx="36">
                  <c:v>0.58333333333333337</c:v>
                </c:pt>
                <c:pt idx="37">
                  <c:v>0.56756756756756754</c:v>
                </c:pt>
                <c:pt idx="38">
                  <c:v>0.55263157894736836</c:v>
                </c:pt>
                <c:pt idx="39">
                  <c:v>0.53846153846153844</c:v>
                </c:pt>
                <c:pt idx="40">
                  <c:v>0.52499999999999991</c:v>
                </c:pt>
                <c:pt idx="41">
                  <c:v>0.51219512195121952</c:v>
                </c:pt>
                <c:pt idx="42">
                  <c:v>0.5</c:v>
                </c:pt>
                <c:pt idx="43">
                  <c:v>0.48837209302325579</c:v>
                </c:pt>
                <c:pt idx="44">
                  <c:v>0.47727272727272724</c:v>
                </c:pt>
                <c:pt idx="45">
                  <c:v>0.46666666666666662</c:v>
                </c:pt>
                <c:pt idx="46">
                  <c:v>0.45652173913043476</c:v>
                </c:pt>
                <c:pt idx="47">
                  <c:v>0.44680851063829791</c:v>
                </c:pt>
                <c:pt idx="48">
                  <c:v>0.4375</c:v>
                </c:pt>
                <c:pt idx="49">
                  <c:v>0.42857142857142855</c:v>
                </c:pt>
                <c:pt idx="50">
                  <c:v>0.42</c:v>
                </c:pt>
                <c:pt idx="51">
                  <c:v>0.41176470588235292</c:v>
                </c:pt>
                <c:pt idx="52">
                  <c:v>0.4038461538461538</c:v>
                </c:pt>
                <c:pt idx="53">
                  <c:v>0.39622641509433959</c:v>
                </c:pt>
                <c:pt idx="54">
                  <c:v>0.38888888888888884</c:v>
                </c:pt>
                <c:pt idx="55">
                  <c:v>0.38181818181818178</c:v>
                </c:pt>
                <c:pt idx="56">
                  <c:v>0.37499999999999994</c:v>
                </c:pt>
                <c:pt idx="57">
                  <c:v>0.36842105263157898</c:v>
                </c:pt>
                <c:pt idx="58">
                  <c:v>0.36206896551724138</c:v>
                </c:pt>
                <c:pt idx="59">
                  <c:v>0.3559322033898305</c:v>
                </c:pt>
                <c:pt idx="60">
                  <c:v>0.35</c:v>
                </c:pt>
                <c:pt idx="61">
                  <c:v>0.34426229508196721</c:v>
                </c:pt>
                <c:pt idx="62">
                  <c:v>0.33870967741935482</c:v>
                </c:pt>
                <c:pt idx="63">
                  <c:v>0.33333333333333331</c:v>
                </c:pt>
                <c:pt idx="64">
                  <c:v>0.328125</c:v>
                </c:pt>
                <c:pt idx="65">
                  <c:v>0.32307692307692304</c:v>
                </c:pt>
                <c:pt idx="66">
                  <c:v>0.31818181818181818</c:v>
                </c:pt>
                <c:pt idx="67">
                  <c:v>0.31343283582089548</c:v>
                </c:pt>
                <c:pt idx="68">
                  <c:v>0.30882352941176466</c:v>
                </c:pt>
                <c:pt idx="69">
                  <c:v>0.30434782608695654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0.28378378378378377</c:v>
                </c:pt>
                <c:pt idx="75">
                  <c:v>0.27999999999999997</c:v>
                </c:pt>
                <c:pt idx="76">
                  <c:v>0.27631578947368418</c:v>
                </c:pt>
                <c:pt idx="77">
                  <c:v>0.27272727272727271</c:v>
                </c:pt>
                <c:pt idx="78">
                  <c:v>0.26923076923076922</c:v>
                </c:pt>
                <c:pt idx="79">
                  <c:v>0.26582278481012656</c:v>
                </c:pt>
                <c:pt idx="80">
                  <c:v>0.26249999999999996</c:v>
                </c:pt>
                <c:pt idx="81">
                  <c:v>0.25925925925925924</c:v>
                </c:pt>
                <c:pt idx="82">
                  <c:v>0.25609756097560976</c:v>
                </c:pt>
                <c:pt idx="83">
                  <c:v>0.25301204819277107</c:v>
                </c:pt>
                <c:pt idx="84">
                  <c:v>0.25</c:v>
                </c:pt>
                <c:pt idx="85">
                  <c:v>0.24705882352941178</c:v>
                </c:pt>
                <c:pt idx="86">
                  <c:v>0.2441860465116279</c:v>
                </c:pt>
                <c:pt idx="87">
                  <c:v>0.24137931034482757</c:v>
                </c:pt>
                <c:pt idx="88">
                  <c:v>0.23863636363636362</c:v>
                </c:pt>
                <c:pt idx="89">
                  <c:v>0.23595505617977527</c:v>
                </c:pt>
                <c:pt idx="90">
                  <c:v>0.23333333333333331</c:v>
                </c:pt>
                <c:pt idx="91">
                  <c:v>0.23076923076923075</c:v>
                </c:pt>
                <c:pt idx="92">
                  <c:v>0.22826086956521738</c:v>
                </c:pt>
                <c:pt idx="93">
                  <c:v>0.22580645161290319</c:v>
                </c:pt>
                <c:pt idx="94">
                  <c:v>0.22340425531914895</c:v>
                </c:pt>
                <c:pt idx="95">
                  <c:v>0.22105263157894736</c:v>
                </c:pt>
                <c:pt idx="96">
                  <c:v>0.21875</c:v>
                </c:pt>
                <c:pt idx="97">
                  <c:v>0.21649484536082475</c:v>
                </c:pt>
                <c:pt idx="98">
                  <c:v>0.21428571428571427</c:v>
                </c:pt>
                <c:pt idx="99">
                  <c:v>0.21212121212121213</c:v>
                </c:pt>
                <c:pt idx="100">
                  <c:v>0.21</c:v>
                </c:pt>
                <c:pt idx="101">
                  <c:v>0.20792079207920791</c:v>
                </c:pt>
                <c:pt idx="102">
                  <c:v>0.20588235294117646</c:v>
                </c:pt>
                <c:pt idx="103">
                  <c:v>0.20388349514563106</c:v>
                </c:pt>
                <c:pt idx="104">
                  <c:v>0.2019230769230769</c:v>
                </c:pt>
                <c:pt idx="105">
                  <c:v>0.19999999999999998</c:v>
                </c:pt>
                <c:pt idx="106">
                  <c:v>0.1981132075471698</c:v>
                </c:pt>
                <c:pt idx="107">
                  <c:v>0.19626168224299065</c:v>
                </c:pt>
                <c:pt idx="108">
                  <c:v>0.19444444444444442</c:v>
                </c:pt>
                <c:pt idx="109">
                  <c:v>0.19266055045871558</c:v>
                </c:pt>
                <c:pt idx="110">
                  <c:v>0.19090909090909089</c:v>
                </c:pt>
                <c:pt idx="111">
                  <c:v>0.18918918918918917</c:v>
                </c:pt>
                <c:pt idx="112">
                  <c:v>0.18749999999999997</c:v>
                </c:pt>
                <c:pt idx="113">
                  <c:v>0.18584070796460178</c:v>
                </c:pt>
                <c:pt idx="114">
                  <c:v>0.18421052631578949</c:v>
                </c:pt>
                <c:pt idx="115">
                  <c:v>0.18260869565217391</c:v>
                </c:pt>
                <c:pt idx="116">
                  <c:v>0.18103448275862069</c:v>
                </c:pt>
                <c:pt idx="117">
                  <c:v>0.17948717948717949</c:v>
                </c:pt>
                <c:pt idx="118">
                  <c:v>0.17796610169491525</c:v>
                </c:pt>
                <c:pt idx="119">
                  <c:v>0.17647058823529413</c:v>
                </c:pt>
                <c:pt idx="120">
                  <c:v>0.17499999999999999</c:v>
                </c:pt>
                <c:pt idx="121">
                  <c:v>0.17355371900826447</c:v>
                </c:pt>
                <c:pt idx="122">
                  <c:v>0.1721311475409836</c:v>
                </c:pt>
                <c:pt idx="123">
                  <c:v>0.17073170731707316</c:v>
                </c:pt>
                <c:pt idx="124">
                  <c:v>0.16935483870967741</c:v>
                </c:pt>
                <c:pt idx="125">
                  <c:v>0.16799999999999998</c:v>
                </c:pt>
                <c:pt idx="126">
                  <c:v>0.16666666666666666</c:v>
                </c:pt>
                <c:pt idx="127">
                  <c:v>0.1653543307086614</c:v>
                </c:pt>
                <c:pt idx="128">
                  <c:v>0.1640625</c:v>
                </c:pt>
                <c:pt idx="129">
                  <c:v>0.16279069767441859</c:v>
                </c:pt>
                <c:pt idx="130">
                  <c:v>0.16153846153846152</c:v>
                </c:pt>
                <c:pt idx="131">
                  <c:v>0.16030534351145037</c:v>
                </c:pt>
                <c:pt idx="132">
                  <c:v>0.15909090909090909</c:v>
                </c:pt>
                <c:pt idx="133">
                  <c:v>0.15789473684210525</c:v>
                </c:pt>
                <c:pt idx="134">
                  <c:v>0.15671641791044774</c:v>
                </c:pt>
                <c:pt idx="135">
                  <c:v>0.15555555555555553</c:v>
                </c:pt>
                <c:pt idx="136">
                  <c:v>0.15441176470588233</c:v>
                </c:pt>
                <c:pt idx="137">
                  <c:v>0.15328467153284669</c:v>
                </c:pt>
                <c:pt idx="138">
                  <c:v>0.15217391304347827</c:v>
                </c:pt>
                <c:pt idx="139">
                  <c:v>0.15107913669064749</c:v>
                </c:pt>
                <c:pt idx="140">
                  <c:v>0.15</c:v>
                </c:pt>
                <c:pt idx="141">
                  <c:v>0.14893617021276595</c:v>
                </c:pt>
                <c:pt idx="142">
                  <c:v>0.14788732394366197</c:v>
                </c:pt>
                <c:pt idx="143">
                  <c:v>0.14685314685314685</c:v>
                </c:pt>
                <c:pt idx="144">
                  <c:v>0.14583333333333334</c:v>
                </c:pt>
                <c:pt idx="145">
                  <c:v>0.14482758620689656</c:v>
                </c:pt>
                <c:pt idx="146">
                  <c:v>0.14383561643835616</c:v>
                </c:pt>
                <c:pt idx="147">
                  <c:v>0.14285714285714285</c:v>
                </c:pt>
                <c:pt idx="148">
                  <c:v>0.14189189189189189</c:v>
                </c:pt>
                <c:pt idx="149">
                  <c:v>0.14093959731543623</c:v>
                </c:pt>
                <c:pt idx="150">
                  <c:v>0.13999999999999999</c:v>
                </c:pt>
                <c:pt idx="151">
                  <c:v>0.13907284768211919</c:v>
                </c:pt>
                <c:pt idx="152">
                  <c:v>0.13815789473684209</c:v>
                </c:pt>
                <c:pt idx="153">
                  <c:v>0.1372549019607843</c:v>
                </c:pt>
                <c:pt idx="154">
                  <c:v>0.13636363636363635</c:v>
                </c:pt>
                <c:pt idx="155">
                  <c:v>0.13548387096774192</c:v>
                </c:pt>
                <c:pt idx="156">
                  <c:v>0.13461538461538461</c:v>
                </c:pt>
                <c:pt idx="157">
                  <c:v>0.13375796178343949</c:v>
                </c:pt>
                <c:pt idx="158">
                  <c:v>0.13291139240506328</c:v>
                </c:pt>
                <c:pt idx="159">
                  <c:v>0.13207547169811321</c:v>
                </c:pt>
                <c:pt idx="160">
                  <c:v>0.13124999999999998</c:v>
                </c:pt>
                <c:pt idx="161">
                  <c:v>0.13043478260869565</c:v>
                </c:pt>
                <c:pt idx="162">
                  <c:v>0.12962962962962962</c:v>
                </c:pt>
                <c:pt idx="163">
                  <c:v>0.12883435582822086</c:v>
                </c:pt>
                <c:pt idx="164">
                  <c:v>0.12804878048780488</c:v>
                </c:pt>
                <c:pt idx="165">
                  <c:v>0.12727272727272729</c:v>
                </c:pt>
                <c:pt idx="166">
                  <c:v>0.12650602409638553</c:v>
                </c:pt>
                <c:pt idx="167">
                  <c:v>0.12574850299401197</c:v>
                </c:pt>
                <c:pt idx="168">
                  <c:v>0.125</c:v>
                </c:pt>
                <c:pt idx="169">
                  <c:v>0.1242603550295858</c:v>
                </c:pt>
                <c:pt idx="170">
                  <c:v>0.12352941176470589</c:v>
                </c:pt>
                <c:pt idx="171">
                  <c:v>0.12280701754385964</c:v>
                </c:pt>
                <c:pt idx="172">
                  <c:v>0.12209302325581395</c:v>
                </c:pt>
                <c:pt idx="173">
                  <c:v>0.12138728323699421</c:v>
                </c:pt>
                <c:pt idx="174">
                  <c:v>0.12068965517241378</c:v>
                </c:pt>
                <c:pt idx="175">
                  <c:v>0.12</c:v>
                </c:pt>
                <c:pt idx="176">
                  <c:v>0.11931818181818181</c:v>
                </c:pt>
                <c:pt idx="177">
                  <c:v>0.11864406779661016</c:v>
                </c:pt>
                <c:pt idx="178">
                  <c:v>0.11797752808988764</c:v>
                </c:pt>
                <c:pt idx="179">
                  <c:v>0.11731843575418993</c:v>
                </c:pt>
                <c:pt idx="180">
                  <c:v>0.11666666666666665</c:v>
                </c:pt>
                <c:pt idx="181">
                  <c:v>0.11602209944751381</c:v>
                </c:pt>
                <c:pt idx="182">
                  <c:v>0.11538461538461538</c:v>
                </c:pt>
                <c:pt idx="183">
                  <c:v>0.11475409836065573</c:v>
                </c:pt>
                <c:pt idx="184">
                  <c:v>0.11413043478260869</c:v>
                </c:pt>
                <c:pt idx="185">
                  <c:v>0.11351351351351351</c:v>
                </c:pt>
                <c:pt idx="186">
                  <c:v>0.1129032258064516</c:v>
                </c:pt>
                <c:pt idx="187">
                  <c:v>0.1122994652406417</c:v>
                </c:pt>
                <c:pt idx="188">
                  <c:v>0.11170212765957448</c:v>
                </c:pt>
                <c:pt idx="189">
                  <c:v>0.11111111111111112</c:v>
                </c:pt>
                <c:pt idx="190">
                  <c:v>0.11052631578947368</c:v>
                </c:pt>
                <c:pt idx="191">
                  <c:v>0.1099476439790576</c:v>
                </c:pt>
                <c:pt idx="192">
                  <c:v>0.109375</c:v>
                </c:pt>
                <c:pt idx="193">
                  <c:v>0.10880829015544041</c:v>
                </c:pt>
                <c:pt idx="194">
                  <c:v>0.10824742268041238</c:v>
                </c:pt>
                <c:pt idx="195">
                  <c:v>0.10769230769230768</c:v>
                </c:pt>
                <c:pt idx="196">
                  <c:v>0.10714285714285714</c:v>
                </c:pt>
                <c:pt idx="197">
                  <c:v>0.1065989847715736</c:v>
                </c:pt>
                <c:pt idx="198">
                  <c:v>0.10606060606060606</c:v>
                </c:pt>
                <c:pt idx="199">
                  <c:v>0.10552763819095477</c:v>
                </c:pt>
                <c:pt idx="200">
                  <c:v>0.105</c:v>
                </c:pt>
                <c:pt idx="201">
                  <c:v>0.10447761194029852</c:v>
                </c:pt>
                <c:pt idx="202">
                  <c:v>0.10396039603960396</c:v>
                </c:pt>
                <c:pt idx="203">
                  <c:v>0.10344827586206898</c:v>
                </c:pt>
                <c:pt idx="204">
                  <c:v>0.10294117647058823</c:v>
                </c:pt>
                <c:pt idx="205">
                  <c:v>0.10243902439024391</c:v>
                </c:pt>
                <c:pt idx="206">
                  <c:v>0.10194174757281553</c:v>
                </c:pt>
                <c:pt idx="207">
                  <c:v>0.10144927536231885</c:v>
                </c:pt>
                <c:pt idx="208">
                  <c:v>0.10096153846153845</c:v>
                </c:pt>
                <c:pt idx="209">
                  <c:v>0.10047846889952153</c:v>
                </c:pt>
                <c:pt idx="210">
                  <c:v>9.9999999999999992E-2</c:v>
                </c:pt>
                <c:pt idx="211">
                  <c:v>9.9526066350710901E-2</c:v>
                </c:pt>
                <c:pt idx="212">
                  <c:v>9.9056603773584898E-2</c:v>
                </c:pt>
                <c:pt idx="213">
                  <c:v>9.8591549295774655E-2</c:v>
                </c:pt>
                <c:pt idx="214">
                  <c:v>9.8130841121495324E-2</c:v>
                </c:pt>
                <c:pt idx="215">
                  <c:v>9.7674418604651161E-2</c:v>
                </c:pt>
                <c:pt idx="216">
                  <c:v>9.722222222222221E-2</c:v>
                </c:pt>
                <c:pt idx="217">
                  <c:v>9.6774193548387094E-2</c:v>
                </c:pt>
                <c:pt idx="218">
                  <c:v>9.633027522935779E-2</c:v>
                </c:pt>
                <c:pt idx="219">
                  <c:v>9.5890410958904104E-2</c:v>
                </c:pt>
                <c:pt idx="220">
                  <c:v>9.5454545454545445E-2</c:v>
                </c:pt>
                <c:pt idx="221">
                  <c:v>9.5022624434389136E-2</c:v>
                </c:pt>
                <c:pt idx="222">
                  <c:v>9.4594594594594586E-2</c:v>
                </c:pt>
                <c:pt idx="223">
                  <c:v>9.417040358744394E-2</c:v>
                </c:pt>
                <c:pt idx="224">
                  <c:v>9.3749999999999986E-2</c:v>
                </c:pt>
                <c:pt idx="225">
                  <c:v>9.3333333333333324E-2</c:v>
                </c:pt>
                <c:pt idx="226">
                  <c:v>9.2920353982300891E-2</c:v>
                </c:pt>
                <c:pt idx="227">
                  <c:v>9.2511013215859028E-2</c:v>
                </c:pt>
                <c:pt idx="228">
                  <c:v>9.2105263157894746E-2</c:v>
                </c:pt>
                <c:pt idx="229">
                  <c:v>9.1703056768558944E-2</c:v>
                </c:pt>
                <c:pt idx="230">
                  <c:v>9.1304347826086957E-2</c:v>
                </c:pt>
                <c:pt idx="231">
                  <c:v>9.0909090909090898E-2</c:v>
                </c:pt>
                <c:pt idx="232">
                  <c:v>9.0517241379310345E-2</c:v>
                </c:pt>
                <c:pt idx="233">
                  <c:v>9.0128755364806856E-2</c:v>
                </c:pt>
                <c:pt idx="234">
                  <c:v>8.9743589743589744E-2</c:v>
                </c:pt>
                <c:pt idx="235">
                  <c:v>8.9361702127659565E-2</c:v>
                </c:pt>
                <c:pt idx="236">
                  <c:v>8.8983050847457626E-2</c:v>
                </c:pt>
                <c:pt idx="237">
                  <c:v>8.8607594936708847E-2</c:v>
                </c:pt>
                <c:pt idx="238">
                  <c:v>8.8235294117647065E-2</c:v>
                </c:pt>
                <c:pt idx="239">
                  <c:v>8.7866108786610872E-2</c:v>
                </c:pt>
                <c:pt idx="240">
                  <c:v>8.7499999999999994E-2</c:v>
                </c:pt>
                <c:pt idx="241">
                  <c:v>8.7136929460580909E-2</c:v>
                </c:pt>
                <c:pt idx="242">
                  <c:v>8.6776859504132234E-2</c:v>
                </c:pt>
                <c:pt idx="243">
                  <c:v>8.6419753086419748E-2</c:v>
                </c:pt>
                <c:pt idx="244">
                  <c:v>8.6065573770491802E-2</c:v>
                </c:pt>
                <c:pt idx="245">
                  <c:v>8.5714285714285701E-2</c:v>
                </c:pt>
                <c:pt idx="246">
                  <c:v>8.5365853658536578E-2</c:v>
                </c:pt>
                <c:pt idx="247">
                  <c:v>8.5020242914979741E-2</c:v>
                </c:pt>
                <c:pt idx="248">
                  <c:v>8.4677419354838704E-2</c:v>
                </c:pt>
                <c:pt idx="249">
                  <c:v>8.4337349397590355E-2</c:v>
                </c:pt>
                <c:pt idx="250">
                  <c:v>8.3999999999999991E-2</c:v>
                </c:pt>
                <c:pt idx="251">
                  <c:v>8.3665338645418336E-2</c:v>
                </c:pt>
                <c:pt idx="252">
                  <c:v>8.3333333333333329E-2</c:v>
                </c:pt>
                <c:pt idx="253">
                  <c:v>8.3003952569169967E-2</c:v>
                </c:pt>
                <c:pt idx="254">
                  <c:v>8.2677165354330701E-2</c:v>
                </c:pt>
                <c:pt idx="255">
                  <c:v>8.2352941176470587E-2</c:v>
                </c:pt>
                <c:pt idx="256">
                  <c:v>8.203125E-2</c:v>
                </c:pt>
                <c:pt idx="257">
                  <c:v>8.171206225680934E-2</c:v>
                </c:pt>
                <c:pt idx="258">
                  <c:v>8.1395348837209294E-2</c:v>
                </c:pt>
                <c:pt idx="259">
                  <c:v>8.1081081081081086E-2</c:v>
                </c:pt>
                <c:pt idx="260">
                  <c:v>8.076923076923076E-2</c:v>
                </c:pt>
                <c:pt idx="261">
                  <c:v>8.0459770114942528E-2</c:v>
                </c:pt>
                <c:pt idx="262">
                  <c:v>8.0152671755725186E-2</c:v>
                </c:pt>
                <c:pt idx="263">
                  <c:v>7.9847908745247151E-2</c:v>
                </c:pt>
                <c:pt idx="264">
                  <c:v>7.9545454545454544E-2</c:v>
                </c:pt>
                <c:pt idx="265">
                  <c:v>7.9245283018867921E-2</c:v>
                </c:pt>
                <c:pt idx="266">
                  <c:v>7.8947368421052627E-2</c:v>
                </c:pt>
                <c:pt idx="267">
                  <c:v>7.8651685393258425E-2</c:v>
                </c:pt>
                <c:pt idx="268">
                  <c:v>7.8358208955223871E-2</c:v>
                </c:pt>
                <c:pt idx="269">
                  <c:v>7.8066914498141265E-2</c:v>
                </c:pt>
                <c:pt idx="270">
                  <c:v>7.7777777777777765E-2</c:v>
                </c:pt>
                <c:pt idx="271">
                  <c:v>7.7490774907749069E-2</c:v>
                </c:pt>
                <c:pt idx="272">
                  <c:v>7.7205882352941166E-2</c:v>
                </c:pt>
                <c:pt idx="273">
                  <c:v>7.6923076923076927E-2</c:v>
                </c:pt>
                <c:pt idx="274">
                  <c:v>7.6642335766423347E-2</c:v>
                </c:pt>
                <c:pt idx="275">
                  <c:v>7.6363636363636356E-2</c:v>
                </c:pt>
                <c:pt idx="276">
                  <c:v>7.6086956521739135E-2</c:v>
                </c:pt>
                <c:pt idx="277">
                  <c:v>7.5812274368231042E-2</c:v>
                </c:pt>
                <c:pt idx="278">
                  <c:v>7.5539568345323743E-2</c:v>
                </c:pt>
                <c:pt idx="279">
                  <c:v>7.5268817204301078E-2</c:v>
                </c:pt>
                <c:pt idx="280">
                  <c:v>7.4999999999999997E-2</c:v>
                </c:pt>
                <c:pt idx="281">
                  <c:v>7.4733096085409248E-2</c:v>
                </c:pt>
                <c:pt idx="282">
                  <c:v>7.4468085106382975E-2</c:v>
                </c:pt>
                <c:pt idx="283">
                  <c:v>7.4204946996466431E-2</c:v>
                </c:pt>
                <c:pt idx="284">
                  <c:v>7.3943661971830985E-2</c:v>
                </c:pt>
                <c:pt idx="285">
                  <c:v>7.3684210526315783E-2</c:v>
                </c:pt>
                <c:pt idx="286">
                  <c:v>7.3426573426573424E-2</c:v>
                </c:pt>
                <c:pt idx="287">
                  <c:v>7.3170731707317069E-2</c:v>
                </c:pt>
                <c:pt idx="288">
                  <c:v>7.2916666666666671E-2</c:v>
                </c:pt>
                <c:pt idx="289">
                  <c:v>7.2664359861591685E-2</c:v>
                </c:pt>
                <c:pt idx="290">
                  <c:v>7.2413793103448282E-2</c:v>
                </c:pt>
                <c:pt idx="291">
                  <c:v>7.2164948453608241E-2</c:v>
                </c:pt>
                <c:pt idx="292">
                  <c:v>7.1917808219178078E-2</c:v>
                </c:pt>
                <c:pt idx="293">
                  <c:v>7.1672354948805458E-2</c:v>
                </c:pt>
                <c:pt idx="294">
                  <c:v>7.1428571428571425E-2</c:v>
                </c:pt>
                <c:pt idx="295">
                  <c:v>7.118644067796609E-2</c:v>
                </c:pt>
                <c:pt idx="296">
                  <c:v>7.0945945945945943E-2</c:v>
                </c:pt>
                <c:pt idx="297">
                  <c:v>7.0707070707070704E-2</c:v>
                </c:pt>
                <c:pt idx="298">
                  <c:v>7.0469798657718116E-2</c:v>
                </c:pt>
                <c:pt idx="299">
                  <c:v>7.0234113712374577E-2</c:v>
                </c:pt>
                <c:pt idx="300">
                  <c:v>6.9999999999999993E-2</c:v>
                </c:pt>
                <c:pt idx="301">
                  <c:v>6.9767441860465115E-2</c:v>
                </c:pt>
                <c:pt idx="302">
                  <c:v>6.9536423841059597E-2</c:v>
                </c:pt>
                <c:pt idx="303">
                  <c:v>6.9306930693069313E-2</c:v>
                </c:pt>
                <c:pt idx="304">
                  <c:v>6.9078947368421045E-2</c:v>
                </c:pt>
                <c:pt idx="305">
                  <c:v>6.8852459016393447E-2</c:v>
                </c:pt>
                <c:pt idx="306">
                  <c:v>6.8627450980392149E-2</c:v>
                </c:pt>
                <c:pt idx="307">
                  <c:v>6.8403908794788276E-2</c:v>
                </c:pt>
                <c:pt idx="308">
                  <c:v>6.8181818181818177E-2</c:v>
                </c:pt>
                <c:pt idx="309">
                  <c:v>6.7961165048543687E-2</c:v>
                </c:pt>
                <c:pt idx="310">
                  <c:v>6.774193548387096E-2</c:v>
                </c:pt>
                <c:pt idx="311">
                  <c:v>6.7524115755627015E-2</c:v>
                </c:pt>
                <c:pt idx="312">
                  <c:v>6.7307692307692304E-2</c:v>
                </c:pt>
                <c:pt idx="313">
                  <c:v>6.7092651757188496E-2</c:v>
                </c:pt>
                <c:pt idx="314">
                  <c:v>6.6878980891719744E-2</c:v>
                </c:pt>
                <c:pt idx="315">
                  <c:v>6.6666666666666666E-2</c:v>
                </c:pt>
                <c:pt idx="316">
                  <c:v>6.6455696202531639E-2</c:v>
                </c:pt>
                <c:pt idx="317">
                  <c:v>6.6246056782334389E-2</c:v>
                </c:pt>
                <c:pt idx="318">
                  <c:v>6.6037735849056603E-2</c:v>
                </c:pt>
                <c:pt idx="319">
                  <c:v>6.5830721003134793E-2</c:v>
                </c:pt>
                <c:pt idx="320">
                  <c:v>6.5624999999999989E-2</c:v>
                </c:pt>
                <c:pt idx="321">
                  <c:v>6.5420560747663545E-2</c:v>
                </c:pt>
                <c:pt idx="322">
                  <c:v>6.5217391304347824E-2</c:v>
                </c:pt>
                <c:pt idx="323">
                  <c:v>6.5015479876160992E-2</c:v>
                </c:pt>
                <c:pt idx="324">
                  <c:v>6.4814814814814811E-2</c:v>
                </c:pt>
                <c:pt idx="325">
                  <c:v>6.4615384615384616E-2</c:v>
                </c:pt>
                <c:pt idx="326">
                  <c:v>6.4417177914110432E-2</c:v>
                </c:pt>
                <c:pt idx="327">
                  <c:v>6.4220183486238536E-2</c:v>
                </c:pt>
                <c:pt idx="328">
                  <c:v>6.402439024390244E-2</c:v>
                </c:pt>
                <c:pt idx="329">
                  <c:v>6.3829787234042548E-2</c:v>
                </c:pt>
                <c:pt idx="330">
                  <c:v>6.3636363636363644E-2</c:v>
                </c:pt>
                <c:pt idx="331">
                  <c:v>6.3444108761329304E-2</c:v>
                </c:pt>
                <c:pt idx="332">
                  <c:v>6.3253012048192767E-2</c:v>
                </c:pt>
                <c:pt idx="333">
                  <c:v>6.3063063063063057E-2</c:v>
                </c:pt>
                <c:pt idx="334">
                  <c:v>6.2874251497005984E-2</c:v>
                </c:pt>
                <c:pt idx="335">
                  <c:v>6.2686567164179099E-2</c:v>
                </c:pt>
                <c:pt idx="336">
                  <c:v>6.25E-2</c:v>
                </c:pt>
                <c:pt idx="337">
                  <c:v>6.2314540059347175E-2</c:v>
                </c:pt>
                <c:pt idx="338">
                  <c:v>6.2130177514792898E-2</c:v>
                </c:pt>
                <c:pt idx="339">
                  <c:v>6.1946902654867249E-2</c:v>
                </c:pt>
                <c:pt idx="340">
                  <c:v>6.1764705882352944E-2</c:v>
                </c:pt>
                <c:pt idx="341">
                  <c:v>6.1583577712609965E-2</c:v>
                </c:pt>
                <c:pt idx="342">
                  <c:v>6.1403508771929821E-2</c:v>
                </c:pt>
                <c:pt idx="343">
                  <c:v>6.1224489795918359E-2</c:v>
                </c:pt>
                <c:pt idx="344">
                  <c:v>6.1046511627906974E-2</c:v>
                </c:pt>
                <c:pt idx="345">
                  <c:v>6.08695652173913E-2</c:v>
                </c:pt>
                <c:pt idx="346">
                  <c:v>6.0693641618497107E-2</c:v>
                </c:pt>
                <c:pt idx="347">
                  <c:v>6.0518731988472615E-2</c:v>
                </c:pt>
                <c:pt idx="348">
                  <c:v>6.0344827586206892E-2</c:v>
                </c:pt>
                <c:pt idx="349">
                  <c:v>6.017191977077363E-2</c:v>
                </c:pt>
                <c:pt idx="350">
                  <c:v>0.06</c:v>
                </c:pt>
                <c:pt idx="351">
                  <c:v>5.9829059829059832E-2</c:v>
                </c:pt>
                <c:pt idx="352">
                  <c:v>5.9659090909090905E-2</c:v>
                </c:pt>
                <c:pt idx="353">
                  <c:v>5.9490084985835696E-2</c:v>
                </c:pt>
                <c:pt idx="354">
                  <c:v>5.9322033898305079E-2</c:v>
                </c:pt>
                <c:pt idx="355">
                  <c:v>5.9154929577464786E-2</c:v>
                </c:pt>
                <c:pt idx="356">
                  <c:v>5.8988764044943819E-2</c:v>
                </c:pt>
                <c:pt idx="357">
                  <c:v>5.8823529411764705E-2</c:v>
                </c:pt>
                <c:pt idx="358">
                  <c:v>5.8659217877094966E-2</c:v>
                </c:pt>
                <c:pt idx="359">
                  <c:v>5.8495821727019497E-2</c:v>
                </c:pt>
                <c:pt idx="360">
                  <c:v>5.8333333333333327E-2</c:v>
                </c:pt>
                <c:pt idx="361">
                  <c:v>5.817174515235457E-2</c:v>
                </c:pt>
                <c:pt idx="362">
                  <c:v>5.8011049723756904E-2</c:v>
                </c:pt>
                <c:pt idx="363">
                  <c:v>5.7851239669421489E-2</c:v>
                </c:pt>
                <c:pt idx="364">
                  <c:v>5.7692307692307689E-2</c:v>
                </c:pt>
                <c:pt idx="365">
                  <c:v>5.7534246575342465E-2</c:v>
                </c:pt>
                <c:pt idx="366">
                  <c:v>5.7377049180327863E-2</c:v>
                </c:pt>
                <c:pt idx="367">
                  <c:v>5.7220708446866483E-2</c:v>
                </c:pt>
                <c:pt idx="368">
                  <c:v>5.7065217391304345E-2</c:v>
                </c:pt>
                <c:pt idx="369">
                  <c:v>5.6910569105691054E-2</c:v>
                </c:pt>
                <c:pt idx="370">
                  <c:v>5.6756756756756753E-2</c:v>
                </c:pt>
                <c:pt idx="371">
                  <c:v>5.6603773584905662E-2</c:v>
                </c:pt>
                <c:pt idx="372">
                  <c:v>5.6451612903225798E-2</c:v>
                </c:pt>
                <c:pt idx="373">
                  <c:v>5.6300268096514741E-2</c:v>
                </c:pt>
                <c:pt idx="374">
                  <c:v>5.6149732620320851E-2</c:v>
                </c:pt>
                <c:pt idx="375">
                  <c:v>5.6000000000000001E-2</c:v>
                </c:pt>
                <c:pt idx="376">
                  <c:v>5.5851063829787238E-2</c:v>
                </c:pt>
                <c:pt idx="377">
                  <c:v>5.5702917771883284E-2</c:v>
                </c:pt>
                <c:pt idx="378">
                  <c:v>5.5555555555555559E-2</c:v>
                </c:pt>
                <c:pt idx="379">
                  <c:v>5.5408970976253295E-2</c:v>
                </c:pt>
                <c:pt idx="380">
                  <c:v>5.526315789473684E-2</c:v>
                </c:pt>
                <c:pt idx="381">
                  <c:v>5.5118110236220472E-2</c:v>
                </c:pt>
                <c:pt idx="382">
                  <c:v>5.4973821989528798E-2</c:v>
                </c:pt>
                <c:pt idx="383">
                  <c:v>5.4830287206266315E-2</c:v>
                </c:pt>
                <c:pt idx="384">
                  <c:v>5.46875E-2</c:v>
                </c:pt>
                <c:pt idx="385">
                  <c:v>5.4545454545454543E-2</c:v>
                </c:pt>
                <c:pt idx="386">
                  <c:v>5.4404145077720206E-2</c:v>
                </c:pt>
                <c:pt idx="387">
                  <c:v>5.4263565891472867E-2</c:v>
                </c:pt>
                <c:pt idx="388">
                  <c:v>5.4123711340206188E-2</c:v>
                </c:pt>
                <c:pt idx="389">
                  <c:v>5.3984575835475578E-2</c:v>
                </c:pt>
                <c:pt idx="390">
                  <c:v>5.3846153846153842E-2</c:v>
                </c:pt>
                <c:pt idx="391">
                  <c:v>5.3708439897698204E-2</c:v>
                </c:pt>
                <c:pt idx="392">
                  <c:v>5.3571428571428568E-2</c:v>
                </c:pt>
                <c:pt idx="393">
                  <c:v>5.3435114503816793E-2</c:v>
                </c:pt>
                <c:pt idx="394">
                  <c:v>5.3299492385786802E-2</c:v>
                </c:pt>
                <c:pt idx="395">
                  <c:v>5.3164556962025315E-2</c:v>
                </c:pt>
                <c:pt idx="396">
                  <c:v>5.3030303030303032E-2</c:v>
                </c:pt>
                <c:pt idx="397">
                  <c:v>5.2896725440806043E-2</c:v>
                </c:pt>
                <c:pt idx="398">
                  <c:v>5.2763819095477386E-2</c:v>
                </c:pt>
                <c:pt idx="399">
                  <c:v>5.2631578947368418E-2</c:v>
                </c:pt>
                <c:pt idx="400">
                  <c:v>5.2499999999999998E-2</c:v>
                </c:pt>
                <c:pt idx="401">
                  <c:v>5.2369077306733167E-2</c:v>
                </c:pt>
                <c:pt idx="402">
                  <c:v>5.2238805970149259E-2</c:v>
                </c:pt>
                <c:pt idx="403">
                  <c:v>5.2109181141439198E-2</c:v>
                </c:pt>
                <c:pt idx="404">
                  <c:v>5.1980198019801978E-2</c:v>
                </c:pt>
                <c:pt idx="405">
                  <c:v>5.185185185185185E-2</c:v>
                </c:pt>
                <c:pt idx="406">
                  <c:v>5.1724137931034489E-2</c:v>
                </c:pt>
                <c:pt idx="407">
                  <c:v>5.1597051597051594E-2</c:v>
                </c:pt>
                <c:pt idx="408">
                  <c:v>5.1470588235294115E-2</c:v>
                </c:pt>
                <c:pt idx="409">
                  <c:v>5.1344743276283619E-2</c:v>
                </c:pt>
                <c:pt idx="410">
                  <c:v>5.1219512195121955E-2</c:v>
                </c:pt>
                <c:pt idx="411">
                  <c:v>5.1094890510948898E-2</c:v>
                </c:pt>
                <c:pt idx="412">
                  <c:v>5.0970873786407765E-2</c:v>
                </c:pt>
                <c:pt idx="413">
                  <c:v>5.084745762711864E-2</c:v>
                </c:pt>
                <c:pt idx="414">
                  <c:v>5.0724637681159424E-2</c:v>
                </c:pt>
                <c:pt idx="415">
                  <c:v>5.060240963855421E-2</c:v>
                </c:pt>
                <c:pt idx="416">
                  <c:v>5.0480769230769225E-2</c:v>
                </c:pt>
                <c:pt idx="417">
                  <c:v>5.0359712230215826E-2</c:v>
                </c:pt>
                <c:pt idx="418">
                  <c:v>5.0239234449760764E-2</c:v>
                </c:pt>
                <c:pt idx="419">
                  <c:v>5.011933174224343E-2</c:v>
                </c:pt>
                <c:pt idx="420">
                  <c:v>4.9999999999999996E-2</c:v>
                </c:pt>
                <c:pt idx="421">
                  <c:v>4.9881235154394299E-2</c:v>
                </c:pt>
                <c:pt idx="422">
                  <c:v>4.9763033175355451E-2</c:v>
                </c:pt>
                <c:pt idx="423">
                  <c:v>4.9645390070921981E-2</c:v>
                </c:pt>
                <c:pt idx="424">
                  <c:v>4.9528301886792449E-2</c:v>
                </c:pt>
                <c:pt idx="425">
                  <c:v>4.9411764705882349E-2</c:v>
                </c:pt>
                <c:pt idx="426">
                  <c:v>4.9295774647887328E-2</c:v>
                </c:pt>
                <c:pt idx="427">
                  <c:v>4.9180327868852465E-2</c:v>
                </c:pt>
                <c:pt idx="428">
                  <c:v>4.9065420560747662E-2</c:v>
                </c:pt>
                <c:pt idx="429">
                  <c:v>4.8951048951048952E-2</c:v>
                </c:pt>
                <c:pt idx="430">
                  <c:v>4.8837209302325581E-2</c:v>
                </c:pt>
                <c:pt idx="431">
                  <c:v>4.8723897911832952E-2</c:v>
                </c:pt>
                <c:pt idx="432">
                  <c:v>4.8611111111111105E-2</c:v>
                </c:pt>
                <c:pt idx="433">
                  <c:v>4.8498845265588911E-2</c:v>
                </c:pt>
                <c:pt idx="434">
                  <c:v>4.8387096774193547E-2</c:v>
                </c:pt>
                <c:pt idx="435">
                  <c:v>4.8275862068965517E-2</c:v>
                </c:pt>
                <c:pt idx="436">
                  <c:v>4.8165137614678895E-2</c:v>
                </c:pt>
                <c:pt idx="437">
                  <c:v>4.8054919908466817E-2</c:v>
                </c:pt>
                <c:pt idx="438">
                  <c:v>4.7945205479452052E-2</c:v>
                </c:pt>
                <c:pt idx="439">
                  <c:v>4.7835990888382689E-2</c:v>
                </c:pt>
                <c:pt idx="440">
                  <c:v>4.7727272727272722E-2</c:v>
                </c:pt>
                <c:pt idx="441">
                  <c:v>4.7619047619047616E-2</c:v>
                </c:pt>
                <c:pt idx="442">
                  <c:v>4.7511312217194568E-2</c:v>
                </c:pt>
                <c:pt idx="443">
                  <c:v>4.740406320541761E-2</c:v>
                </c:pt>
                <c:pt idx="444">
                  <c:v>4.7297297297297293E-2</c:v>
                </c:pt>
                <c:pt idx="445">
                  <c:v>4.7191011235955052E-2</c:v>
                </c:pt>
                <c:pt idx="446">
                  <c:v>4.708520179372197E-2</c:v>
                </c:pt>
                <c:pt idx="447">
                  <c:v>4.6979865771812082E-2</c:v>
                </c:pt>
                <c:pt idx="448">
                  <c:v>4.6874999999999993E-2</c:v>
                </c:pt>
                <c:pt idx="449">
                  <c:v>4.677060133630289E-2</c:v>
                </c:pt>
                <c:pt idx="450">
                  <c:v>4.6666666666666662E-2</c:v>
                </c:pt>
                <c:pt idx="451">
                  <c:v>4.6563192904656318E-2</c:v>
                </c:pt>
                <c:pt idx="452">
                  <c:v>4.6460176991150445E-2</c:v>
                </c:pt>
                <c:pt idx="453">
                  <c:v>4.6357615894039729E-2</c:v>
                </c:pt>
                <c:pt idx="454">
                  <c:v>4.6255506607929514E-2</c:v>
                </c:pt>
                <c:pt idx="455">
                  <c:v>4.6153846153846156E-2</c:v>
                </c:pt>
                <c:pt idx="456">
                  <c:v>4.6052631578947373E-2</c:v>
                </c:pt>
                <c:pt idx="457">
                  <c:v>4.5951859956236317E-2</c:v>
                </c:pt>
                <c:pt idx="458">
                  <c:v>4.5851528384279472E-2</c:v>
                </c:pt>
                <c:pt idx="459">
                  <c:v>4.5751633986928102E-2</c:v>
                </c:pt>
                <c:pt idx="460">
                  <c:v>4.5652173913043478E-2</c:v>
                </c:pt>
                <c:pt idx="461">
                  <c:v>4.5553145336225592E-2</c:v>
                </c:pt>
                <c:pt idx="462">
                  <c:v>4.5454545454545449E-2</c:v>
                </c:pt>
                <c:pt idx="463">
                  <c:v>4.5356371490280774E-2</c:v>
                </c:pt>
                <c:pt idx="464">
                  <c:v>4.5258620689655173E-2</c:v>
                </c:pt>
                <c:pt idx="465">
                  <c:v>4.5161290322580643E-2</c:v>
                </c:pt>
                <c:pt idx="466">
                  <c:v>4.5064377682403428E-2</c:v>
                </c:pt>
                <c:pt idx="467">
                  <c:v>4.4967880085653104E-2</c:v>
                </c:pt>
                <c:pt idx="468">
                  <c:v>4.4871794871794872E-2</c:v>
                </c:pt>
                <c:pt idx="469">
                  <c:v>4.4776119402985072E-2</c:v>
                </c:pt>
                <c:pt idx="470">
                  <c:v>4.4680851063829782E-2</c:v>
                </c:pt>
                <c:pt idx="471">
                  <c:v>4.4585987261146494E-2</c:v>
                </c:pt>
                <c:pt idx="472">
                  <c:v>4.4491525423728813E-2</c:v>
                </c:pt>
                <c:pt idx="473">
                  <c:v>4.4397463002114161E-2</c:v>
                </c:pt>
                <c:pt idx="474">
                  <c:v>4.4303797468354424E-2</c:v>
                </c:pt>
                <c:pt idx="475">
                  <c:v>4.4210526315789471E-2</c:v>
                </c:pt>
                <c:pt idx="476">
                  <c:v>4.4117647058823532E-2</c:v>
                </c:pt>
                <c:pt idx="477">
                  <c:v>4.4025157232704407E-2</c:v>
                </c:pt>
                <c:pt idx="478">
                  <c:v>4.3933054393305436E-2</c:v>
                </c:pt>
                <c:pt idx="479">
                  <c:v>4.3841336116910226E-2</c:v>
                </c:pt>
                <c:pt idx="480">
                  <c:v>4.3749999999999997E-2</c:v>
                </c:pt>
                <c:pt idx="481">
                  <c:v>4.3659043659043661E-2</c:v>
                </c:pt>
                <c:pt idx="482">
                  <c:v>4.3568464730290454E-2</c:v>
                </c:pt>
                <c:pt idx="483">
                  <c:v>4.3478260869565216E-2</c:v>
                </c:pt>
                <c:pt idx="484">
                  <c:v>4.3388429752066117E-2</c:v>
                </c:pt>
                <c:pt idx="485">
                  <c:v>4.3298969072164947E-2</c:v>
                </c:pt>
                <c:pt idx="486">
                  <c:v>4.3209876543209874E-2</c:v>
                </c:pt>
                <c:pt idx="487">
                  <c:v>4.3121149897330596E-2</c:v>
                </c:pt>
                <c:pt idx="488">
                  <c:v>4.3032786885245901E-2</c:v>
                </c:pt>
                <c:pt idx="489">
                  <c:v>4.2944785276073622E-2</c:v>
                </c:pt>
                <c:pt idx="490">
                  <c:v>4.2857142857142851E-2</c:v>
                </c:pt>
                <c:pt idx="491">
                  <c:v>4.2769857433808553E-2</c:v>
                </c:pt>
                <c:pt idx="492">
                  <c:v>4.2682926829268289E-2</c:v>
                </c:pt>
                <c:pt idx="493">
                  <c:v>4.2596348884381338E-2</c:v>
                </c:pt>
                <c:pt idx="494">
                  <c:v>4.251012145748987E-2</c:v>
                </c:pt>
                <c:pt idx="495">
                  <c:v>4.242424242424242E-2</c:v>
                </c:pt>
                <c:pt idx="496">
                  <c:v>4.2338709677419352E-2</c:v>
                </c:pt>
                <c:pt idx="497">
                  <c:v>4.2253521126760563E-2</c:v>
                </c:pt>
                <c:pt idx="498">
                  <c:v>4.2168674698795178E-2</c:v>
                </c:pt>
                <c:pt idx="499">
                  <c:v>4.208416833667334E-2</c:v>
                </c:pt>
                <c:pt idx="500">
                  <c:v>4.1999999999999996E-2</c:v>
                </c:pt>
                <c:pt idx="501">
                  <c:v>4.1916167664670656E-2</c:v>
                </c:pt>
                <c:pt idx="502">
                  <c:v>4.1832669322709168E-2</c:v>
                </c:pt>
                <c:pt idx="503">
                  <c:v>4.1749502982107355E-2</c:v>
                </c:pt>
                <c:pt idx="504">
                  <c:v>4.1666666666666664E-2</c:v>
                </c:pt>
                <c:pt idx="505">
                  <c:v>4.1584158415841586E-2</c:v>
                </c:pt>
                <c:pt idx="506">
                  <c:v>4.1501976284584984E-2</c:v>
                </c:pt>
                <c:pt idx="507">
                  <c:v>4.1420118343195263E-2</c:v>
                </c:pt>
                <c:pt idx="508">
                  <c:v>4.133858267716535E-2</c:v>
                </c:pt>
                <c:pt idx="509">
                  <c:v>4.1257367387033402E-2</c:v>
                </c:pt>
                <c:pt idx="510">
                  <c:v>4.1176470588235294E-2</c:v>
                </c:pt>
                <c:pt idx="511">
                  <c:v>4.1095890410958902E-2</c:v>
                </c:pt>
                <c:pt idx="512">
                  <c:v>4.1015625E-2</c:v>
                </c:pt>
                <c:pt idx="513">
                  <c:v>4.0935672514619881E-2</c:v>
                </c:pt>
                <c:pt idx="514">
                  <c:v>4.085603112840467E-2</c:v>
                </c:pt>
                <c:pt idx="515">
                  <c:v>4.0776699029126208E-2</c:v>
                </c:pt>
                <c:pt idx="516">
                  <c:v>4.0697674418604647E-2</c:v>
                </c:pt>
                <c:pt idx="517">
                  <c:v>4.0618955512572531E-2</c:v>
                </c:pt>
                <c:pt idx="518">
                  <c:v>4.0540540540540543E-2</c:v>
                </c:pt>
                <c:pt idx="519">
                  <c:v>4.0462427745664734E-2</c:v>
                </c:pt>
                <c:pt idx="520">
                  <c:v>4.038461538461538E-2</c:v>
                </c:pt>
                <c:pt idx="521">
                  <c:v>4.0307101727447218E-2</c:v>
                </c:pt>
                <c:pt idx="522">
                  <c:v>4.0229885057471264E-2</c:v>
                </c:pt>
                <c:pt idx="523">
                  <c:v>4.0152963671128104E-2</c:v>
                </c:pt>
                <c:pt idx="524">
                  <c:v>4.0076335877862593E-2</c:v>
                </c:pt>
                <c:pt idx="525">
                  <c:v>0.04</c:v>
                </c:pt>
                <c:pt idx="526">
                  <c:v>3.9923954372623575E-2</c:v>
                </c:pt>
                <c:pt idx="527">
                  <c:v>3.9848197343453511E-2</c:v>
                </c:pt>
                <c:pt idx="528">
                  <c:v>3.9772727272727272E-2</c:v>
                </c:pt>
                <c:pt idx="529">
                  <c:v>3.9697542533081283E-2</c:v>
                </c:pt>
                <c:pt idx="530">
                  <c:v>3.962264150943396E-2</c:v>
                </c:pt>
                <c:pt idx="531">
                  <c:v>3.954802259887006E-2</c:v>
                </c:pt>
                <c:pt idx="532">
                  <c:v>3.9473684210526314E-2</c:v>
                </c:pt>
                <c:pt idx="533">
                  <c:v>3.9399624765478425E-2</c:v>
                </c:pt>
                <c:pt idx="534">
                  <c:v>3.9325842696629212E-2</c:v>
                </c:pt>
                <c:pt idx="535">
                  <c:v>3.925233644859813E-2</c:v>
                </c:pt>
                <c:pt idx="536">
                  <c:v>3.9179104477611935E-2</c:v>
                </c:pt>
                <c:pt idx="537">
                  <c:v>3.9106145251396648E-2</c:v>
                </c:pt>
                <c:pt idx="538">
                  <c:v>3.9033457249070633E-2</c:v>
                </c:pt>
                <c:pt idx="539">
                  <c:v>3.896103896103896E-2</c:v>
                </c:pt>
                <c:pt idx="540">
                  <c:v>3.8888888888888883E-2</c:v>
                </c:pt>
                <c:pt idx="541">
                  <c:v>3.8817005545286505E-2</c:v>
                </c:pt>
                <c:pt idx="542">
                  <c:v>3.8745387453874534E-2</c:v>
                </c:pt>
                <c:pt idx="543">
                  <c:v>3.8674033149171269E-2</c:v>
                </c:pt>
                <c:pt idx="544">
                  <c:v>3.8602941176470583E-2</c:v>
                </c:pt>
                <c:pt idx="545">
                  <c:v>3.8532110091743114E-2</c:v>
                </c:pt>
                <c:pt idx="546">
                  <c:v>3.8461538461538464E-2</c:v>
                </c:pt>
                <c:pt idx="547">
                  <c:v>3.8391224862888484E-2</c:v>
                </c:pt>
                <c:pt idx="548">
                  <c:v>3.8321167883211674E-2</c:v>
                </c:pt>
                <c:pt idx="549">
                  <c:v>3.8251366120218573E-2</c:v>
                </c:pt>
                <c:pt idx="550">
                  <c:v>3.8181818181818178E-2</c:v>
                </c:pt>
                <c:pt idx="551">
                  <c:v>3.8112522686025406E-2</c:v>
                </c:pt>
                <c:pt idx="552">
                  <c:v>3.8043478260869568E-2</c:v>
                </c:pt>
                <c:pt idx="553">
                  <c:v>3.7974683544303792E-2</c:v>
                </c:pt>
                <c:pt idx="554">
                  <c:v>3.7906137184115521E-2</c:v>
                </c:pt>
                <c:pt idx="555">
                  <c:v>3.783783783783784E-2</c:v>
                </c:pt>
                <c:pt idx="556">
                  <c:v>3.7769784172661872E-2</c:v>
                </c:pt>
                <c:pt idx="557">
                  <c:v>3.7701974865350089E-2</c:v>
                </c:pt>
                <c:pt idx="558">
                  <c:v>3.7634408602150539E-2</c:v>
                </c:pt>
                <c:pt idx="559">
                  <c:v>3.7567084078711982E-2</c:v>
                </c:pt>
                <c:pt idx="560">
                  <c:v>3.7499999999999999E-2</c:v>
                </c:pt>
                <c:pt idx="561">
                  <c:v>3.7433155080213901E-2</c:v>
                </c:pt>
                <c:pt idx="562">
                  <c:v>3.7366548042704624E-2</c:v>
                </c:pt>
                <c:pt idx="563">
                  <c:v>3.7300177619893425E-2</c:v>
                </c:pt>
                <c:pt idx="564">
                  <c:v>3.7234042553191488E-2</c:v>
                </c:pt>
                <c:pt idx="565">
                  <c:v>3.7168141592920353E-2</c:v>
                </c:pt>
                <c:pt idx="566">
                  <c:v>3.7102473498233215E-2</c:v>
                </c:pt>
                <c:pt idx="567">
                  <c:v>3.7037037037037035E-2</c:v>
                </c:pt>
                <c:pt idx="568">
                  <c:v>3.6971830985915492E-2</c:v>
                </c:pt>
                <c:pt idx="569">
                  <c:v>3.6906854130052721E-2</c:v>
                </c:pt>
                <c:pt idx="570">
                  <c:v>3.6842105263157891E-2</c:v>
                </c:pt>
                <c:pt idx="571">
                  <c:v>3.6777583187390543E-2</c:v>
                </c:pt>
                <c:pt idx="572">
                  <c:v>3.6713286713286712E-2</c:v>
                </c:pt>
                <c:pt idx="573">
                  <c:v>3.6649214659685861E-2</c:v>
                </c:pt>
                <c:pt idx="574">
                  <c:v>3.6585365853658534E-2</c:v>
                </c:pt>
                <c:pt idx="575">
                  <c:v>3.6521739130434779E-2</c:v>
                </c:pt>
                <c:pt idx="576">
                  <c:v>3.6458333333333336E-2</c:v>
                </c:pt>
                <c:pt idx="577">
                  <c:v>3.6395147313691506E-2</c:v>
                </c:pt>
                <c:pt idx="578">
                  <c:v>3.6332179930795842E-2</c:v>
                </c:pt>
                <c:pt idx="579">
                  <c:v>3.6269430051813469E-2</c:v>
                </c:pt>
                <c:pt idx="580">
                  <c:v>3.6206896551724141E-2</c:v>
                </c:pt>
                <c:pt idx="581">
                  <c:v>3.614457831325301E-2</c:v>
                </c:pt>
                <c:pt idx="582">
                  <c:v>3.608247422680412E-2</c:v>
                </c:pt>
                <c:pt idx="583">
                  <c:v>3.6020583190394508E-2</c:v>
                </c:pt>
                <c:pt idx="584">
                  <c:v>3.5958904109589039E-2</c:v>
                </c:pt>
                <c:pt idx="585">
                  <c:v>3.5897435897435902E-2</c:v>
                </c:pt>
                <c:pt idx="586">
                  <c:v>3.5836177474402729E-2</c:v>
                </c:pt>
                <c:pt idx="587">
                  <c:v>3.5775127768313458E-2</c:v>
                </c:pt>
                <c:pt idx="588">
                  <c:v>3.5714285714285712E-2</c:v>
                </c:pt>
                <c:pt idx="589">
                  <c:v>3.5653650254668934E-2</c:v>
                </c:pt>
                <c:pt idx="590">
                  <c:v>3.5593220338983045E-2</c:v>
                </c:pt>
                <c:pt idx="591">
                  <c:v>3.5532994923857864E-2</c:v>
                </c:pt>
                <c:pt idx="592">
                  <c:v>3.5472972972972971E-2</c:v>
                </c:pt>
                <c:pt idx="593">
                  <c:v>3.5413153456998317E-2</c:v>
                </c:pt>
                <c:pt idx="594">
                  <c:v>3.5353535353535352E-2</c:v>
                </c:pt>
                <c:pt idx="595">
                  <c:v>3.5294117647058823E-2</c:v>
                </c:pt>
                <c:pt idx="596">
                  <c:v>3.5234899328859058E-2</c:v>
                </c:pt>
                <c:pt idx="597">
                  <c:v>3.5175879396984924E-2</c:v>
                </c:pt>
                <c:pt idx="598">
                  <c:v>3.5117056856187288E-2</c:v>
                </c:pt>
                <c:pt idx="599">
                  <c:v>3.5058430717863104E-2</c:v>
                </c:pt>
                <c:pt idx="600">
                  <c:v>3.4999999999999996E-2</c:v>
                </c:pt>
                <c:pt idx="601">
                  <c:v>3.4941763727121461E-2</c:v>
                </c:pt>
                <c:pt idx="602">
                  <c:v>3.4883720930232558E-2</c:v>
                </c:pt>
                <c:pt idx="603">
                  <c:v>3.4825870646766163E-2</c:v>
                </c:pt>
                <c:pt idx="604">
                  <c:v>3.4768211920529798E-2</c:v>
                </c:pt>
                <c:pt idx="605">
                  <c:v>3.4710743801652892E-2</c:v>
                </c:pt>
                <c:pt idx="606">
                  <c:v>3.4653465346534656E-2</c:v>
                </c:pt>
                <c:pt idx="607">
                  <c:v>3.459637561779242E-2</c:v>
                </c:pt>
                <c:pt idx="608">
                  <c:v>3.4539473684210523E-2</c:v>
                </c:pt>
                <c:pt idx="609">
                  <c:v>3.4482758620689655E-2</c:v>
                </c:pt>
                <c:pt idx="610">
                  <c:v>3.4426229508196723E-2</c:v>
                </c:pt>
                <c:pt idx="611">
                  <c:v>3.4369885433715219E-2</c:v>
                </c:pt>
                <c:pt idx="612">
                  <c:v>3.4313725490196074E-2</c:v>
                </c:pt>
                <c:pt idx="613">
                  <c:v>3.4257748776508973E-2</c:v>
                </c:pt>
                <c:pt idx="614">
                  <c:v>3.4201954397394138E-2</c:v>
                </c:pt>
                <c:pt idx="615">
                  <c:v>3.414634146341463E-2</c:v>
                </c:pt>
                <c:pt idx="616">
                  <c:v>3.4090909090909088E-2</c:v>
                </c:pt>
                <c:pt idx="617">
                  <c:v>3.4035656401944892E-2</c:v>
                </c:pt>
                <c:pt idx="618">
                  <c:v>3.3980582524271843E-2</c:v>
                </c:pt>
                <c:pt idx="619">
                  <c:v>3.3925686591276247E-2</c:v>
                </c:pt>
                <c:pt idx="620">
                  <c:v>3.387096774193548E-2</c:v>
                </c:pt>
                <c:pt idx="621">
                  <c:v>3.3816425120772944E-2</c:v>
                </c:pt>
                <c:pt idx="622">
                  <c:v>3.3762057877813507E-2</c:v>
                </c:pt>
                <c:pt idx="623">
                  <c:v>3.3707865168539325E-2</c:v>
                </c:pt>
                <c:pt idx="624">
                  <c:v>3.3653846153846152E-2</c:v>
                </c:pt>
                <c:pt idx="625">
                  <c:v>3.3599999999999998E-2</c:v>
                </c:pt>
                <c:pt idx="626">
                  <c:v>3.3546325878594248E-2</c:v>
                </c:pt>
                <c:pt idx="627">
                  <c:v>3.3492822966507178E-2</c:v>
                </c:pt>
                <c:pt idx="628">
                  <c:v>3.3439490445859872E-2</c:v>
                </c:pt>
                <c:pt idx="629">
                  <c:v>3.3386327503974564E-2</c:v>
                </c:pt>
                <c:pt idx="630">
                  <c:v>3.3333333333333333E-2</c:v>
                </c:pt>
                <c:pt idx="631">
                  <c:v>3.328050713153724E-2</c:v>
                </c:pt>
                <c:pt idx="632">
                  <c:v>3.3227848101265819E-2</c:v>
                </c:pt>
                <c:pt idx="633">
                  <c:v>3.3175355450236962E-2</c:v>
                </c:pt>
                <c:pt idx="634">
                  <c:v>3.3123028391167195E-2</c:v>
                </c:pt>
                <c:pt idx="635">
                  <c:v>3.3070866141732283E-2</c:v>
                </c:pt>
                <c:pt idx="636">
                  <c:v>3.3018867924528301E-2</c:v>
                </c:pt>
                <c:pt idx="637">
                  <c:v>3.2967032967032968E-2</c:v>
                </c:pt>
                <c:pt idx="638">
                  <c:v>3.2915360501567396E-2</c:v>
                </c:pt>
                <c:pt idx="639">
                  <c:v>3.2863849765258218E-2</c:v>
                </c:pt>
                <c:pt idx="640">
                  <c:v>3.2812499999999994E-2</c:v>
                </c:pt>
                <c:pt idx="641">
                  <c:v>3.2761310452418098E-2</c:v>
                </c:pt>
                <c:pt idx="642">
                  <c:v>3.2710280373831772E-2</c:v>
                </c:pt>
                <c:pt idx="643">
                  <c:v>3.2659409020217731E-2</c:v>
                </c:pt>
                <c:pt idx="644">
                  <c:v>3.2608695652173912E-2</c:v>
                </c:pt>
                <c:pt idx="645">
                  <c:v>3.255813953488372E-2</c:v>
                </c:pt>
                <c:pt idx="646">
                  <c:v>3.2507739938080496E-2</c:v>
                </c:pt>
                <c:pt idx="647">
                  <c:v>3.2457496136012363E-2</c:v>
                </c:pt>
                <c:pt idx="648">
                  <c:v>3.2407407407407406E-2</c:v>
                </c:pt>
                <c:pt idx="649">
                  <c:v>3.2357473035439135E-2</c:v>
                </c:pt>
                <c:pt idx="650">
                  <c:v>3.2307692307692308E-2</c:v>
                </c:pt>
                <c:pt idx="651">
                  <c:v>3.2258064516129031E-2</c:v>
                </c:pt>
                <c:pt idx="652">
                  <c:v>3.2208588957055216E-2</c:v>
                </c:pt>
                <c:pt idx="653">
                  <c:v>3.2159264931087284E-2</c:v>
                </c:pt>
                <c:pt idx="654">
                  <c:v>3.2110091743119268E-2</c:v>
                </c:pt>
                <c:pt idx="655">
                  <c:v>3.2061068702290078E-2</c:v>
                </c:pt>
                <c:pt idx="656">
                  <c:v>3.201219512195122E-2</c:v>
                </c:pt>
                <c:pt idx="657">
                  <c:v>3.1963470319634701E-2</c:v>
                </c:pt>
                <c:pt idx="658">
                  <c:v>3.1914893617021274E-2</c:v>
                </c:pt>
                <c:pt idx="659">
                  <c:v>3.1866464339908952E-2</c:v>
                </c:pt>
                <c:pt idx="660">
                  <c:v>3.1818181818181822E-2</c:v>
                </c:pt>
                <c:pt idx="661">
                  <c:v>3.1770045385779121E-2</c:v>
                </c:pt>
                <c:pt idx="662">
                  <c:v>3.1722054380664652E-2</c:v>
                </c:pt>
                <c:pt idx="663">
                  <c:v>3.1674208144796379E-2</c:v>
                </c:pt>
                <c:pt idx="664">
                  <c:v>3.1626506024096383E-2</c:v>
                </c:pt>
                <c:pt idx="665">
                  <c:v>3.1578947368421047E-2</c:v>
                </c:pt>
                <c:pt idx="666">
                  <c:v>3.1531531531531529E-2</c:v>
                </c:pt>
                <c:pt idx="667">
                  <c:v>3.1484257871064465E-2</c:v>
                </c:pt>
                <c:pt idx="668">
                  <c:v>3.1437125748502992E-2</c:v>
                </c:pt>
                <c:pt idx="669">
                  <c:v>3.1390134529147982E-2</c:v>
                </c:pt>
                <c:pt idx="670">
                  <c:v>3.134328358208955E-2</c:v>
                </c:pt>
                <c:pt idx="671">
                  <c:v>3.1296572280178833E-2</c:v>
                </c:pt>
                <c:pt idx="672">
                  <c:v>3.125E-2</c:v>
                </c:pt>
                <c:pt idx="673">
                  <c:v>3.1203566121842493E-2</c:v>
                </c:pt>
                <c:pt idx="674">
                  <c:v>3.1157270029673587E-2</c:v>
                </c:pt>
                <c:pt idx="675">
                  <c:v>3.111111111111111E-2</c:v>
                </c:pt>
                <c:pt idx="676">
                  <c:v>3.1065088757396449E-2</c:v>
                </c:pt>
                <c:pt idx="677">
                  <c:v>3.10192023633678E-2</c:v>
                </c:pt>
                <c:pt idx="678">
                  <c:v>3.0973451327433624E-2</c:v>
                </c:pt>
                <c:pt idx="679">
                  <c:v>3.0927835051546389E-2</c:v>
                </c:pt>
                <c:pt idx="680">
                  <c:v>3.0882352941176472E-2</c:v>
                </c:pt>
                <c:pt idx="681">
                  <c:v>3.0837004405286344E-2</c:v>
                </c:pt>
                <c:pt idx="682">
                  <c:v>3.0791788856304982E-2</c:v>
                </c:pt>
                <c:pt idx="683">
                  <c:v>3.0746705710102486E-2</c:v>
                </c:pt>
                <c:pt idx="684">
                  <c:v>3.0701754385964911E-2</c:v>
                </c:pt>
                <c:pt idx="685">
                  <c:v>3.0656934306569343E-2</c:v>
                </c:pt>
                <c:pt idx="686">
                  <c:v>3.0612244897959179E-2</c:v>
                </c:pt>
                <c:pt idx="687">
                  <c:v>3.0567685589519649E-2</c:v>
                </c:pt>
                <c:pt idx="688">
                  <c:v>3.0523255813953487E-2</c:v>
                </c:pt>
                <c:pt idx="689">
                  <c:v>3.0478955007256895E-2</c:v>
                </c:pt>
                <c:pt idx="690">
                  <c:v>3.043478260869565E-2</c:v>
                </c:pt>
                <c:pt idx="691">
                  <c:v>3.0390738060781474E-2</c:v>
                </c:pt>
                <c:pt idx="692">
                  <c:v>3.0346820809248554E-2</c:v>
                </c:pt>
                <c:pt idx="693">
                  <c:v>3.0303030303030304E-2</c:v>
                </c:pt>
                <c:pt idx="694">
                  <c:v>3.0259365994236308E-2</c:v>
                </c:pt>
                <c:pt idx="695">
                  <c:v>3.0215827338129494E-2</c:v>
                </c:pt>
                <c:pt idx="696">
                  <c:v>3.0172413793103446E-2</c:v>
                </c:pt>
                <c:pt idx="697">
                  <c:v>3.0129124820659971E-2</c:v>
                </c:pt>
                <c:pt idx="698">
                  <c:v>3.0085959885386815E-2</c:v>
                </c:pt>
                <c:pt idx="699">
                  <c:v>3.0042918454935619E-2</c:v>
                </c:pt>
                <c:pt idx="700">
                  <c:v>0.03</c:v>
                </c:pt>
                <c:pt idx="701">
                  <c:v>2.9914469038524547E-2</c:v>
                </c:pt>
                <c:pt idx="702">
                  <c:v>2.9829303333576841E-2</c:v>
                </c:pt>
                <c:pt idx="703">
                  <c:v>2.974450080836245E-2</c:v>
                </c:pt>
                <c:pt idx="704">
                  <c:v>2.9660059400826447E-2</c:v>
                </c:pt>
                <c:pt idx="705">
                  <c:v>2.9575977063527992E-2</c:v>
                </c:pt>
                <c:pt idx="706">
                  <c:v>2.9492251763516282E-2</c:v>
                </c:pt>
                <c:pt idx="707">
                  <c:v>2.9408881482207626E-2</c:v>
                </c:pt>
                <c:pt idx="708">
                  <c:v>2.932586421526381E-2</c:v>
                </c:pt>
                <c:pt idx="709">
                  <c:v>2.9243197972471609E-2</c:v>
                </c:pt>
                <c:pt idx="710">
                  <c:v>2.916088077762349E-2</c:v>
                </c:pt>
                <c:pt idx="711">
                  <c:v>2.907891066839953E-2</c:v>
                </c:pt>
                <c:pt idx="712">
                  <c:v>2.8997285696250472E-2</c:v>
                </c:pt>
                <c:pt idx="713">
                  <c:v>2.8916003926281894E-2</c:v>
                </c:pt>
                <c:pt idx="714">
                  <c:v>2.8835063437139562E-2</c:v>
                </c:pt>
                <c:pt idx="715">
                  <c:v>2.8754462320895884E-2</c:v>
                </c:pt>
                <c:pt idx="716">
                  <c:v>2.8674198682937486E-2</c:v>
                </c:pt>
                <c:pt idx="717">
                  <c:v>2.8594270641853846E-2</c:v>
                </c:pt>
                <c:pt idx="718">
                  <c:v>2.8514676329327054E-2</c:v>
                </c:pt>
                <c:pt idx="719">
                  <c:v>2.8435413890022646E-2</c:v>
                </c:pt>
                <c:pt idx="720">
                  <c:v>2.8356481481481479E-2</c:v>
                </c:pt>
                <c:pt idx="721">
                  <c:v>2.8277877274012632E-2</c:v>
                </c:pt>
                <c:pt idx="722">
                  <c:v>2.8199599450587396E-2</c:v>
                </c:pt>
                <c:pt idx="723">
                  <c:v>2.8121646206734269E-2</c:v>
                </c:pt>
                <c:pt idx="724">
                  <c:v>2.8044015750434966E-2</c:v>
                </c:pt>
                <c:pt idx="725">
                  <c:v>2.7966706302021402E-2</c:v>
                </c:pt>
                <c:pt idx="726">
                  <c:v>2.7889716094073719E-2</c:v>
                </c:pt>
                <c:pt idx="727">
                  <c:v>2.781304337131927E-2</c:v>
                </c:pt>
                <c:pt idx="728">
                  <c:v>2.773668639053254E-2</c:v>
                </c:pt>
                <c:pt idx="729">
                  <c:v>2.7660643420436132E-2</c:v>
                </c:pt>
                <c:pt idx="730">
                  <c:v>2.7584912741602553E-2</c:v>
                </c:pt>
                <c:pt idx="731">
                  <c:v>2.7509492646357051E-2</c:v>
                </c:pt>
                <c:pt idx="732">
                  <c:v>2.7434381438681352E-2</c:v>
                </c:pt>
                <c:pt idx="733">
                  <c:v>2.7359577434118321E-2</c:v>
                </c:pt>
                <c:pt idx="734">
                  <c:v>2.7285078959677481E-2</c:v>
                </c:pt>
                <c:pt idx="735">
                  <c:v>2.7210884353741499E-2</c:v>
                </c:pt>
                <c:pt idx="736">
                  <c:v>2.7136991965973533E-2</c:v>
                </c:pt>
                <c:pt idx="737">
                  <c:v>2.7063400157225467E-2</c:v>
                </c:pt>
                <c:pt idx="738">
                  <c:v>2.699010729944698E-2</c:v>
                </c:pt>
                <c:pt idx="739">
                  <c:v>2.6917111775595519E-2</c:v>
                </c:pt>
                <c:pt idx="740">
                  <c:v>2.6844411979547112E-2</c:v>
                </c:pt>
                <c:pt idx="741">
                  <c:v>2.6772006316008019E-2</c:v>
                </c:pt>
                <c:pt idx="742">
                  <c:v>2.6699893200427198E-2</c:v>
                </c:pt>
                <c:pt idx="743">
                  <c:v>2.6628071058909627E-2</c:v>
                </c:pt>
                <c:pt idx="744">
                  <c:v>2.6556538328130416E-2</c:v>
                </c:pt>
                <c:pt idx="745">
                  <c:v>2.6485293455249762E-2</c:v>
                </c:pt>
                <c:pt idx="746">
                  <c:v>2.6414334897828632E-2</c:v>
                </c:pt>
                <c:pt idx="747">
                  <c:v>2.6343661123745317E-2</c:v>
                </c:pt>
                <c:pt idx="748">
                  <c:v>2.6273270611112697E-2</c:v>
                </c:pt>
                <c:pt idx="749">
                  <c:v>2.6203161848196346E-2</c:v>
                </c:pt>
                <c:pt idx="750">
                  <c:v>2.6133333333333331E-2</c:v>
                </c:pt>
                <c:pt idx="751">
                  <c:v>2.6063783574851819E-2</c:v>
                </c:pt>
                <c:pt idx="752">
                  <c:v>2.59945110909914E-2</c:v>
                </c:pt>
                <c:pt idx="753">
                  <c:v>2.5925514409824182E-2</c:v>
                </c:pt>
                <c:pt idx="754">
                  <c:v>2.5856792069176595E-2</c:v>
                </c:pt>
                <c:pt idx="755">
                  <c:v>2.5788342616551906E-2</c:v>
                </c:pt>
                <c:pt idx="756">
                  <c:v>2.5720164609053499E-2</c:v>
                </c:pt>
                <c:pt idx="757">
                  <c:v>2.5652256613308808E-2</c:v>
                </c:pt>
                <c:pt idx="758">
                  <c:v>2.5584617205394001E-2</c:v>
                </c:pt>
                <c:pt idx="759">
                  <c:v>2.5517244970759318E-2</c:v>
                </c:pt>
                <c:pt idx="760">
                  <c:v>2.5450138504155125E-2</c:v>
                </c:pt>
                <c:pt idx="761">
                  <c:v>2.5383296409558623E-2</c:v>
                </c:pt>
                <c:pt idx="762">
                  <c:v>2.5316717300101266E-2</c:v>
                </c:pt>
                <c:pt idx="763">
                  <c:v>2.5250399797996804E-2</c:v>
                </c:pt>
                <c:pt idx="764">
                  <c:v>2.5184342534469998E-2</c:v>
                </c:pt>
                <c:pt idx="765">
                  <c:v>2.5118544149686013E-2</c:v>
                </c:pt>
                <c:pt idx="766">
                  <c:v>2.5053003292680433E-2</c:v>
                </c:pt>
                <c:pt idx="767">
                  <c:v>2.4987718621289876E-2</c:v>
                </c:pt>
                <c:pt idx="768">
                  <c:v>2.4922688802083332E-2</c:v>
                </c:pt>
                <c:pt idx="769">
                  <c:v>2.4857912510294046E-2</c:v>
                </c:pt>
                <c:pt idx="770">
                  <c:v>2.4793388429752063E-2</c:v>
                </c:pt>
                <c:pt idx="771">
                  <c:v>2.4729115252817353E-2</c:v>
                </c:pt>
                <c:pt idx="772">
                  <c:v>2.4665091680313566E-2</c:v>
                </c:pt>
                <c:pt idx="773">
                  <c:v>2.4601316421462387E-2</c:v>
                </c:pt>
                <c:pt idx="774">
                  <c:v>2.453778819381848E-2</c:v>
                </c:pt>
                <c:pt idx="775">
                  <c:v>2.4474505723204993E-2</c:v>
                </c:pt>
                <c:pt idx="776">
                  <c:v>2.4411467743649697E-2</c:v>
                </c:pt>
                <c:pt idx="777">
                  <c:v>2.4348672997321647E-2</c:v>
                </c:pt>
                <c:pt idx="778">
                  <c:v>2.4286120234468446E-2</c:v>
                </c:pt>
                <c:pt idx="779">
                  <c:v>2.4223808213354073E-2</c:v>
                </c:pt>
                <c:pt idx="780">
                  <c:v>2.4161735700197241E-2</c:v>
                </c:pt>
                <c:pt idx="781">
                  <c:v>2.4099901469110323E-2</c:v>
                </c:pt>
                <c:pt idx="782">
                  <c:v>2.4038304302038838E-2</c:v>
                </c:pt>
                <c:pt idx="783">
                  <c:v>2.3976942988701476E-2</c:v>
                </c:pt>
                <c:pt idx="784">
                  <c:v>2.3915816326530615E-2</c:v>
                </c:pt>
                <c:pt idx="785">
                  <c:v>2.3854923120613415E-2</c:v>
                </c:pt>
                <c:pt idx="786">
                  <c:v>2.3794262183633431E-2</c:v>
                </c:pt>
                <c:pt idx="787">
                  <c:v>2.3733832335812739E-2</c:v>
                </c:pt>
                <c:pt idx="788">
                  <c:v>2.3673632404854542E-2</c:v>
                </c:pt>
                <c:pt idx="789">
                  <c:v>2.3613661225886359E-2</c:v>
                </c:pt>
                <c:pt idx="790">
                  <c:v>2.3553917641403618E-2</c:v>
                </c:pt>
                <c:pt idx="791">
                  <c:v>2.3494400501213878E-2</c:v>
                </c:pt>
                <c:pt idx="792">
                  <c:v>2.3435108662381389E-2</c:v>
                </c:pt>
                <c:pt idx="793">
                  <c:v>2.3376040989172283E-2</c:v>
                </c:pt>
                <c:pt idx="794">
                  <c:v>2.3317196353000145E-2</c:v>
                </c:pt>
                <c:pt idx="795">
                  <c:v>2.3258573632372135E-2</c:v>
                </c:pt>
                <c:pt idx="796">
                  <c:v>2.3200171712835532E-2</c:v>
                </c:pt>
                <c:pt idx="797">
                  <c:v>2.3141989486924777E-2</c:v>
                </c:pt>
                <c:pt idx="798">
                  <c:v>2.3084025854108955E-2</c:v>
                </c:pt>
                <c:pt idx="799">
                  <c:v>2.3026279720739784E-2</c:v>
                </c:pt>
                <c:pt idx="800">
                  <c:v>2.296875E-2</c:v>
                </c:pt>
                <c:pt idx="801">
                  <c:v>2.2911435611852226E-2</c:v>
                </c:pt>
                <c:pt idx="802">
                  <c:v>2.2854335482988292E-2</c:v>
                </c:pt>
                <c:pt idx="803">
                  <c:v>2.2797448546778971E-2</c:v>
                </c:pt>
                <c:pt idx="804">
                  <c:v>2.2740773743224182E-2</c:v>
                </c:pt>
                <c:pt idx="805">
                  <c:v>2.268431001890359E-2</c:v>
                </c:pt>
                <c:pt idx="806">
                  <c:v>2.262805632692769E-2</c:v>
                </c:pt>
                <c:pt idx="807">
                  <c:v>2.2572011626889252E-2</c:v>
                </c:pt>
                <c:pt idx="808">
                  <c:v>2.2516174884815214E-2</c:v>
                </c:pt>
                <c:pt idx="809">
                  <c:v>2.2460545073119006E-2</c:v>
                </c:pt>
                <c:pt idx="810">
                  <c:v>2.2405121170553269E-2</c:v>
                </c:pt>
                <c:pt idx="811">
                  <c:v>2.2349902162162986E-2</c:v>
                </c:pt>
                <c:pt idx="812">
                  <c:v>2.2294887039239007E-2</c:v>
                </c:pt>
                <c:pt idx="813">
                  <c:v>2.224007479927197E-2</c:v>
                </c:pt>
                <c:pt idx="814">
                  <c:v>2.2185464445906702E-2</c:v>
                </c:pt>
                <c:pt idx="815">
                  <c:v>2.2131054988896833E-2</c:v>
                </c:pt>
                <c:pt idx="816">
                  <c:v>2.2076845444059977E-2</c:v>
                </c:pt>
                <c:pt idx="817">
                  <c:v>2.202283483323321E-2</c:v>
                </c:pt>
                <c:pt idx="818">
                  <c:v>2.1969022184228935E-2</c:v>
                </c:pt>
                <c:pt idx="819">
                  <c:v>2.1915406530791146E-2</c:v>
                </c:pt>
                <c:pt idx="820">
                  <c:v>2.1861986912552055E-2</c:v>
                </c:pt>
                <c:pt idx="821">
                  <c:v>2.1808762374989053E-2</c:v>
                </c:pt>
                <c:pt idx="822">
                  <c:v>2.1755731969382134E-2</c:v>
                </c:pt>
                <c:pt idx="823">
                  <c:v>2.1702894752771547E-2</c:v>
                </c:pt>
                <c:pt idx="824">
                  <c:v>2.165024978791592E-2</c:v>
                </c:pt>
                <c:pt idx="825">
                  <c:v>2.1597796143250688E-2</c:v>
                </c:pt>
                <c:pt idx="826">
                  <c:v>2.1545532892846886E-2</c:v>
                </c:pt>
                <c:pt idx="827">
                  <c:v>2.1493459116370267E-2</c:v>
                </c:pt>
                <c:pt idx="828">
                  <c:v>2.1441573899040819E-2</c:v>
                </c:pt>
                <c:pt idx="829">
                  <c:v>2.1389876331592558E-2</c:v>
                </c:pt>
                <c:pt idx="830">
                  <c:v>2.1338365510233701E-2</c:v>
                </c:pt>
                <c:pt idx="831">
                  <c:v>2.1287040536607189E-2</c:v>
                </c:pt>
                <c:pt idx="832">
                  <c:v>2.1235900517751476E-2</c:v>
                </c:pt>
                <c:pt idx="833">
                  <c:v>2.1184944566061716E-2</c:v>
                </c:pt>
                <c:pt idx="834">
                  <c:v>2.1134171799251245E-2</c:v>
                </c:pt>
                <c:pt idx="835">
                  <c:v>2.1083581340313386E-2</c:v>
                </c:pt>
                <c:pt idx="836">
                  <c:v>2.1033172317483577E-2</c:v>
                </c:pt>
                <c:pt idx="837">
                  <c:v>2.0982943864201818E-2</c:v>
                </c:pt>
                <c:pt idx="838">
                  <c:v>2.0932895119075416E-2</c:v>
                </c:pt>
                <c:pt idx="839">
                  <c:v>2.0883025225842101E-2</c:v>
                </c:pt>
                <c:pt idx="840">
                  <c:v>2.0833333333333332E-2</c:v>
                </c:pt>
                <c:pt idx="841">
                  <c:v>2.0783818595438024E-2</c:v>
                </c:pt>
                <c:pt idx="842">
                  <c:v>2.0734480171066515E-2</c:v>
                </c:pt>
                <c:pt idx="843">
                  <c:v>2.068531722411486E-2</c:v>
                </c:pt>
                <c:pt idx="844">
                  <c:v>2.0636328923429394E-2</c:v>
                </c:pt>
                <c:pt idx="845">
                  <c:v>2.0587514442771616E-2</c:v>
                </c:pt>
                <c:pt idx="846">
                  <c:v>2.0538872960783321E-2</c:v>
                </c:pt>
                <c:pt idx="847">
                  <c:v>2.0490403660952117E-2</c:v>
                </c:pt>
                <c:pt idx="848">
                  <c:v>2.0442105731577072E-2</c:v>
                </c:pt>
                <c:pt idx="849">
                  <c:v>2.0393978365734786E-2</c:v>
                </c:pt>
                <c:pt idx="850">
                  <c:v>2.0346020761245674E-2</c:v>
                </c:pt>
                <c:pt idx="851">
                  <c:v>2.0298232120640542E-2</c:v>
                </c:pt>
                <c:pt idx="852">
                  <c:v>2.0250611651127425E-2</c:v>
                </c:pt>
                <c:pt idx="853">
                  <c:v>2.0203158564558715E-2</c:v>
                </c:pt>
                <c:pt idx="854">
                  <c:v>2.0155872077398551E-2</c:v>
                </c:pt>
                <c:pt idx="855">
                  <c:v>2.0108751410690465E-2</c:v>
                </c:pt>
                <c:pt idx="856">
                  <c:v>2.006179579002533E-2</c:v>
                </c:pt>
                <c:pt idx="857">
                  <c:v>2.001500444550949E-2</c:v>
                </c:pt>
                <c:pt idx="858">
                  <c:v>1.9968376611733254E-2</c:v>
                </c:pt>
                <c:pt idx="859">
                  <c:v>1.9921911527739568E-2</c:v>
                </c:pt>
                <c:pt idx="860">
                  <c:v>1.9875608436992969E-2</c:v>
                </c:pt>
                <c:pt idx="861">
                  <c:v>1.9829466587348802E-2</c:v>
                </c:pt>
                <c:pt idx="862">
                  <c:v>1.9783485231022663E-2</c:v>
                </c:pt>
                <c:pt idx="863">
                  <c:v>1.9737663624560094E-2</c:v>
                </c:pt>
                <c:pt idx="864">
                  <c:v>1.9692001028806583E-2</c:v>
                </c:pt>
                <c:pt idx="865">
                  <c:v>1.9646496708877675E-2</c:v>
                </c:pt>
                <c:pt idx="866">
                  <c:v>1.960114993412947E-2</c:v>
                </c:pt>
                <c:pt idx="867">
                  <c:v>1.9555959978129256E-2</c:v>
                </c:pt>
                <c:pt idx="868">
                  <c:v>1.9510926118626429E-2</c:v>
                </c:pt>
                <c:pt idx="869">
                  <c:v>1.9466047637523656E-2</c:v>
                </c:pt>
                <c:pt idx="870">
                  <c:v>1.9421323820848199E-2</c:v>
                </c:pt>
                <c:pt idx="871">
                  <c:v>1.9376753958723552E-2</c:v>
                </c:pt>
                <c:pt idx="872">
                  <c:v>1.9332337345341299E-2</c:v>
                </c:pt>
                <c:pt idx="873">
                  <c:v>1.9288073278933091E-2</c:v>
                </c:pt>
                <c:pt idx="874">
                  <c:v>1.9243961061743003E-2</c:v>
                </c:pt>
                <c:pt idx="875">
                  <c:v>1.9199999999999998E-2</c:v>
                </c:pt>
                <c:pt idx="876">
                  <c:v>1.9156189403890661E-2</c:v>
                </c:pt>
                <c:pt idx="877">
                  <c:v>1.9112528587532131E-2</c:v>
                </c:pt>
                <c:pt idx="878">
                  <c:v>1.9069016868945264E-2</c:v>
                </c:pt>
                <c:pt idx="879">
                  <c:v>1.9025653570027997E-2</c:v>
                </c:pt>
                <c:pt idx="880">
                  <c:v>1.8982438016528921E-2</c:v>
                </c:pt>
                <c:pt idx="881">
                  <c:v>1.8939369538021104E-2</c:v>
                </c:pt>
                <c:pt idx="882">
                  <c:v>1.889644746787604E-2</c:v>
                </c:pt>
                <c:pt idx="883">
                  <c:v>1.8853671143237879E-2</c:v>
                </c:pt>
                <c:pt idx="884">
                  <c:v>1.8811039904997849E-2</c:v>
                </c:pt>
                <c:pt idx="885">
                  <c:v>1.8768553097768842E-2</c:v>
                </c:pt>
                <c:pt idx="886">
                  <c:v>1.8726210069860232E-2</c:v>
                </c:pt>
                <c:pt idx="887">
                  <c:v>1.8684010173252889E-2</c:v>
                </c:pt>
                <c:pt idx="888">
                  <c:v>1.8641952763574381E-2</c:v>
                </c:pt>
                <c:pt idx="889">
                  <c:v>1.8600037200074398E-2</c:v>
                </c:pt>
                <c:pt idx="890">
                  <c:v>1.8558262845600301E-2</c:v>
                </c:pt>
                <c:pt idx="891">
                  <c:v>1.8516629066572948E-2</c:v>
                </c:pt>
                <c:pt idx="892">
                  <c:v>1.8475135232962656E-2</c:v>
                </c:pt>
                <c:pt idx="893">
                  <c:v>1.8433780718265368E-2</c:v>
                </c:pt>
                <c:pt idx="894">
                  <c:v>1.8392564899479005E-2</c:v>
                </c:pt>
                <c:pt idx="895">
                  <c:v>1.8351487157079991E-2</c:v>
                </c:pt>
                <c:pt idx="896">
                  <c:v>1.8310546874999997E-2</c:v>
                </c:pt>
                <c:pt idx="897">
                  <c:v>1.8269743440602823E-2</c:v>
                </c:pt>
                <c:pt idx="898">
                  <c:v>1.8229076244661482E-2</c:v>
                </c:pt>
                <c:pt idx="899">
                  <c:v>1.8188544681335458E-2</c:v>
                </c:pt>
                <c:pt idx="900">
                  <c:v>1.8148148148148149E-2</c:v>
                </c:pt>
                <c:pt idx="901">
                  <c:v>1.8107886045964468E-2</c:v>
                </c:pt>
                <c:pt idx="902">
                  <c:v>1.806775777896864E-2</c:v>
                </c:pt>
                <c:pt idx="903">
                  <c:v>1.802776275464215E-2</c:v>
                </c:pt>
                <c:pt idx="904">
                  <c:v>1.798790038374188E-2</c:v>
                </c:pt>
                <c:pt idx="905">
                  <c:v>1.7948170080278377E-2</c:v>
                </c:pt>
                <c:pt idx="906">
                  <c:v>1.7908571261494376E-2</c:v>
                </c:pt>
                <c:pt idx="907">
                  <c:v>1.7869103347843366E-2</c:v>
                </c:pt>
                <c:pt idx="908">
                  <c:v>1.7829765762968425E-2</c:v>
                </c:pt>
                <c:pt idx="909">
                  <c:v>1.7790557933681155E-2</c:v>
                </c:pt>
                <c:pt idx="910">
                  <c:v>1.7751479289940832E-2</c:v>
                </c:pt>
                <c:pt idx="911">
                  <c:v>1.7712529264833642E-2</c:v>
                </c:pt>
                <c:pt idx="912">
                  <c:v>1.7673707294552171E-2</c:v>
                </c:pt>
                <c:pt idx="913">
                  <c:v>1.763501281837496E-2</c:v>
                </c:pt>
                <c:pt idx="914">
                  <c:v>1.7596445278646292E-2</c:v>
                </c:pt>
                <c:pt idx="915">
                  <c:v>1.7558004120756067E-2</c:v>
                </c:pt>
                <c:pt idx="916">
                  <c:v>1.7519688793119884E-2</c:v>
                </c:pt>
                <c:pt idx="917">
                  <c:v>1.7481498747159256E-2</c:v>
                </c:pt>
                <c:pt idx="918">
                  <c:v>1.7443433437281958E-2</c:v>
                </c:pt>
                <c:pt idx="919">
                  <c:v>1.7405492320862557E-2</c:v>
                </c:pt>
                <c:pt idx="920">
                  <c:v>1.7367674858223065E-2</c:v>
                </c:pt>
                <c:pt idx="921">
                  <c:v>1.7329980512613745E-2</c:v>
                </c:pt>
                <c:pt idx="922">
                  <c:v>1.7292408750194097E-2</c:v>
                </c:pt>
                <c:pt idx="923">
                  <c:v>1.7254959040013895E-2</c:v>
                </c:pt>
                <c:pt idx="924">
                  <c:v>1.7217630853994491E-2</c:v>
                </c:pt>
                <c:pt idx="925">
                  <c:v>1.7180423666910152E-2</c:v>
                </c:pt>
                <c:pt idx="926">
                  <c:v>1.7143336956369624E-2</c:v>
                </c:pt>
                <c:pt idx="927">
                  <c:v>1.7106370202797767E-2</c:v>
                </c:pt>
                <c:pt idx="928">
                  <c:v>1.7069522889417363E-2</c:v>
                </c:pt>
                <c:pt idx="929">
                  <c:v>1.7032794502231066E-2</c:v>
                </c:pt>
                <c:pt idx="930">
                  <c:v>1.6996184530003466E-2</c:v>
                </c:pt>
                <c:pt idx="931">
                  <c:v>1.6959692464243312E-2</c:v>
                </c:pt>
                <c:pt idx="932">
                  <c:v>1.6923317799185836E-2</c:v>
                </c:pt>
                <c:pt idx="933">
                  <c:v>1.6887060031775241E-2</c:v>
                </c:pt>
                <c:pt idx="934">
                  <c:v>1.6850918661647309E-2</c:v>
                </c:pt>
                <c:pt idx="935">
                  <c:v>1.6814893191112127E-2</c:v>
                </c:pt>
                <c:pt idx="936">
                  <c:v>1.6778983125136974E-2</c:v>
                </c:pt>
                <c:pt idx="937">
                  <c:v>1.6743187971329287E-2</c:v>
                </c:pt>
                <c:pt idx="938">
                  <c:v>1.6707507239919803E-2</c:v>
                </c:pt>
                <c:pt idx="939">
                  <c:v>1.6671940443745807E-2</c:v>
                </c:pt>
                <c:pt idx="940">
                  <c:v>1.6636487098234492E-2</c:v>
                </c:pt>
                <c:pt idx="941">
                  <c:v>1.6601146721386455E-2</c:v>
                </c:pt>
                <c:pt idx="942">
                  <c:v>1.6565918833759314E-2</c:v>
                </c:pt>
                <c:pt idx="943">
                  <c:v>1.6530802958451458E-2</c:v>
                </c:pt>
                <c:pt idx="944">
                  <c:v>1.6495798621085897E-2</c:v>
                </c:pt>
                <c:pt idx="945">
                  <c:v>1.6460905349794244E-2</c:v>
                </c:pt>
                <c:pt idx="946">
                  <c:v>1.6426122675200796E-2</c:v>
                </c:pt>
                <c:pt idx="947">
                  <c:v>1.6391450130406809E-2</c:v>
                </c:pt>
                <c:pt idx="948">
                  <c:v>1.6356887250974735E-2</c:v>
                </c:pt>
                <c:pt idx="949">
                  <c:v>1.632243357491275E-2</c:v>
                </c:pt>
                <c:pt idx="950">
                  <c:v>1.6288088642659279E-2</c:v>
                </c:pt>
                <c:pt idx="951">
                  <c:v>1.6253851997067671E-2</c:v>
                </c:pt>
                <c:pt idx="952">
                  <c:v>1.6219723183391006E-2</c:v>
                </c:pt>
                <c:pt idx="953">
                  <c:v>1.6185701749266965E-2</c:v>
                </c:pt>
                <c:pt idx="954">
                  <c:v>1.6151787244702873E-2</c:v>
                </c:pt>
                <c:pt idx="955">
                  <c:v>1.6117979222060794E-2</c:v>
                </c:pt>
                <c:pt idx="956">
                  <c:v>1.6084277236042784E-2</c:v>
                </c:pt>
                <c:pt idx="957">
                  <c:v>1.6050680843676196E-2</c:v>
                </c:pt>
                <c:pt idx="958">
                  <c:v>1.6017189604299147E-2</c:v>
                </c:pt>
                <c:pt idx="959">
                  <c:v>1.5983803079546062E-2</c:v>
                </c:pt>
                <c:pt idx="960">
                  <c:v>1.5950520833333332E-2</c:v>
                </c:pt>
                <c:pt idx="961">
                  <c:v>1.5917342431845082E-2</c:v>
                </c:pt>
                <c:pt idx="962">
                  <c:v>1.5884267443519007E-2</c:v>
                </c:pt>
                <c:pt idx="963">
                  <c:v>1.5851295439032357E-2</c:v>
                </c:pt>
                <c:pt idx="964">
                  <c:v>1.5818425991288028E-2</c:v>
                </c:pt>
                <c:pt idx="965">
                  <c:v>1.5785658675400681E-2</c:v>
                </c:pt>
                <c:pt idx="966">
                  <c:v>1.5752993068683049E-2</c:v>
                </c:pt>
                <c:pt idx="967">
                  <c:v>1.5720428750632294E-2</c:v>
                </c:pt>
                <c:pt idx="968">
                  <c:v>1.5687965302916468E-2</c:v>
                </c:pt>
                <c:pt idx="969">
                  <c:v>1.5655602309361093E-2</c:v>
                </c:pt>
                <c:pt idx="970">
                  <c:v>1.5623339355935807E-2</c:v>
                </c:pt>
                <c:pt idx="971">
                  <c:v>1.5591176030741128E-2</c:v>
                </c:pt>
                <c:pt idx="972">
                  <c:v>1.5559111923995325E-2</c:v>
                </c:pt>
                <c:pt idx="973">
                  <c:v>1.5527146628021321E-2</c:v>
                </c:pt>
                <c:pt idx="974">
                  <c:v>1.5495279737233785E-2</c:v>
                </c:pt>
                <c:pt idx="975">
                  <c:v>1.5463510848126232E-2</c:v>
                </c:pt>
                <c:pt idx="976">
                  <c:v>1.5431839559258264E-2</c:v>
                </c:pt>
                <c:pt idx="977">
                  <c:v>1.5400265471242887E-2</c:v>
                </c:pt>
                <c:pt idx="978">
                  <c:v>1.5368788186733916E-2</c:v>
                </c:pt>
                <c:pt idx="979">
                  <c:v>1.5337407310413475E-2</c:v>
                </c:pt>
                <c:pt idx="980">
                  <c:v>1.5306122448979588E-2</c:v>
                </c:pt>
                <c:pt idx="981">
                  <c:v>1.5274933211133867E-2</c:v>
                </c:pt>
                <c:pt idx="982">
                  <c:v>1.524383920756924E-2</c:v>
                </c:pt>
                <c:pt idx="983">
                  <c:v>1.5212840050957839E-2</c:v>
                </c:pt>
                <c:pt idx="984">
                  <c:v>1.5181935355938926E-2</c:v>
                </c:pt>
                <c:pt idx="985">
                  <c:v>1.515112473910691E-2</c:v>
                </c:pt>
                <c:pt idx="986">
                  <c:v>1.5120407818999463E-2</c:v>
                </c:pt>
                <c:pt idx="987">
                  <c:v>1.5089784216085712E-2</c:v>
                </c:pt>
                <c:pt idx="988">
                  <c:v>1.5059253552754509E-2</c:v>
                </c:pt>
                <c:pt idx="989">
                  <c:v>1.5028815453302809E-2</c:v>
                </c:pt>
                <c:pt idx="990">
                  <c:v>1.4998469543924088E-2</c:v>
                </c:pt>
                <c:pt idx="991">
                  <c:v>1.4968215452696875E-2</c:v>
                </c:pt>
                <c:pt idx="992">
                  <c:v>1.493805280957336E-2</c:v>
                </c:pt>
                <c:pt idx="993">
                  <c:v>1.4907981246368081E-2</c:v>
                </c:pt>
                <c:pt idx="994">
                  <c:v>1.487800039674668E-2</c:v>
                </c:pt>
                <c:pt idx="995">
                  <c:v>1.4848109896214745E-2</c:v>
                </c:pt>
                <c:pt idx="996">
                  <c:v>1.4818309382106739E-2</c:v>
                </c:pt>
                <c:pt idx="997">
                  <c:v>1.4788598493575007E-2</c:v>
                </c:pt>
                <c:pt idx="998">
                  <c:v>1.4758976871578828E-2</c:v>
                </c:pt>
                <c:pt idx="999">
                  <c:v>1.4729444158873587E-2</c:v>
                </c:pt>
                <c:pt idx="1000">
                  <c:v>1.47E-2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F0-4858-B32F-173E0C2BFDE3}"/>
            </c:ext>
          </c:extLst>
        </c:ser>
        <c:ser>
          <c:idx val="1"/>
          <c:order val="1"/>
          <c:tx>
            <c:strRef>
              <c:f>DRS!$E$16:$G$16</c:f>
              <c:strCache>
                <c:ptCount val="1"/>
                <c:pt idx="0">
                  <c:v>2%@50years / 1.4</c:v>
                </c:pt>
              </c:strCache>
            </c:strRef>
          </c:tx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'S2'!$BF$1:$BF$1001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'S2'!$BH$1:$BH$1001</c:f>
              <c:numCache>
                <c:formatCode>General</c:formatCode>
                <c:ptCount val="1001"/>
                <c:pt idx="0">
                  <c:v>0.21988571428571427</c:v>
                </c:pt>
                <c:pt idx="1">
                  <c:v>0.26009831520640736</c:v>
                </c:pt>
                <c:pt idx="2">
                  <c:v>0.30031091612710048</c:v>
                </c:pt>
                <c:pt idx="3">
                  <c:v>0.34052351704779366</c:v>
                </c:pt>
                <c:pt idx="4">
                  <c:v>0.38073611796848672</c:v>
                </c:pt>
                <c:pt idx="5">
                  <c:v>0.42094871888917995</c:v>
                </c:pt>
                <c:pt idx="6">
                  <c:v>0.46116131980987302</c:v>
                </c:pt>
                <c:pt idx="7">
                  <c:v>0.50137392073056619</c:v>
                </c:pt>
                <c:pt idx="8">
                  <c:v>0.54158652165125931</c:v>
                </c:pt>
                <c:pt idx="9">
                  <c:v>0.58179912257195243</c:v>
                </c:pt>
                <c:pt idx="10">
                  <c:v>0.5909428571428571</c:v>
                </c:pt>
                <c:pt idx="11">
                  <c:v>0.5909428571428571</c:v>
                </c:pt>
                <c:pt idx="12">
                  <c:v>0.5909428571428571</c:v>
                </c:pt>
                <c:pt idx="13">
                  <c:v>0.5909428571428571</c:v>
                </c:pt>
                <c:pt idx="14">
                  <c:v>0.5909428571428571</c:v>
                </c:pt>
                <c:pt idx="15">
                  <c:v>0.5909428571428571</c:v>
                </c:pt>
                <c:pt idx="16">
                  <c:v>0.5909428571428571</c:v>
                </c:pt>
                <c:pt idx="17">
                  <c:v>0.5909428571428571</c:v>
                </c:pt>
                <c:pt idx="18">
                  <c:v>0.5909428571428571</c:v>
                </c:pt>
                <c:pt idx="19">
                  <c:v>0.5909428571428571</c:v>
                </c:pt>
                <c:pt idx="20">
                  <c:v>0.5909428571428571</c:v>
                </c:pt>
                <c:pt idx="21">
                  <c:v>0.5909428571428571</c:v>
                </c:pt>
                <c:pt idx="22">
                  <c:v>0.5909428571428571</c:v>
                </c:pt>
                <c:pt idx="23">
                  <c:v>0.5909428571428571</c:v>
                </c:pt>
                <c:pt idx="24">
                  <c:v>0.5909428571428571</c:v>
                </c:pt>
                <c:pt idx="25">
                  <c:v>0.5909428571428571</c:v>
                </c:pt>
                <c:pt idx="26">
                  <c:v>0.5909428571428571</c:v>
                </c:pt>
                <c:pt idx="27">
                  <c:v>0.5909428571428571</c:v>
                </c:pt>
                <c:pt idx="28">
                  <c:v>0.5909428571428571</c:v>
                </c:pt>
                <c:pt idx="29">
                  <c:v>0.5909428571428571</c:v>
                </c:pt>
                <c:pt idx="30">
                  <c:v>0.5909428571428571</c:v>
                </c:pt>
                <c:pt idx="31">
                  <c:v>0.5909428571428571</c:v>
                </c:pt>
                <c:pt idx="32">
                  <c:v>0.5909428571428571</c:v>
                </c:pt>
                <c:pt idx="33">
                  <c:v>0.5909428571428571</c:v>
                </c:pt>
                <c:pt idx="34">
                  <c:v>0.5909428571428571</c:v>
                </c:pt>
                <c:pt idx="35">
                  <c:v>0.5909428571428571</c:v>
                </c:pt>
                <c:pt idx="36">
                  <c:v>0.5909428571428571</c:v>
                </c:pt>
                <c:pt idx="37">
                  <c:v>0.5909428571428571</c:v>
                </c:pt>
                <c:pt idx="38">
                  <c:v>0.5909428571428571</c:v>
                </c:pt>
                <c:pt idx="39">
                  <c:v>0.5909428571428571</c:v>
                </c:pt>
                <c:pt idx="40">
                  <c:v>0.5909428571428571</c:v>
                </c:pt>
                <c:pt idx="41">
                  <c:v>0.5909428571428571</c:v>
                </c:pt>
                <c:pt idx="42">
                  <c:v>0.5909428571428571</c:v>
                </c:pt>
                <c:pt idx="43">
                  <c:v>0.5909428571428571</c:v>
                </c:pt>
                <c:pt idx="44">
                  <c:v>0.5909428571428571</c:v>
                </c:pt>
                <c:pt idx="45">
                  <c:v>0.5909428571428571</c:v>
                </c:pt>
                <c:pt idx="46">
                  <c:v>0.5909428571428571</c:v>
                </c:pt>
                <c:pt idx="47">
                  <c:v>0.58009118541033444</c:v>
                </c:pt>
                <c:pt idx="48">
                  <c:v>0.56800595238095253</c:v>
                </c:pt>
                <c:pt idx="49">
                  <c:v>0.55641399416909632</c:v>
                </c:pt>
                <c:pt idx="50">
                  <c:v>0.54528571428571437</c:v>
                </c:pt>
                <c:pt idx="51">
                  <c:v>0.5345938375350141</c:v>
                </c:pt>
                <c:pt idx="52">
                  <c:v>0.52431318681318684</c:v>
                </c:pt>
                <c:pt idx="53">
                  <c:v>0.51442048517520222</c:v>
                </c:pt>
                <c:pt idx="54">
                  <c:v>0.50489417989417995</c:v>
                </c:pt>
                <c:pt idx="55">
                  <c:v>0.49571428571428577</c:v>
                </c:pt>
                <c:pt idx="56">
                  <c:v>0.48686224489795921</c:v>
                </c:pt>
                <c:pt idx="57">
                  <c:v>0.47832080200501265</c:v>
                </c:pt>
                <c:pt idx="58">
                  <c:v>0.47007389162561586</c:v>
                </c:pt>
                <c:pt idx="59">
                  <c:v>0.46210653753026643</c:v>
                </c:pt>
                <c:pt idx="60">
                  <c:v>0.45440476190476198</c:v>
                </c:pt>
                <c:pt idx="61">
                  <c:v>0.44695550351288066</c:v>
                </c:pt>
                <c:pt idx="62">
                  <c:v>0.4397465437788019</c:v>
                </c:pt>
                <c:pt idx="63">
                  <c:v>0.43276643990929714</c:v>
                </c:pt>
                <c:pt idx="64">
                  <c:v>0.42600446428571437</c:v>
                </c:pt>
                <c:pt idx="65">
                  <c:v>0.41945054945054949</c:v>
                </c:pt>
                <c:pt idx="66">
                  <c:v>0.41309523809523813</c:v>
                </c:pt>
                <c:pt idx="67">
                  <c:v>0.40692963752665251</c:v>
                </c:pt>
                <c:pt idx="68">
                  <c:v>0.40094537815126052</c:v>
                </c:pt>
                <c:pt idx="69">
                  <c:v>0.39513457556935827</c:v>
                </c:pt>
                <c:pt idx="70">
                  <c:v>0.38948979591836741</c:v>
                </c:pt>
                <c:pt idx="71">
                  <c:v>0.38400402414486928</c:v>
                </c:pt>
                <c:pt idx="72">
                  <c:v>0.37867063492063502</c:v>
                </c:pt>
                <c:pt idx="73">
                  <c:v>0.37348336594911946</c:v>
                </c:pt>
                <c:pt idx="74">
                  <c:v>0.36843629343629353</c:v>
                </c:pt>
                <c:pt idx="75">
                  <c:v>0.36352380952380958</c:v>
                </c:pt>
                <c:pt idx="76">
                  <c:v>0.35874060150375947</c:v>
                </c:pt>
                <c:pt idx="77">
                  <c:v>0.35408163265306125</c:v>
                </c:pt>
                <c:pt idx="78">
                  <c:v>0.34954212454212458</c:v>
                </c:pt>
                <c:pt idx="79">
                  <c:v>0.345117540687161</c:v>
                </c:pt>
                <c:pt idx="80">
                  <c:v>0.34080357142857148</c:v>
                </c:pt>
                <c:pt idx="81">
                  <c:v>0.33659611992945332</c:v>
                </c:pt>
                <c:pt idx="82">
                  <c:v>0.33249128919860632</c:v>
                </c:pt>
                <c:pt idx="83">
                  <c:v>0.32848537005163519</c:v>
                </c:pt>
                <c:pt idx="84">
                  <c:v>0.32457482993197284</c:v>
                </c:pt>
                <c:pt idx="85">
                  <c:v>0.32075630252100845</c:v>
                </c:pt>
                <c:pt idx="86">
                  <c:v>0.31702657807308976</c:v>
                </c:pt>
                <c:pt idx="87">
                  <c:v>0.31338259441707722</c:v>
                </c:pt>
                <c:pt idx="88">
                  <c:v>0.30982142857142864</c:v>
                </c:pt>
                <c:pt idx="89">
                  <c:v>0.30634028892455861</c:v>
                </c:pt>
                <c:pt idx="90">
                  <c:v>0.302936507936508</c:v>
                </c:pt>
                <c:pt idx="91">
                  <c:v>0.29960753532182105</c:v>
                </c:pt>
                <c:pt idx="92">
                  <c:v>0.29635093167701865</c:v>
                </c:pt>
                <c:pt idx="93">
                  <c:v>0.29316436251920125</c:v>
                </c:pt>
                <c:pt idx="94">
                  <c:v>0.29004559270516722</c:v>
                </c:pt>
                <c:pt idx="95">
                  <c:v>0.28699248120300758</c:v>
                </c:pt>
                <c:pt idx="96">
                  <c:v>0.28400297619047626</c:v>
                </c:pt>
                <c:pt idx="97">
                  <c:v>0.28107511045655381</c:v>
                </c:pt>
                <c:pt idx="98">
                  <c:v>0.27820699708454816</c:v>
                </c:pt>
                <c:pt idx="99">
                  <c:v>0.27539682539682542</c:v>
                </c:pt>
                <c:pt idx="100">
                  <c:v>0.27264285714285719</c:v>
                </c:pt>
                <c:pt idx="101">
                  <c:v>0.26994342291371998</c:v>
                </c:pt>
                <c:pt idx="102">
                  <c:v>0.26729691876750705</c:v>
                </c:pt>
                <c:pt idx="103">
                  <c:v>0.26470180305131763</c:v>
                </c:pt>
                <c:pt idx="104">
                  <c:v>0.26215659340659342</c:v>
                </c:pt>
                <c:pt idx="105">
                  <c:v>0.25965986394557827</c:v>
                </c:pt>
                <c:pt idx="106">
                  <c:v>0.25721024258760111</c:v>
                </c:pt>
                <c:pt idx="107">
                  <c:v>0.2548064085447263</c:v>
                </c:pt>
                <c:pt idx="108">
                  <c:v>0.25244708994708998</c:v>
                </c:pt>
                <c:pt idx="109">
                  <c:v>0.25013106159895154</c:v>
                </c:pt>
                <c:pt idx="110">
                  <c:v>0.24785714285714289</c:v>
                </c:pt>
                <c:pt idx="111">
                  <c:v>0.24562419562419563</c:v>
                </c:pt>
                <c:pt idx="112">
                  <c:v>0.2434311224489796</c:v>
                </c:pt>
                <c:pt idx="113">
                  <c:v>0.24127686472819224</c:v>
                </c:pt>
                <c:pt idx="114">
                  <c:v>0.23916040100250632</c:v>
                </c:pt>
                <c:pt idx="115">
                  <c:v>0.23708074534161497</c:v>
                </c:pt>
                <c:pt idx="116">
                  <c:v>0.23503694581280793</c:v>
                </c:pt>
                <c:pt idx="117">
                  <c:v>0.23302808302808309</c:v>
                </c:pt>
                <c:pt idx="118">
                  <c:v>0.23105326876513321</c:v>
                </c:pt>
                <c:pt idx="119">
                  <c:v>0.22911164465786318</c:v>
                </c:pt>
                <c:pt idx="120">
                  <c:v>0.22720238095238099</c:v>
                </c:pt>
                <c:pt idx="121">
                  <c:v>0.22532467532467537</c:v>
                </c:pt>
                <c:pt idx="122">
                  <c:v>0.22347775175644033</c:v>
                </c:pt>
                <c:pt idx="123">
                  <c:v>0.22166085946573755</c:v>
                </c:pt>
                <c:pt idx="124">
                  <c:v>0.21987327188940095</c:v>
                </c:pt>
                <c:pt idx="125">
                  <c:v>0.21811428571428576</c:v>
                </c:pt>
                <c:pt idx="126">
                  <c:v>0.21638321995464857</c:v>
                </c:pt>
                <c:pt idx="127">
                  <c:v>0.21467941507311589</c:v>
                </c:pt>
                <c:pt idx="128">
                  <c:v>0.21300223214285718</c:v>
                </c:pt>
                <c:pt idx="129">
                  <c:v>0.21135105204872651</c:v>
                </c:pt>
                <c:pt idx="130">
                  <c:v>0.20972527472527475</c:v>
                </c:pt>
                <c:pt idx="131">
                  <c:v>0.20812431842966198</c:v>
                </c:pt>
                <c:pt idx="132">
                  <c:v>0.20654761904761906</c:v>
                </c:pt>
                <c:pt idx="133">
                  <c:v>0.20499462943071967</c:v>
                </c:pt>
                <c:pt idx="134">
                  <c:v>0.20346481876332626</c:v>
                </c:pt>
                <c:pt idx="135">
                  <c:v>0.20195767195767197</c:v>
                </c:pt>
                <c:pt idx="136">
                  <c:v>0.20047268907563026</c:v>
                </c:pt>
                <c:pt idx="137">
                  <c:v>0.19900938477580815</c:v>
                </c:pt>
                <c:pt idx="138">
                  <c:v>0.19756728778467914</c:v>
                </c:pt>
                <c:pt idx="139">
                  <c:v>0.19614594039054475</c:v>
                </c:pt>
                <c:pt idx="140">
                  <c:v>0.1947448979591837</c:v>
                </c:pt>
                <c:pt idx="141">
                  <c:v>0.19336372847011149</c:v>
                </c:pt>
                <c:pt idx="142">
                  <c:v>0.19200201207243464</c:v>
                </c:pt>
                <c:pt idx="143">
                  <c:v>0.1906593406593407</c:v>
                </c:pt>
                <c:pt idx="144">
                  <c:v>0.18933531746031751</c:v>
                </c:pt>
                <c:pt idx="145">
                  <c:v>0.18802955665024634</c:v>
                </c:pt>
                <c:pt idx="146">
                  <c:v>0.18674168297455973</c:v>
                </c:pt>
                <c:pt idx="147">
                  <c:v>0.18547133138969876</c:v>
                </c:pt>
                <c:pt idx="148">
                  <c:v>0.18421814671814676</c:v>
                </c:pt>
                <c:pt idx="149">
                  <c:v>0.18298178331735382</c:v>
                </c:pt>
                <c:pt idx="150">
                  <c:v>0.18176190476190479</c:v>
                </c:pt>
                <c:pt idx="151">
                  <c:v>0.18055818353831601</c:v>
                </c:pt>
                <c:pt idx="152">
                  <c:v>0.17937030075187974</c:v>
                </c:pt>
                <c:pt idx="153">
                  <c:v>0.1781979458450047</c:v>
                </c:pt>
                <c:pt idx="154">
                  <c:v>0.17704081632653063</c:v>
                </c:pt>
                <c:pt idx="155">
                  <c:v>0.17589861751152075</c:v>
                </c:pt>
                <c:pt idx="156">
                  <c:v>0.17477106227106229</c:v>
                </c:pt>
                <c:pt idx="157">
                  <c:v>0.17365787079162878</c:v>
                </c:pt>
                <c:pt idx="158">
                  <c:v>0.1725587703435805</c:v>
                </c:pt>
                <c:pt idx="159">
                  <c:v>0.17147349505840073</c:v>
                </c:pt>
                <c:pt idx="160">
                  <c:v>0.17040178571428574</c:v>
                </c:pt>
                <c:pt idx="161">
                  <c:v>0.16934338952972494</c:v>
                </c:pt>
                <c:pt idx="162">
                  <c:v>0.16829805996472666</c:v>
                </c:pt>
                <c:pt idx="163">
                  <c:v>0.16726555652936026</c:v>
                </c:pt>
                <c:pt idx="164">
                  <c:v>0.16624564459930316</c:v>
                </c:pt>
                <c:pt idx="165">
                  <c:v>0.16523809523809527</c:v>
                </c:pt>
                <c:pt idx="166">
                  <c:v>0.1642426850258176</c:v>
                </c:pt>
                <c:pt idx="167">
                  <c:v>0.16325919589392646</c:v>
                </c:pt>
                <c:pt idx="168">
                  <c:v>0.16228741496598642</c:v>
                </c:pt>
                <c:pt idx="169">
                  <c:v>0.16132713440405752</c:v>
                </c:pt>
                <c:pt idx="170">
                  <c:v>0.16037815126050423</c:v>
                </c:pt>
                <c:pt idx="171">
                  <c:v>0.15944026733500422</c:v>
                </c:pt>
                <c:pt idx="172">
                  <c:v>0.15851328903654488</c:v>
                </c:pt>
                <c:pt idx="173">
                  <c:v>0.15759702725020647</c:v>
                </c:pt>
                <c:pt idx="174">
                  <c:v>0.15669129720853861</c:v>
                </c:pt>
                <c:pt idx="175">
                  <c:v>0.15579591836734696</c:v>
                </c:pt>
                <c:pt idx="176">
                  <c:v>0.15491071428571432</c:v>
                </c:pt>
                <c:pt idx="177">
                  <c:v>0.15403551251008882</c:v>
                </c:pt>
                <c:pt idx="178">
                  <c:v>0.15317014446227931</c:v>
                </c:pt>
                <c:pt idx="179">
                  <c:v>0.15231444533120514</c:v>
                </c:pt>
                <c:pt idx="180">
                  <c:v>0.151468253968254</c:v>
                </c:pt>
                <c:pt idx="181">
                  <c:v>0.15063141278610895</c:v>
                </c:pt>
                <c:pt idx="182">
                  <c:v>0.14980376766091053</c:v>
                </c:pt>
                <c:pt idx="183">
                  <c:v>0.14898516783762686</c:v>
                </c:pt>
                <c:pt idx="184">
                  <c:v>0.14817546583850932</c:v>
                </c:pt>
                <c:pt idx="185">
                  <c:v>0.1473745173745174</c:v>
                </c:pt>
                <c:pt idx="186">
                  <c:v>0.14658218125960062</c:v>
                </c:pt>
                <c:pt idx="187">
                  <c:v>0.1457983193277311</c:v>
                </c:pt>
                <c:pt idx="188">
                  <c:v>0.14502279635258361</c:v>
                </c:pt>
                <c:pt idx="189">
                  <c:v>0.1442554799697657</c:v>
                </c:pt>
                <c:pt idx="190">
                  <c:v>0.14349624060150379</c:v>
                </c:pt>
                <c:pt idx="191">
                  <c:v>0.14274495138369486</c:v>
                </c:pt>
                <c:pt idx="192">
                  <c:v>0.14200148809523813</c:v>
                </c:pt>
                <c:pt idx="193">
                  <c:v>0.14126572908956331</c:v>
                </c:pt>
                <c:pt idx="194">
                  <c:v>0.14053755522827691</c:v>
                </c:pt>
                <c:pt idx="195">
                  <c:v>0.13981684981684983</c:v>
                </c:pt>
                <c:pt idx="196">
                  <c:v>0.13910349854227408</c:v>
                </c:pt>
                <c:pt idx="197">
                  <c:v>0.13839738941261787</c:v>
                </c:pt>
                <c:pt idx="198">
                  <c:v>0.13769841269841271</c:v>
                </c:pt>
                <c:pt idx="199">
                  <c:v>0.13700646087580765</c:v>
                </c:pt>
                <c:pt idx="200">
                  <c:v>0.13632142857142859</c:v>
                </c:pt>
                <c:pt idx="201">
                  <c:v>0.1356432125088842</c:v>
                </c:pt>
                <c:pt idx="202">
                  <c:v>0.13497171145685999</c:v>
                </c:pt>
                <c:pt idx="203">
                  <c:v>0.1343068261787474</c:v>
                </c:pt>
                <c:pt idx="204">
                  <c:v>0.13364845938375353</c:v>
                </c:pt>
                <c:pt idx="205">
                  <c:v>0.13299651567944254</c:v>
                </c:pt>
                <c:pt idx="206">
                  <c:v>0.13235090152565882</c:v>
                </c:pt>
                <c:pt idx="207">
                  <c:v>0.1317115251897861</c:v>
                </c:pt>
                <c:pt idx="208">
                  <c:v>0.13107829670329671</c:v>
                </c:pt>
                <c:pt idx="209">
                  <c:v>0.1304511278195489</c:v>
                </c:pt>
                <c:pt idx="210">
                  <c:v>0.12982993197278914</c:v>
                </c:pt>
                <c:pt idx="211">
                  <c:v>0.12921462423832095</c:v>
                </c:pt>
                <c:pt idx="212">
                  <c:v>0.12860512129380056</c:v>
                </c:pt>
                <c:pt idx="213">
                  <c:v>0.12800134138162308</c:v>
                </c:pt>
                <c:pt idx="214">
                  <c:v>0.12740320427236315</c:v>
                </c:pt>
                <c:pt idx="215">
                  <c:v>0.12681063122923592</c:v>
                </c:pt>
                <c:pt idx="216">
                  <c:v>0.12622354497354499</c:v>
                </c:pt>
                <c:pt idx="217">
                  <c:v>0.12564186965108626</c:v>
                </c:pt>
                <c:pt idx="218">
                  <c:v>0.12506553079947577</c:v>
                </c:pt>
                <c:pt idx="219">
                  <c:v>0.12449445531637315</c:v>
                </c:pt>
                <c:pt idx="220">
                  <c:v>0.12392857142857144</c:v>
                </c:pt>
                <c:pt idx="221">
                  <c:v>0.12336780866192633</c:v>
                </c:pt>
                <c:pt idx="222">
                  <c:v>0.12281209781209781</c:v>
                </c:pt>
                <c:pt idx="223">
                  <c:v>0.12226137091607946</c:v>
                </c:pt>
                <c:pt idx="224">
                  <c:v>0.1217155612244898</c:v>
                </c:pt>
                <c:pt idx="225">
                  <c:v>0.1211746031746032</c:v>
                </c:pt>
                <c:pt idx="226">
                  <c:v>0.12063843236409612</c:v>
                </c:pt>
                <c:pt idx="227">
                  <c:v>0.12010698552548775</c:v>
                </c:pt>
                <c:pt idx="228">
                  <c:v>0.11958020050125316</c:v>
                </c:pt>
                <c:pt idx="229">
                  <c:v>0.11905801621958829</c:v>
                </c:pt>
                <c:pt idx="230">
                  <c:v>0.11854037267080748</c:v>
                </c:pt>
                <c:pt idx="231">
                  <c:v>0.11802721088435376</c:v>
                </c:pt>
                <c:pt idx="232">
                  <c:v>0.11751847290640396</c:v>
                </c:pt>
                <c:pt idx="233">
                  <c:v>0.11701410177805029</c:v>
                </c:pt>
                <c:pt idx="234">
                  <c:v>0.11651404151404154</c:v>
                </c:pt>
                <c:pt idx="235">
                  <c:v>0.11601823708206688</c:v>
                </c:pt>
                <c:pt idx="236">
                  <c:v>0.11552663438256661</c:v>
                </c:pt>
                <c:pt idx="237">
                  <c:v>0.11503918022905366</c:v>
                </c:pt>
                <c:pt idx="238">
                  <c:v>0.11455582232893159</c:v>
                </c:pt>
                <c:pt idx="239">
                  <c:v>0.11407650926479379</c:v>
                </c:pt>
                <c:pt idx="240">
                  <c:v>0.11360119047619049</c:v>
                </c:pt>
                <c:pt idx="241">
                  <c:v>0.11312981624184945</c:v>
                </c:pt>
                <c:pt idx="242">
                  <c:v>0.11266233766233769</c:v>
                </c:pt>
                <c:pt idx="243">
                  <c:v>0.1121987066431511</c:v>
                </c:pt>
                <c:pt idx="244">
                  <c:v>0.11173887587822016</c:v>
                </c:pt>
                <c:pt idx="245">
                  <c:v>0.11128279883381925</c:v>
                </c:pt>
                <c:pt idx="246">
                  <c:v>0.11083042973286877</c:v>
                </c:pt>
                <c:pt idx="247">
                  <c:v>0.11038172353961828</c:v>
                </c:pt>
                <c:pt idx="248">
                  <c:v>0.10993663594470048</c:v>
                </c:pt>
                <c:pt idx="249">
                  <c:v>0.10949512335054505</c:v>
                </c:pt>
                <c:pt idx="250">
                  <c:v>0.10905714285714288</c:v>
                </c:pt>
                <c:pt idx="251">
                  <c:v>0.10862265224815028</c:v>
                </c:pt>
                <c:pt idx="252">
                  <c:v>0.10819160997732429</c:v>
                </c:pt>
                <c:pt idx="253">
                  <c:v>0.10776397515527952</c:v>
                </c:pt>
                <c:pt idx="254">
                  <c:v>0.10733970753655794</c:v>
                </c:pt>
                <c:pt idx="255">
                  <c:v>0.10691876750700283</c:v>
                </c:pt>
                <c:pt idx="256">
                  <c:v>0.10650111607142859</c:v>
                </c:pt>
                <c:pt idx="257">
                  <c:v>0.10608671484157868</c:v>
                </c:pt>
                <c:pt idx="258">
                  <c:v>0.10567552602436325</c:v>
                </c:pt>
                <c:pt idx="259">
                  <c:v>0.10526751241036958</c:v>
                </c:pt>
                <c:pt idx="260">
                  <c:v>0.10486263736263737</c:v>
                </c:pt>
                <c:pt idx="261">
                  <c:v>0.10446086480569242</c:v>
                </c:pt>
                <c:pt idx="262">
                  <c:v>0.10406215921483099</c:v>
                </c:pt>
                <c:pt idx="263">
                  <c:v>0.10366648560564913</c:v>
                </c:pt>
                <c:pt idx="264">
                  <c:v>0.10327380952380953</c:v>
                </c:pt>
                <c:pt idx="265">
                  <c:v>0.10288409703504045</c:v>
                </c:pt>
                <c:pt idx="266">
                  <c:v>0.10249731471535983</c:v>
                </c:pt>
                <c:pt idx="267">
                  <c:v>0.10211342964151955</c:v>
                </c:pt>
                <c:pt idx="268">
                  <c:v>0.10173240938166313</c:v>
                </c:pt>
                <c:pt idx="269">
                  <c:v>0.10135422198619226</c:v>
                </c:pt>
                <c:pt idx="270">
                  <c:v>0.10097883597883599</c:v>
                </c:pt>
                <c:pt idx="271">
                  <c:v>0.10060622034791779</c:v>
                </c:pt>
                <c:pt idx="272">
                  <c:v>0.10023634453781513</c:v>
                </c:pt>
                <c:pt idx="273">
                  <c:v>9.9869178440607026E-2</c:v>
                </c:pt>
                <c:pt idx="274">
                  <c:v>9.9504692387904076E-2</c:v>
                </c:pt>
                <c:pt idx="275">
                  <c:v>9.9142857142857158E-2</c:v>
                </c:pt>
                <c:pt idx="276">
                  <c:v>9.8783643892339568E-2</c:v>
                </c:pt>
                <c:pt idx="277">
                  <c:v>9.8427024239298624E-2</c:v>
                </c:pt>
                <c:pt idx="278">
                  <c:v>9.8072970195272377E-2</c:v>
                </c:pt>
                <c:pt idx="279">
                  <c:v>9.7721454173067088E-2</c:v>
                </c:pt>
                <c:pt idx="280">
                  <c:v>9.7372448979591852E-2</c:v>
                </c:pt>
                <c:pt idx="281">
                  <c:v>9.7025927808845974E-2</c:v>
                </c:pt>
                <c:pt idx="282">
                  <c:v>9.6681864235055745E-2</c:v>
                </c:pt>
                <c:pt idx="283">
                  <c:v>9.6340232205956597E-2</c:v>
                </c:pt>
                <c:pt idx="284">
                  <c:v>9.6001006036217321E-2</c:v>
                </c:pt>
                <c:pt idx="285">
                  <c:v>9.5664160401002521E-2</c:v>
                </c:pt>
                <c:pt idx="286">
                  <c:v>9.5329670329670352E-2</c:v>
                </c:pt>
                <c:pt idx="287">
                  <c:v>9.49975111996018E-2</c:v>
                </c:pt>
                <c:pt idx="288">
                  <c:v>9.4667658730158755E-2</c:v>
                </c:pt>
                <c:pt idx="289">
                  <c:v>9.4340088976767184E-2</c:v>
                </c:pt>
                <c:pt idx="290">
                  <c:v>9.4014778325123172E-2</c:v>
                </c:pt>
                <c:pt idx="291">
                  <c:v>9.3691703485517933E-2</c:v>
                </c:pt>
                <c:pt idx="292">
                  <c:v>9.3370841487279865E-2</c:v>
                </c:pt>
                <c:pt idx="293">
                  <c:v>9.305216967333009E-2</c:v>
                </c:pt>
                <c:pt idx="294">
                  <c:v>9.2735665694849381E-2</c:v>
                </c:pt>
                <c:pt idx="295">
                  <c:v>9.2421307506053277E-2</c:v>
                </c:pt>
                <c:pt idx="296">
                  <c:v>9.2109073359073382E-2</c:v>
                </c:pt>
                <c:pt idx="297">
                  <c:v>9.179894179894181E-2</c:v>
                </c:pt>
                <c:pt idx="298">
                  <c:v>9.1490891658676909E-2</c:v>
                </c:pt>
                <c:pt idx="299">
                  <c:v>9.1184902054467276E-2</c:v>
                </c:pt>
                <c:pt idx="300">
                  <c:v>9.0880952380952396E-2</c:v>
                </c:pt>
                <c:pt idx="301">
                  <c:v>9.0579022306597076E-2</c:v>
                </c:pt>
                <c:pt idx="302">
                  <c:v>9.0279091769158007E-2</c:v>
                </c:pt>
                <c:pt idx="303">
                  <c:v>8.9981140971240006E-2</c:v>
                </c:pt>
                <c:pt idx="304">
                  <c:v>8.9685150375939868E-2</c:v>
                </c:pt>
                <c:pt idx="305">
                  <c:v>8.9391100702576137E-2</c:v>
                </c:pt>
                <c:pt idx="306">
                  <c:v>8.9098972922502351E-2</c:v>
                </c:pt>
                <c:pt idx="307">
                  <c:v>8.8808748255002345E-2</c:v>
                </c:pt>
                <c:pt idx="308">
                  <c:v>8.8520408163265313E-2</c:v>
                </c:pt>
                <c:pt idx="309">
                  <c:v>8.8233934350439219E-2</c:v>
                </c:pt>
                <c:pt idx="310">
                  <c:v>8.7949308755760375E-2</c:v>
                </c:pt>
                <c:pt idx="311">
                  <c:v>8.7666513550757941E-2</c:v>
                </c:pt>
                <c:pt idx="312">
                  <c:v>8.7385531135531144E-2</c:v>
                </c:pt>
                <c:pt idx="313">
                  <c:v>8.7106344135098143E-2</c:v>
                </c:pt>
                <c:pt idx="314">
                  <c:v>8.6828935395814391E-2</c:v>
                </c:pt>
                <c:pt idx="315">
                  <c:v>8.6553287981859434E-2</c:v>
                </c:pt>
                <c:pt idx="316">
                  <c:v>8.6279385171790249E-2</c:v>
                </c:pt>
                <c:pt idx="317">
                  <c:v>8.6007210455159994E-2</c:v>
                </c:pt>
                <c:pt idx="318">
                  <c:v>8.5736747529200366E-2</c:v>
                </c:pt>
                <c:pt idx="319">
                  <c:v>8.5467980295566515E-2</c:v>
                </c:pt>
                <c:pt idx="320">
                  <c:v>8.5200892857142871E-2</c:v>
                </c:pt>
                <c:pt idx="321">
                  <c:v>8.4935469514908782E-2</c:v>
                </c:pt>
                <c:pt idx="322">
                  <c:v>8.4671694764862471E-2</c:v>
                </c:pt>
                <c:pt idx="323">
                  <c:v>8.4409553295002229E-2</c:v>
                </c:pt>
                <c:pt idx="324">
                  <c:v>8.414902998236333E-2</c:v>
                </c:pt>
                <c:pt idx="325">
                  <c:v>8.3890109890109907E-2</c:v>
                </c:pt>
                <c:pt idx="326">
                  <c:v>8.363277826468013E-2</c:v>
                </c:pt>
                <c:pt idx="327">
                  <c:v>8.3377020532983848E-2</c:v>
                </c:pt>
                <c:pt idx="328">
                  <c:v>8.312282229965158E-2</c:v>
                </c:pt>
                <c:pt idx="329">
                  <c:v>8.2870169344333486E-2</c:v>
                </c:pt>
                <c:pt idx="330">
                  <c:v>8.2619047619047634E-2</c:v>
                </c:pt>
                <c:pt idx="331">
                  <c:v>8.2369443245576185E-2</c:v>
                </c:pt>
                <c:pt idx="332">
                  <c:v>8.2121342512908799E-2</c:v>
                </c:pt>
                <c:pt idx="333">
                  <c:v>8.187473187473189E-2</c:v>
                </c:pt>
                <c:pt idx="334">
                  <c:v>8.1629597946963228E-2</c:v>
                </c:pt>
                <c:pt idx="335">
                  <c:v>8.1385927505330496E-2</c:v>
                </c:pt>
                <c:pt idx="336">
                  <c:v>8.114370748299321E-2</c:v>
                </c:pt>
                <c:pt idx="337">
                  <c:v>8.0902924968206877E-2</c:v>
                </c:pt>
                <c:pt idx="338">
                  <c:v>8.066356720202876E-2</c:v>
                </c:pt>
                <c:pt idx="339">
                  <c:v>8.042562157606406E-2</c:v>
                </c:pt>
                <c:pt idx="340">
                  <c:v>8.0189075630252113E-2</c:v>
                </c:pt>
                <c:pt idx="341">
                  <c:v>7.9953917050691256E-2</c:v>
                </c:pt>
                <c:pt idx="342">
                  <c:v>7.9720133667502108E-2</c:v>
                </c:pt>
                <c:pt idx="343">
                  <c:v>7.9487713452728037E-2</c:v>
                </c:pt>
                <c:pt idx="344">
                  <c:v>7.925664451827244E-2</c:v>
                </c:pt>
                <c:pt idx="345">
                  <c:v>7.9026915113871637E-2</c:v>
                </c:pt>
                <c:pt idx="346">
                  <c:v>7.8798513625103234E-2</c:v>
                </c:pt>
                <c:pt idx="347">
                  <c:v>7.8571428571428584E-2</c:v>
                </c:pt>
                <c:pt idx="348">
                  <c:v>7.8345648604269305E-2</c:v>
                </c:pt>
                <c:pt idx="349">
                  <c:v>7.8121162505116665E-2</c:v>
                </c:pt>
                <c:pt idx="350">
                  <c:v>7.7897959183673482E-2</c:v>
                </c:pt>
                <c:pt idx="351">
                  <c:v>7.7676027676027687E-2</c:v>
                </c:pt>
                <c:pt idx="352">
                  <c:v>7.7455357142857159E-2</c:v>
                </c:pt>
                <c:pt idx="353">
                  <c:v>7.7235936867664931E-2</c:v>
                </c:pt>
                <c:pt idx="354">
                  <c:v>7.7017756255044409E-2</c:v>
                </c:pt>
                <c:pt idx="355">
                  <c:v>7.6800804828973862E-2</c:v>
                </c:pt>
                <c:pt idx="356">
                  <c:v>7.6585072231139653E-2</c:v>
                </c:pt>
                <c:pt idx="357">
                  <c:v>7.6370548219287737E-2</c:v>
                </c:pt>
                <c:pt idx="358">
                  <c:v>7.615722266560257E-2</c:v>
                </c:pt>
                <c:pt idx="359">
                  <c:v>7.5945085555113423E-2</c:v>
                </c:pt>
                <c:pt idx="360">
                  <c:v>7.5734126984127001E-2</c:v>
                </c:pt>
                <c:pt idx="361">
                  <c:v>7.55243371586862E-2</c:v>
                </c:pt>
                <c:pt idx="362">
                  <c:v>7.5315706393054474E-2</c:v>
                </c:pt>
                <c:pt idx="363">
                  <c:v>7.5108225108225124E-2</c:v>
                </c:pt>
                <c:pt idx="364">
                  <c:v>7.4901883830455263E-2</c:v>
                </c:pt>
                <c:pt idx="365">
                  <c:v>7.4696673189823884E-2</c:v>
                </c:pt>
                <c:pt idx="366">
                  <c:v>7.4492583918813429E-2</c:v>
                </c:pt>
                <c:pt idx="367">
                  <c:v>7.4289606850914763E-2</c:v>
                </c:pt>
                <c:pt idx="368">
                  <c:v>7.4087732919254662E-2</c:v>
                </c:pt>
                <c:pt idx="369">
                  <c:v>7.3886953155245849E-2</c:v>
                </c:pt>
                <c:pt idx="370">
                  <c:v>7.36872586872587E-2</c:v>
                </c:pt>
                <c:pt idx="371">
                  <c:v>7.3488640739314604E-2</c:v>
                </c:pt>
                <c:pt idx="372">
                  <c:v>7.3291090629800312E-2</c:v>
                </c:pt>
                <c:pt idx="373">
                  <c:v>7.3094599770202995E-2</c:v>
                </c:pt>
                <c:pt idx="374">
                  <c:v>7.2899159663865551E-2</c:v>
                </c:pt>
                <c:pt idx="375">
                  <c:v>7.2704761904761911E-2</c:v>
                </c:pt>
                <c:pt idx="376">
                  <c:v>7.2511398176291805E-2</c:v>
                </c:pt>
                <c:pt idx="377">
                  <c:v>7.2319060250094741E-2</c:v>
                </c:pt>
                <c:pt idx="378">
                  <c:v>7.2127739984882852E-2</c:v>
                </c:pt>
                <c:pt idx="379">
                  <c:v>7.1937429325292138E-2</c:v>
                </c:pt>
                <c:pt idx="380">
                  <c:v>7.1748120300751894E-2</c:v>
                </c:pt>
                <c:pt idx="381">
                  <c:v>7.1559805024371967E-2</c:v>
                </c:pt>
                <c:pt idx="382">
                  <c:v>7.1372475691847431E-2</c:v>
                </c:pt>
                <c:pt idx="383">
                  <c:v>7.1186124580380469E-2</c:v>
                </c:pt>
                <c:pt idx="384">
                  <c:v>7.1000744047619066E-2</c:v>
                </c:pt>
                <c:pt idx="385">
                  <c:v>7.0816326530612261E-2</c:v>
                </c:pt>
                <c:pt idx="386">
                  <c:v>7.0632864544781654E-2</c:v>
                </c:pt>
                <c:pt idx="387">
                  <c:v>7.0450350682908836E-2</c:v>
                </c:pt>
                <c:pt idx="388">
                  <c:v>7.0268777614138453E-2</c:v>
                </c:pt>
                <c:pt idx="389">
                  <c:v>7.0088138082996701E-2</c:v>
                </c:pt>
                <c:pt idx="390">
                  <c:v>6.9908424908424915E-2</c:v>
                </c:pt>
                <c:pt idx="391">
                  <c:v>6.9729630982827917E-2</c:v>
                </c:pt>
                <c:pt idx="392">
                  <c:v>6.9551749271137039E-2</c:v>
                </c:pt>
                <c:pt idx="393">
                  <c:v>6.9374772809887325E-2</c:v>
                </c:pt>
                <c:pt idx="394">
                  <c:v>6.9198694706308933E-2</c:v>
                </c:pt>
                <c:pt idx="395">
                  <c:v>6.9023508137432202E-2</c:v>
                </c:pt>
                <c:pt idx="396">
                  <c:v>6.8849206349206354E-2</c:v>
                </c:pt>
                <c:pt idx="397">
                  <c:v>6.8675782655631526E-2</c:v>
                </c:pt>
                <c:pt idx="398">
                  <c:v>6.8503230437903823E-2</c:v>
                </c:pt>
                <c:pt idx="399">
                  <c:v>6.8331543143573231E-2</c:v>
                </c:pt>
                <c:pt idx="400">
                  <c:v>6.8160714285714297E-2</c:v>
                </c:pt>
                <c:pt idx="401">
                  <c:v>6.7990737442109025E-2</c:v>
                </c:pt>
                <c:pt idx="402">
                  <c:v>6.7821606254442099E-2</c:v>
                </c:pt>
                <c:pt idx="403">
                  <c:v>6.765331442750798E-2</c:v>
                </c:pt>
                <c:pt idx="404">
                  <c:v>6.7485855728429994E-2</c:v>
                </c:pt>
                <c:pt idx="405">
                  <c:v>6.7319223985890672E-2</c:v>
                </c:pt>
                <c:pt idx="406">
                  <c:v>6.7153413089373698E-2</c:v>
                </c:pt>
                <c:pt idx="407">
                  <c:v>6.6988416988416996E-2</c:v>
                </c:pt>
                <c:pt idx="408">
                  <c:v>6.6824229691876763E-2</c:v>
                </c:pt>
                <c:pt idx="409">
                  <c:v>6.6660845267202243E-2</c:v>
                </c:pt>
                <c:pt idx="410">
                  <c:v>6.649825783972127E-2</c:v>
                </c:pt>
                <c:pt idx="411">
                  <c:v>6.6336461591936055E-2</c:v>
                </c:pt>
                <c:pt idx="412">
                  <c:v>6.6175450762829408E-2</c:v>
                </c:pt>
                <c:pt idx="413">
                  <c:v>6.601521964718092E-2</c:v>
                </c:pt>
                <c:pt idx="414">
                  <c:v>6.585576259489305E-2</c:v>
                </c:pt>
                <c:pt idx="415">
                  <c:v>6.5697074010327025E-2</c:v>
                </c:pt>
                <c:pt idx="416">
                  <c:v>6.5539148351648355E-2</c:v>
                </c:pt>
                <c:pt idx="417">
                  <c:v>6.538198013018158E-2</c:v>
                </c:pt>
                <c:pt idx="418">
                  <c:v>6.5225563909774451E-2</c:v>
                </c:pt>
                <c:pt idx="419">
                  <c:v>6.5069894306171161E-2</c:v>
                </c:pt>
                <c:pt idx="420">
                  <c:v>6.4914965986394568E-2</c:v>
                </c:pt>
                <c:pt idx="421">
                  <c:v>6.4760773668137095E-2</c:v>
                </c:pt>
                <c:pt idx="422">
                  <c:v>6.4607312119160473E-2</c:v>
                </c:pt>
                <c:pt idx="423">
                  <c:v>6.4454576156703816E-2</c:v>
                </c:pt>
                <c:pt idx="424">
                  <c:v>6.4302560646900278E-2</c:v>
                </c:pt>
                <c:pt idx="425">
                  <c:v>6.4151260504201696E-2</c:v>
                </c:pt>
                <c:pt idx="426">
                  <c:v>6.4000670690811542E-2</c:v>
                </c:pt>
                <c:pt idx="427">
                  <c:v>6.3850786216125804E-2</c:v>
                </c:pt>
                <c:pt idx="428">
                  <c:v>6.3701602136181576E-2</c:v>
                </c:pt>
                <c:pt idx="429">
                  <c:v>6.3553113553113563E-2</c:v>
                </c:pt>
                <c:pt idx="430">
                  <c:v>6.3405315614617958E-2</c:v>
                </c:pt>
                <c:pt idx="431">
                  <c:v>6.3258203513423941E-2</c:v>
                </c:pt>
                <c:pt idx="432">
                  <c:v>6.3111772486772494E-2</c:v>
                </c:pt>
                <c:pt idx="433">
                  <c:v>6.2966017815902345E-2</c:v>
                </c:pt>
                <c:pt idx="434">
                  <c:v>6.2820934825543129E-2</c:v>
                </c:pt>
                <c:pt idx="435">
                  <c:v>6.2676518883415452E-2</c:v>
                </c:pt>
                <c:pt idx="436">
                  <c:v>6.2532765399737886E-2</c:v>
                </c:pt>
                <c:pt idx="437">
                  <c:v>6.2389669826740775E-2</c:v>
                </c:pt>
                <c:pt idx="438">
                  <c:v>6.2247227658186577E-2</c:v>
                </c:pt>
                <c:pt idx="439">
                  <c:v>6.2105434428896857E-2</c:v>
                </c:pt>
                <c:pt idx="440">
                  <c:v>6.1964285714285722E-2</c:v>
                </c:pt>
                <c:pt idx="441">
                  <c:v>6.1823777129899588E-2</c:v>
                </c:pt>
                <c:pt idx="442">
                  <c:v>6.1683904330963164E-2</c:v>
                </c:pt>
                <c:pt idx="443">
                  <c:v>6.154466301193165E-2</c:v>
                </c:pt>
                <c:pt idx="444">
                  <c:v>6.1406048906048907E-2</c:v>
                </c:pt>
                <c:pt idx="445">
                  <c:v>6.1268057784911727E-2</c:v>
                </c:pt>
                <c:pt idx="446">
                  <c:v>6.1130685458039728E-2</c:v>
                </c:pt>
                <c:pt idx="447">
                  <c:v>6.0993927772451273E-2</c:v>
                </c:pt>
                <c:pt idx="448">
                  <c:v>6.0857780612244901E-2</c:v>
                </c:pt>
                <c:pt idx="449">
                  <c:v>6.0722239898186453E-2</c:v>
                </c:pt>
                <c:pt idx="450">
                  <c:v>6.0587301587301599E-2</c:v>
                </c:pt>
                <c:pt idx="451">
                  <c:v>6.0452961672473882E-2</c:v>
                </c:pt>
                <c:pt idx="452">
                  <c:v>6.0319216182048059E-2</c:v>
                </c:pt>
                <c:pt idx="453">
                  <c:v>6.0186061179438671E-2</c:v>
                </c:pt>
                <c:pt idx="454">
                  <c:v>6.0053492762743875E-2</c:v>
                </c:pt>
                <c:pt idx="455">
                  <c:v>5.9921507064364221E-2</c:v>
                </c:pt>
                <c:pt idx="456">
                  <c:v>5.9790100250626581E-2</c:v>
                </c:pt>
                <c:pt idx="457">
                  <c:v>5.9659268521412949E-2</c:v>
                </c:pt>
                <c:pt idx="458">
                  <c:v>5.9529008109794147E-2</c:v>
                </c:pt>
                <c:pt idx="459">
                  <c:v>5.9399315281668232E-2</c:v>
                </c:pt>
                <c:pt idx="460">
                  <c:v>5.9270186335403742E-2</c:v>
                </c:pt>
                <c:pt idx="461">
                  <c:v>5.9141617601487458E-2</c:v>
                </c:pt>
                <c:pt idx="462">
                  <c:v>5.9013605442176882E-2</c:v>
                </c:pt>
                <c:pt idx="463">
                  <c:v>5.8886146251157061E-2</c:v>
                </c:pt>
                <c:pt idx="464">
                  <c:v>5.8759236453201982E-2</c:v>
                </c:pt>
                <c:pt idx="465">
                  <c:v>5.863287250384025E-2</c:v>
                </c:pt>
                <c:pt idx="466">
                  <c:v>5.8507050889025143E-2</c:v>
                </c:pt>
                <c:pt idx="467">
                  <c:v>5.8381768124808824E-2</c:v>
                </c:pt>
                <c:pt idx="468">
                  <c:v>5.8257020757020772E-2</c:v>
                </c:pt>
                <c:pt idx="469">
                  <c:v>5.8132805360950356E-2</c:v>
                </c:pt>
                <c:pt idx="470">
                  <c:v>5.8009118541033439E-2</c:v>
                </c:pt>
                <c:pt idx="471">
                  <c:v>5.788595693054293E-2</c:v>
                </c:pt>
                <c:pt idx="472">
                  <c:v>5.7763317191283303E-2</c:v>
                </c:pt>
                <c:pt idx="473">
                  <c:v>5.7641196013289042E-2</c:v>
                </c:pt>
                <c:pt idx="474">
                  <c:v>5.7519590114526828E-2</c:v>
                </c:pt>
                <c:pt idx="475">
                  <c:v>5.7398496240601511E-2</c:v>
                </c:pt>
                <c:pt idx="476">
                  <c:v>5.7277911164465796E-2</c:v>
                </c:pt>
                <c:pt idx="477">
                  <c:v>5.7157831686133587E-2</c:v>
                </c:pt>
                <c:pt idx="478">
                  <c:v>5.7038254632396895E-2</c:v>
                </c:pt>
                <c:pt idx="479">
                  <c:v>5.6919176856546384E-2</c:v>
                </c:pt>
                <c:pt idx="480">
                  <c:v>5.6800595238095247E-2</c:v>
                </c:pt>
                <c:pt idx="481">
                  <c:v>5.6682506682506698E-2</c:v>
                </c:pt>
                <c:pt idx="482">
                  <c:v>5.6564908120924726E-2</c:v>
                </c:pt>
                <c:pt idx="483">
                  <c:v>5.6447796509908318E-2</c:v>
                </c:pt>
                <c:pt idx="484">
                  <c:v>5.6331168831168843E-2</c:v>
                </c:pt>
                <c:pt idx="485">
                  <c:v>5.6215022091310761E-2</c:v>
                </c:pt>
                <c:pt idx="486">
                  <c:v>5.6099353321575549E-2</c:v>
                </c:pt>
                <c:pt idx="487">
                  <c:v>5.5984159577588746E-2</c:v>
                </c:pt>
                <c:pt idx="488">
                  <c:v>5.5869437939110082E-2</c:v>
                </c:pt>
                <c:pt idx="489">
                  <c:v>5.5755185509786746E-2</c:v>
                </c:pt>
                <c:pt idx="490">
                  <c:v>5.5641399416909626E-2</c:v>
                </c:pt>
                <c:pt idx="491">
                  <c:v>5.5528076811172541E-2</c:v>
                </c:pt>
                <c:pt idx="492">
                  <c:v>5.5415214866434387E-2</c:v>
                </c:pt>
                <c:pt idx="493">
                  <c:v>5.5302810779484221E-2</c:v>
                </c:pt>
                <c:pt idx="494">
                  <c:v>5.5190861769809141E-2</c:v>
                </c:pt>
                <c:pt idx="495">
                  <c:v>5.5079365079365089E-2</c:v>
                </c:pt>
                <c:pt idx="496">
                  <c:v>5.4968317972350238E-2</c:v>
                </c:pt>
                <c:pt idx="497">
                  <c:v>5.4857717734981326E-2</c:v>
                </c:pt>
                <c:pt idx="498">
                  <c:v>5.4747561675272526E-2</c:v>
                </c:pt>
                <c:pt idx="499">
                  <c:v>5.4637847122817072E-2</c:v>
                </c:pt>
                <c:pt idx="500">
                  <c:v>5.452857142857144E-2</c:v>
                </c:pt>
                <c:pt idx="501">
                  <c:v>5.4419731964642157E-2</c:v>
                </c:pt>
                <c:pt idx="502">
                  <c:v>5.4311326124075139E-2</c:v>
                </c:pt>
                <c:pt idx="503">
                  <c:v>5.4203351320647547E-2</c:v>
                </c:pt>
                <c:pt idx="504">
                  <c:v>5.4095804988662143E-2</c:v>
                </c:pt>
                <c:pt idx="505">
                  <c:v>5.3988684582744001E-2</c:v>
                </c:pt>
                <c:pt idx="506">
                  <c:v>5.3881987577639762E-2</c:v>
                </c:pt>
                <c:pt idx="507">
                  <c:v>5.3775711468019169E-2</c:v>
                </c:pt>
                <c:pt idx="508">
                  <c:v>5.3669853768278972E-2</c:v>
                </c:pt>
                <c:pt idx="509">
                  <c:v>5.3564412012349155E-2</c:v>
                </c:pt>
                <c:pt idx="510">
                  <c:v>5.3459383753501413E-2</c:v>
                </c:pt>
                <c:pt idx="511">
                  <c:v>5.3354766564159918E-2</c:v>
                </c:pt>
                <c:pt idx="512">
                  <c:v>5.3250558035714296E-2</c:v>
                </c:pt>
                <c:pt idx="513">
                  <c:v>5.3146755778334734E-2</c:v>
                </c:pt>
                <c:pt idx="514">
                  <c:v>5.304335742078934E-2</c:v>
                </c:pt>
                <c:pt idx="515">
                  <c:v>5.2940360610263526E-2</c:v>
                </c:pt>
                <c:pt idx="516">
                  <c:v>5.2837763012181627E-2</c:v>
                </c:pt>
                <c:pt idx="517">
                  <c:v>5.2735562310030404E-2</c:v>
                </c:pt>
                <c:pt idx="518">
                  <c:v>5.263375620518479E-2</c:v>
                </c:pt>
                <c:pt idx="519">
                  <c:v>5.2532342416735482E-2</c:v>
                </c:pt>
                <c:pt idx="520">
                  <c:v>5.2431318681318687E-2</c:v>
                </c:pt>
                <c:pt idx="521">
                  <c:v>5.2330682752947638E-2</c:v>
                </c:pt>
                <c:pt idx="522">
                  <c:v>5.2230432402846208E-2</c:v>
                </c:pt>
                <c:pt idx="523">
                  <c:v>5.2130565419284354E-2</c:v>
                </c:pt>
                <c:pt idx="524">
                  <c:v>5.2031079607415494E-2</c:v>
                </c:pt>
                <c:pt idx="525">
                  <c:v>5.1931972789115655E-2</c:v>
                </c:pt>
                <c:pt idx="526">
                  <c:v>5.1833242802824565E-2</c:v>
                </c:pt>
                <c:pt idx="527">
                  <c:v>5.1734887503388463E-2</c:v>
                </c:pt>
                <c:pt idx="528">
                  <c:v>5.1636904761904766E-2</c:v>
                </c:pt>
                <c:pt idx="529">
                  <c:v>5.1539292465568466E-2</c:v>
                </c:pt>
                <c:pt idx="530">
                  <c:v>5.1442048517520225E-2</c:v>
                </c:pt>
                <c:pt idx="531">
                  <c:v>5.134517083669627E-2</c:v>
                </c:pt>
                <c:pt idx="532">
                  <c:v>5.1248657357679916E-2</c:v>
                </c:pt>
                <c:pt idx="533">
                  <c:v>5.1152506030554816E-2</c:v>
                </c:pt>
                <c:pt idx="534">
                  <c:v>5.1056714820759776E-2</c:v>
                </c:pt>
                <c:pt idx="535">
                  <c:v>5.0961281708945275E-2</c:v>
                </c:pt>
                <c:pt idx="536">
                  <c:v>5.0866204690831564E-2</c:v>
                </c:pt>
                <c:pt idx="537">
                  <c:v>5.0771481777068375E-2</c:v>
                </c:pt>
                <c:pt idx="538">
                  <c:v>5.0677110993096131E-2</c:v>
                </c:pt>
                <c:pt idx="539">
                  <c:v>5.0583090379008759E-2</c:v>
                </c:pt>
                <c:pt idx="540">
                  <c:v>5.0489417989417994E-2</c:v>
                </c:pt>
                <c:pt idx="541">
                  <c:v>5.0396091893319256E-2</c:v>
                </c:pt>
                <c:pt idx="542">
                  <c:v>5.0303110173958894E-2</c:v>
                </c:pt>
                <c:pt idx="543">
                  <c:v>5.0210470928702983E-2</c:v>
                </c:pt>
                <c:pt idx="544">
                  <c:v>5.0118172268907565E-2</c:v>
                </c:pt>
                <c:pt idx="545">
                  <c:v>5.0026212319790306E-2</c:v>
                </c:pt>
                <c:pt idx="546">
                  <c:v>4.9934589220303513E-2</c:v>
                </c:pt>
                <c:pt idx="547">
                  <c:v>4.9843301123008631E-2</c:v>
                </c:pt>
                <c:pt idx="548">
                  <c:v>4.9752346193952038E-2</c:v>
                </c:pt>
                <c:pt idx="549">
                  <c:v>4.9661722612542293E-2</c:v>
                </c:pt>
                <c:pt idx="550">
                  <c:v>4.9571428571428579E-2</c:v>
                </c:pt>
                <c:pt idx="551">
                  <c:v>4.9481462276380617E-2</c:v>
                </c:pt>
                <c:pt idx="552">
                  <c:v>4.9391821946169784E-2</c:v>
                </c:pt>
                <c:pt idx="553">
                  <c:v>4.9302505812451568E-2</c:v>
                </c:pt>
                <c:pt idx="554">
                  <c:v>4.9213512119649312E-2</c:v>
                </c:pt>
                <c:pt idx="555">
                  <c:v>4.9124839124839136E-2</c:v>
                </c:pt>
                <c:pt idx="556">
                  <c:v>4.9036485097636189E-2</c:v>
                </c:pt>
                <c:pt idx="557">
                  <c:v>4.8948448320082077E-2</c:v>
                </c:pt>
                <c:pt idx="558">
                  <c:v>4.8860727086533544E-2</c:v>
                </c:pt>
                <c:pt idx="559">
                  <c:v>4.8773319703552268E-2</c:v>
                </c:pt>
                <c:pt idx="560">
                  <c:v>4.8686224489795926E-2</c:v>
                </c:pt>
                <c:pt idx="561">
                  <c:v>4.8599439775910372E-2</c:v>
                </c:pt>
                <c:pt idx="562">
                  <c:v>4.8512963904422987E-2</c:v>
                </c:pt>
                <c:pt idx="563">
                  <c:v>4.8426795229637158E-2</c:v>
                </c:pt>
                <c:pt idx="564">
                  <c:v>4.8340932117527873E-2</c:v>
                </c:pt>
                <c:pt idx="565">
                  <c:v>4.825537294563844E-2</c:v>
                </c:pt>
                <c:pt idx="566">
                  <c:v>4.8170116102978298E-2</c:v>
                </c:pt>
                <c:pt idx="567">
                  <c:v>4.8085159989921904E-2</c:v>
                </c:pt>
                <c:pt idx="568">
                  <c:v>4.800050301810866E-2</c:v>
                </c:pt>
                <c:pt idx="569">
                  <c:v>4.7916143610343964E-2</c:v>
                </c:pt>
                <c:pt idx="570">
                  <c:v>4.783208020050126E-2</c:v>
                </c:pt>
                <c:pt idx="571">
                  <c:v>4.7748311233425079E-2</c:v>
                </c:pt>
                <c:pt idx="572">
                  <c:v>4.7664835164835176E-2</c:v>
                </c:pt>
                <c:pt idx="573">
                  <c:v>4.7581650461231619E-2</c:v>
                </c:pt>
                <c:pt idx="574">
                  <c:v>4.74987555998009E-2</c:v>
                </c:pt>
                <c:pt idx="575">
                  <c:v>4.7416149068322991E-2</c:v>
                </c:pt>
                <c:pt idx="576">
                  <c:v>4.7333829365079377E-2</c:v>
                </c:pt>
                <c:pt idx="577">
                  <c:v>4.725179499876208E-2</c:v>
                </c:pt>
                <c:pt idx="578">
                  <c:v>4.7170044488383592E-2</c:v>
                </c:pt>
                <c:pt idx="579">
                  <c:v>4.7088576363187772E-2</c:v>
                </c:pt>
                <c:pt idx="580">
                  <c:v>4.7007389162561586E-2</c:v>
                </c:pt>
                <c:pt idx="581">
                  <c:v>4.6926481435947881E-2</c:v>
                </c:pt>
                <c:pt idx="582">
                  <c:v>4.6845851742758966E-2</c:v>
                </c:pt>
                <c:pt idx="583">
                  <c:v>4.6765498652291113E-2</c:v>
                </c:pt>
                <c:pt idx="584">
                  <c:v>4.6685420743639933E-2</c:v>
                </c:pt>
                <c:pt idx="585">
                  <c:v>4.6605616605616615E-2</c:v>
                </c:pt>
                <c:pt idx="586">
                  <c:v>4.6526084836665045E-2</c:v>
                </c:pt>
                <c:pt idx="587">
                  <c:v>4.6446824044779761E-2</c:v>
                </c:pt>
                <c:pt idx="588">
                  <c:v>4.6367832847424691E-2</c:v>
                </c:pt>
                <c:pt idx="589">
                  <c:v>4.6289109871452835E-2</c:v>
                </c:pt>
                <c:pt idx="590">
                  <c:v>4.6210653753026638E-2</c:v>
                </c:pt>
                <c:pt idx="591">
                  <c:v>4.6132463137539284E-2</c:v>
                </c:pt>
                <c:pt idx="592">
                  <c:v>4.6054536679536691E-2</c:v>
                </c:pt>
                <c:pt idx="593">
                  <c:v>4.5976873042640337E-2</c:v>
                </c:pt>
                <c:pt idx="594">
                  <c:v>4.5899470899470905E-2</c:v>
                </c:pt>
                <c:pt idx="595">
                  <c:v>4.5822328931572634E-2</c:v>
                </c:pt>
                <c:pt idx="596">
                  <c:v>4.5745445829338455E-2</c:v>
                </c:pt>
                <c:pt idx="597">
                  <c:v>4.5668820291935877E-2</c:v>
                </c:pt>
                <c:pt idx="598">
                  <c:v>4.5592451027233638E-2</c:v>
                </c:pt>
                <c:pt idx="599">
                  <c:v>4.5516336751729079E-2</c:v>
                </c:pt>
                <c:pt idx="600">
                  <c:v>4.5440476190476198E-2</c:v>
                </c:pt>
                <c:pt idx="601">
                  <c:v>4.5364868077014509E-2</c:v>
                </c:pt>
                <c:pt idx="602">
                  <c:v>4.5289511153298538E-2</c:v>
                </c:pt>
                <c:pt idx="603">
                  <c:v>4.5214404169628054E-2</c:v>
                </c:pt>
                <c:pt idx="604">
                  <c:v>4.5139545884579003E-2</c:v>
                </c:pt>
                <c:pt idx="605">
                  <c:v>4.5064935064935072E-2</c:v>
                </c:pt>
                <c:pt idx="606">
                  <c:v>4.4990570485620003E-2</c:v>
                </c:pt>
                <c:pt idx="607">
                  <c:v>4.4916450929630508E-2</c:v>
                </c:pt>
                <c:pt idx="608">
                  <c:v>4.4842575187969934E-2</c:v>
                </c:pt>
                <c:pt idx="609">
                  <c:v>4.4768942059582463E-2</c:v>
                </c:pt>
                <c:pt idx="610">
                  <c:v>4.4695550351288069E-2</c:v>
                </c:pt>
                <c:pt idx="611">
                  <c:v>4.4622398877718031E-2</c:v>
                </c:pt>
                <c:pt idx="612">
                  <c:v>4.4549486461251175E-2</c:v>
                </c:pt>
                <c:pt idx="613">
                  <c:v>4.4476811931950605E-2</c:v>
                </c:pt>
                <c:pt idx="614">
                  <c:v>4.4404374127501173E-2</c:v>
                </c:pt>
                <c:pt idx="615">
                  <c:v>4.4332171893147511E-2</c:v>
                </c:pt>
                <c:pt idx="616">
                  <c:v>4.4260204081632656E-2</c:v>
                </c:pt>
                <c:pt idx="617">
                  <c:v>4.4188469553137308E-2</c:v>
                </c:pt>
                <c:pt idx="618">
                  <c:v>4.411696717521961E-2</c:v>
                </c:pt>
                <c:pt idx="619">
                  <c:v>4.4045695822755603E-2</c:v>
                </c:pt>
                <c:pt idx="620">
                  <c:v>4.3974654377880187E-2</c:v>
                </c:pt>
                <c:pt idx="621">
                  <c:v>4.3903841729928693E-2</c:v>
                </c:pt>
                <c:pt idx="622">
                  <c:v>4.383325677537897E-2</c:v>
                </c:pt>
                <c:pt idx="623">
                  <c:v>4.3762898417794086E-2</c:v>
                </c:pt>
                <c:pt idx="624">
                  <c:v>4.3692765567765572E-2</c:v>
                </c:pt>
                <c:pt idx="625">
                  <c:v>4.3622857142857151E-2</c:v>
                </c:pt>
                <c:pt idx="626">
                  <c:v>4.3553172067549072E-2</c:v>
                </c:pt>
                <c:pt idx="627">
                  <c:v>4.3483709273182965E-2</c:v>
                </c:pt>
                <c:pt idx="628">
                  <c:v>4.3414467697907196E-2</c:v>
                </c:pt>
                <c:pt idx="629">
                  <c:v>4.3345446286622763E-2</c:v>
                </c:pt>
                <c:pt idx="630">
                  <c:v>4.3276643990929717E-2</c:v>
                </c:pt>
                <c:pt idx="631">
                  <c:v>4.3208059769074041E-2</c:v>
                </c:pt>
                <c:pt idx="632">
                  <c:v>4.3139692585895124E-2</c:v>
                </c:pt>
                <c:pt idx="633">
                  <c:v>4.3071541412773647E-2</c:v>
                </c:pt>
                <c:pt idx="634">
                  <c:v>4.3003605227579997E-2</c:v>
                </c:pt>
                <c:pt idx="635">
                  <c:v>4.2935883014623179E-2</c:v>
                </c:pt>
                <c:pt idx="636">
                  <c:v>4.2868373764600183E-2</c:v>
                </c:pt>
                <c:pt idx="637">
                  <c:v>4.2801076474545868E-2</c:v>
                </c:pt>
                <c:pt idx="638">
                  <c:v>4.2733990147783257E-2</c:v>
                </c:pt>
                <c:pt idx="639">
                  <c:v>4.2667113793874369E-2</c:v>
                </c:pt>
                <c:pt idx="640">
                  <c:v>4.2600446428571435E-2</c:v>
                </c:pt>
                <c:pt idx="641">
                  <c:v>4.2533987073768674E-2</c:v>
                </c:pt>
                <c:pt idx="642">
                  <c:v>4.2467734757454391E-2</c:v>
                </c:pt>
                <c:pt idx="643">
                  <c:v>4.2401688513663639E-2</c:v>
                </c:pt>
                <c:pt idx="644">
                  <c:v>4.2335847382431235E-2</c:v>
                </c:pt>
                <c:pt idx="645">
                  <c:v>4.2270210409745296E-2</c:v>
                </c:pt>
                <c:pt idx="646">
                  <c:v>4.2204776647501115E-2</c:v>
                </c:pt>
                <c:pt idx="647">
                  <c:v>4.213954515345552E-2</c:v>
                </c:pt>
                <c:pt idx="648">
                  <c:v>4.2074514991181665E-2</c:v>
                </c:pt>
                <c:pt idx="649">
                  <c:v>4.200968523002422E-2</c:v>
                </c:pt>
                <c:pt idx="650">
                  <c:v>4.1945054945054953E-2</c:v>
                </c:pt>
                <c:pt idx="651">
                  <c:v>4.1880623217028755E-2</c:v>
                </c:pt>
                <c:pt idx="652">
                  <c:v>4.1816389132340065E-2</c:v>
                </c:pt>
                <c:pt idx="653">
                  <c:v>4.175235178297966E-2</c:v>
                </c:pt>
                <c:pt idx="654">
                  <c:v>4.1688510266491924E-2</c:v>
                </c:pt>
                <c:pt idx="655">
                  <c:v>4.1624863685932399E-2</c:v>
                </c:pt>
                <c:pt idx="656">
                  <c:v>4.156141114982579E-2</c:v>
                </c:pt>
                <c:pt idx="657">
                  <c:v>4.1498151772124382E-2</c:v>
                </c:pt>
                <c:pt idx="658">
                  <c:v>4.1435084672166743E-2</c:v>
                </c:pt>
                <c:pt idx="659">
                  <c:v>4.1372208974636906E-2</c:v>
                </c:pt>
                <c:pt idx="660">
                  <c:v>4.1309523809523817E-2</c:v>
                </c:pt>
                <c:pt idx="661">
                  <c:v>4.1247028312081269E-2</c:v>
                </c:pt>
                <c:pt idx="662">
                  <c:v>4.1184721622788092E-2</c:v>
                </c:pt>
                <c:pt idx="663">
                  <c:v>4.1122602887308776E-2</c:v>
                </c:pt>
                <c:pt idx="664">
                  <c:v>4.1060671256454399E-2</c:v>
                </c:pt>
                <c:pt idx="665">
                  <c:v>4.0998925886143935E-2</c:v>
                </c:pt>
                <c:pt idx="666">
                  <c:v>4.0937365937365945E-2</c:v>
                </c:pt>
                <c:pt idx="667">
                  <c:v>4.0875990576140511E-2</c:v>
                </c:pt>
                <c:pt idx="668">
                  <c:v>4.0814798973481614E-2</c:v>
                </c:pt>
                <c:pt idx="669">
                  <c:v>4.0753790305359819E-2</c:v>
                </c:pt>
                <c:pt idx="670">
                  <c:v>4.0692963752665248E-2</c:v>
                </c:pt>
                <c:pt idx="671">
                  <c:v>4.0632318501170966E-2</c:v>
                </c:pt>
                <c:pt idx="672">
                  <c:v>4.0571853741496605E-2</c:v>
                </c:pt>
                <c:pt idx="673">
                  <c:v>4.0511568669072386E-2</c:v>
                </c:pt>
                <c:pt idx="674">
                  <c:v>4.0451462484103438E-2</c:v>
                </c:pt>
                <c:pt idx="675">
                  <c:v>4.0391534391534395E-2</c:v>
                </c:pt>
                <c:pt idx="676">
                  <c:v>4.033178360101438E-2</c:v>
                </c:pt>
                <c:pt idx="677">
                  <c:v>4.0272209326862214E-2</c:v>
                </c:pt>
                <c:pt idx="678">
                  <c:v>4.021281078803203E-2</c:v>
                </c:pt>
                <c:pt idx="679">
                  <c:v>4.0153587208079114E-2</c:v>
                </c:pt>
                <c:pt idx="680">
                  <c:v>4.0094537815126056E-2</c:v>
                </c:pt>
                <c:pt idx="681">
                  <c:v>4.0035661841829252E-2</c:v>
                </c:pt>
                <c:pt idx="682">
                  <c:v>3.9976958525345628E-2</c:v>
                </c:pt>
                <c:pt idx="683">
                  <c:v>3.9918427107299731E-2</c:v>
                </c:pt>
                <c:pt idx="684">
                  <c:v>3.9860066833751054E-2</c:v>
                </c:pt>
                <c:pt idx="685">
                  <c:v>3.9801876955161637E-2</c:v>
                </c:pt>
                <c:pt idx="686">
                  <c:v>3.9743856726364019E-2</c:v>
                </c:pt>
                <c:pt idx="687">
                  <c:v>3.9686005406529432E-2</c:v>
                </c:pt>
                <c:pt idx="688">
                  <c:v>3.962832225913622E-2</c:v>
                </c:pt>
                <c:pt idx="689">
                  <c:v>3.9570806551938634E-2</c:v>
                </c:pt>
                <c:pt idx="690">
                  <c:v>3.9513457556935819E-2</c:v>
                </c:pt>
                <c:pt idx="691">
                  <c:v>3.9456274550341126E-2</c:v>
                </c:pt>
                <c:pt idx="692">
                  <c:v>3.9399256812551617E-2</c:v>
                </c:pt>
                <c:pt idx="693">
                  <c:v>3.9342403628117924E-2</c:v>
                </c:pt>
                <c:pt idx="694">
                  <c:v>3.9285714285714292E-2</c:v>
                </c:pt>
                <c:pt idx="695">
                  <c:v>3.9229188078108948E-2</c:v>
                </c:pt>
                <c:pt idx="696">
                  <c:v>3.9172824302134653E-2</c:v>
                </c:pt>
                <c:pt idx="697">
                  <c:v>3.911662225865957E-2</c:v>
                </c:pt>
                <c:pt idx="698">
                  <c:v>3.9060581252558332E-2</c:v>
                </c:pt>
                <c:pt idx="699">
                  <c:v>3.9004700592683433E-2</c:v>
                </c:pt>
                <c:pt idx="700">
                  <c:v>3.8948979591836741E-2</c:v>
                </c:pt>
                <c:pt idx="701">
                  <c:v>3.8893417566741396E-2</c:v>
                </c:pt>
                <c:pt idx="702">
                  <c:v>3.8838013838013843E-2</c:v>
                </c:pt>
                <c:pt idx="703">
                  <c:v>3.8782767730136156E-2</c:v>
                </c:pt>
                <c:pt idx="704">
                  <c:v>3.872767857142858E-2</c:v>
                </c:pt>
                <c:pt idx="705">
                  <c:v>3.8672745694022299E-2</c:v>
                </c:pt>
                <c:pt idx="706">
                  <c:v>3.8617968433832466E-2</c:v>
                </c:pt>
                <c:pt idx="707">
                  <c:v>3.8563346130531424E-2</c:v>
                </c:pt>
                <c:pt idx="708">
                  <c:v>3.8508878127522204E-2</c:v>
                </c:pt>
                <c:pt idx="709">
                  <c:v>3.8454563771912156E-2</c:v>
                </c:pt>
                <c:pt idx="710">
                  <c:v>3.8400402414486931E-2</c:v>
                </c:pt>
                <c:pt idx="711">
                  <c:v>3.8346393409684557E-2</c:v>
                </c:pt>
                <c:pt idx="712">
                  <c:v>3.8292536115569827E-2</c:v>
                </c:pt>
                <c:pt idx="713">
                  <c:v>3.8238829893808862E-2</c:v>
                </c:pt>
                <c:pt idx="714">
                  <c:v>3.8185274109643869E-2</c:v>
                </c:pt>
                <c:pt idx="715">
                  <c:v>3.8131868131868134E-2</c:v>
                </c:pt>
                <c:pt idx="716">
                  <c:v>3.8078611332801285E-2</c:v>
                </c:pt>
                <c:pt idx="717">
                  <c:v>3.8025503088264599E-2</c:v>
                </c:pt>
                <c:pt idx="718">
                  <c:v>3.7972542777556711E-2</c:v>
                </c:pt>
                <c:pt idx="719">
                  <c:v>3.7919729783429369E-2</c:v>
                </c:pt>
                <c:pt idx="720">
                  <c:v>3.78670634920635E-2</c:v>
                </c:pt>
                <c:pt idx="721">
                  <c:v>3.7814543293045379E-2</c:v>
                </c:pt>
                <c:pt idx="722">
                  <c:v>3.77621685793431E-2</c:v>
                </c:pt>
                <c:pt idx="723">
                  <c:v>3.770993874728315E-2</c:v>
                </c:pt>
                <c:pt idx="724">
                  <c:v>3.7657853196527237E-2</c:v>
                </c:pt>
                <c:pt idx="725">
                  <c:v>3.7605911330049265E-2</c:v>
                </c:pt>
                <c:pt idx="726">
                  <c:v>3.7554112554112562E-2</c:v>
                </c:pt>
                <c:pt idx="727">
                  <c:v>3.7502456278247207E-2</c:v>
                </c:pt>
                <c:pt idx="728">
                  <c:v>3.7450941915227631E-2</c:v>
                </c:pt>
                <c:pt idx="729">
                  <c:v>3.7399568881050366E-2</c:v>
                </c:pt>
                <c:pt idx="730">
                  <c:v>3.7348336594911942E-2</c:v>
                </c:pt>
                <c:pt idx="731">
                  <c:v>3.7297244479187031E-2</c:v>
                </c:pt>
                <c:pt idx="732">
                  <c:v>3.7246291959406715E-2</c:v>
                </c:pt>
                <c:pt idx="733">
                  <c:v>3.7195478464236993E-2</c:v>
                </c:pt>
                <c:pt idx="734">
                  <c:v>3.7144803425457382E-2</c:v>
                </c:pt>
                <c:pt idx="735">
                  <c:v>3.7094266277939755E-2</c:v>
                </c:pt>
                <c:pt idx="736">
                  <c:v>3.7043866459627331E-2</c:v>
                </c:pt>
                <c:pt idx="737">
                  <c:v>3.6993603411513865E-2</c:v>
                </c:pt>
                <c:pt idx="738">
                  <c:v>3.6943476577622925E-2</c:v>
                </c:pt>
                <c:pt idx="739">
                  <c:v>3.6893485404987443E-2</c:v>
                </c:pt>
                <c:pt idx="740">
                  <c:v>3.684362934362935E-2</c:v>
                </c:pt>
                <c:pt idx="741">
                  <c:v>3.679390784653943E-2</c:v>
                </c:pt>
                <c:pt idx="742">
                  <c:v>3.6744320369657302E-2</c:v>
                </c:pt>
                <c:pt idx="743">
                  <c:v>3.6694866371851577E-2</c:v>
                </c:pt>
                <c:pt idx="744">
                  <c:v>3.6645545314900156E-2</c:v>
                </c:pt>
                <c:pt idx="745">
                  <c:v>3.6596356663470761E-2</c:v>
                </c:pt>
                <c:pt idx="746">
                  <c:v>3.6547299885101497E-2</c:v>
                </c:pt>
                <c:pt idx="747">
                  <c:v>3.6498374450181684E-2</c:v>
                </c:pt>
                <c:pt idx="748">
                  <c:v>3.6449579831932775E-2</c:v>
                </c:pt>
                <c:pt idx="749">
                  <c:v>3.6400915506389478E-2</c:v>
                </c:pt>
                <c:pt idx="750">
                  <c:v>3.6352380952380955E-2</c:v>
                </c:pt>
                <c:pt idx="751">
                  <c:v>3.6303975651512277E-2</c:v>
                </c:pt>
                <c:pt idx="752">
                  <c:v>3.6255699088145903E-2</c:v>
                </c:pt>
                <c:pt idx="753">
                  <c:v>3.6207550749383421E-2</c:v>
                </c:pt>
                <c:pt idx="754">
                  <c:v>3.6159530125047371E-2</c:v>
                </c:pt>
                <c:pt idx="755">
                  <c:v>3.6111636707663201E-2</c:v>
                </c:pt>
                <c:pt idx="756">
                  <c:v>3.6063869992441426E-2</c:v>
                </c:pt>
                <c:pt idx="757">
                  <c:v>3.6016229477259867E-2</c:v>
                </c:pt>
                <c:pt idx="758">
                  <c:v>3.5968714662646069E-2</c:v>
                </c:pt>
                <c:pt idx="759">
                  <c:v>3.5921325051759843E-2</c:v>
                </c:pt>
                <c:pt idx="760">
                  <c:v>3.5874060150375947E-2</c:v>
                </c:pt>
                <c:pt idx="761">
                  <c:v>3.5826919466866912E-2</c:v>
                </c:pt>
                <c:pt idx="762">
                  <c:v>3.5779902512185983E-2</c:v>
                </c:pt>
                <c:pt idx="763">
                  <c:v>3.5733008799850224E-2</c:v>
                </c:pt>
                <c:pt idx="764">
                  <c:v>3.5686237845923716E-2</c:v>
                </c:pt>
                <c:pt idx="765">
                  <c:v>3.5639589169000938E-2</c:v>
                </c:pt>
                <c:pt idx="766">
                  <c:v>3.5593062290190235E-2</c:v>
                </c:pt>
                <c:pt idx="767">
                  <c:v>3.5546656733097419E-2</c:v>
                </c:pt>
                <c:pt idx="768">
                  <c:v>3.5500372023809533E-2</c:v>
                </c:pt>
                <c:pt idx="769">
                  <c:v>3.5454207690878696E-2</c:v>
                </c:pt>
                <c:pt idx="770">
                  <c:v>3.5408163265306131E-2</c:v>
                </c:pt>
                <c:pt idx="771">
                  <c:v>3.5362238280526224E-2</c:v>
                </c:pt>
                <c:pt idx="772">
                  <c:v>3.5316432272390827E-2</c:v>
                </c:pt>
                <c:pt idx="773">
                  <c:v>3.5270744779153582E-2</c:v>
                </c:pt>
                <c:pt idx="774">
                  <c:v>3.5225175341454418E-2</c:v>
                </c:pt>
                <c:pt idx="775">
                  <c:v>3.5179723502304153E-2</c:v>
                </c:pt>
                <c:pt idx="776">
                  <c:v>3.5134388807069226E-2</c:v>
                </c:pt>
                <c:pt idx="777">
                  <c:v>3.5089170803456526E-2</c:v>
                </c:pt>
                <c:pt idx="778">
                  <c:v>3.5044069041498351E-2</c:v>
                </c:pt>
                <c:pt idx="779">
                  <c:v>3.499908307353751E-2</c:v>
                </c:pt>
                <c:pt idx="780">
                  <c:v>3.4954212454212458E-2</c:v>
                </c:pt>
                <c:pt idx="781">
                  <c:v>3.4909456740442664E-2</c:v>
                </c:pt>
                <c:pt idx="782">
                  <c:v>3.4864815491413959E-2</c:v>
                </c:pt>
                <c:pt idx="783">
                  <c:v>3.4820288268564134E-2</c:v>
                </c:pt>
                <c:pt idx="784">
                  <c:v>3.477587463556852E-2</c:v>
                </c:pt>
                <c:pt idx="785">
                  <c:v>3.4731574158325756E-2</c:v>
                </c:pt>
                <c:pt idx="786">
                  <c:v>3.4687386404943663E-2</c:v>
                </c:pt>
                <c:pt idx="787">
                  <c:v>3.4643310945725182E-2</c:v>
                </c:pt>
                <c:pt idx="788">
                  <c:v>3.4599347353154467E-2</c:v>
                </c:pt>
                <c:pt idx="789">
                  <c:v>3.4555495201883044E-2</c:v>
                </c:pt>
                <c:pt idx="790">
                  <c:v>3.4511754068716101E-2</c:v>
                </c:pt>
                <c:pt idx="791">
                  <c:v>3.4468123532598885E-2</c:v>
                </c:pt>
                <c:pt idx="792">
                  <c:v>3.4424603174603177E-2</c:v>
                </c:pt>
                <c:pt idx="793">
                  <c:v>3.4381192577913895E-2</c:v>
                </c:pt>
                <c:pt idx="794">
                  <c:v>3.4337891327815763E-2</c:v>
                </c:pt>
                <c:pt idx="795">
                  <c:v>3.4294699011680148E-2</c:v>
                </c:pt>
                <c:pt idx="796">
                  <c:v>3.4251615218951911E-2</c:v>
                </c:pt>
                <c:pt idx="797">
                  <c:v>3.4208639541136412E-2</c:v>
                </c:pt>
                <c:pt idx="798">
                  <c:v>3.4165771571786616E-2</c:v>
                </c:pt>
                <c:pt idx="799">
                  <c:v>3.412301090649026E-2</c:v>
                </c:pt>
                <c:pt idx="800">
                  <c:v>3.4080357142857148E-2</c:v>
                </c:pt>
                <c:pt idx="801">
                  <c:v>3.4037809880506517E-2</c:v>
                </c:pt>
                <c:pt idx="802">
                  <c:v>3.3995368721054513E-2</c:v>
                </c:pt>
                <c:pt idx="803">
                  <c:v>3.395303326810177E-2</c:v>
                </c:pt>
                <c:pt idx="804">
                  <c:v>3.3910803127221049E-2</c:v>
                </c:pt>
                <c:pt idx="805">
                  <c:v>3.3868677905944992E-2</c:v>
                </c:pt>
                <c:pt idx="806">
                  <c:v>3.382665721375399E-2</c:v>
                </c:pt>
                <c:pt idx="807">
                  <c:v>3.3784740662064085E-2</c:v>
                </c:pt>
                <c:pt idx="808">
                  <c:v>3.3742927864214997E-2</c:v>
                </c:pt>
                <c:pt idx="809">
                  <c:v>3.3701218435458244E-2</c:v>
                </c:pt>
                <c:pt idx="810">
                  <c:v>3.3659611992945336E-2</c:v>
                </c:pt>
                <c:pt idx="811">
                  <c:v>3.3618108155716052E-2</c:v>
                </c:pt>
                <c:pt idx="812">
                  <c:v>3.3576706544686849E-2</c:v>
                </c:pt>
                <c:pt idx="813">
                  <c:v>3.3535406782639256E-2</c:v>
                </c:pt>
                <c:pt idx="814">
                  <c:v>3.3494208494208498E-2</c:v>
                </c:pt>
                <c:pt idx="815">
                  <c:v>3.3453111305872044E-2</c:v>
                </c:pt>
                <c:pt idx="816">
                  <c:v>3.3412114845938382E-2</c:v>
                </c:pt>
                <c:pt idx="817">
                  <c:v>3.3371218744535761E-2</c:v>
                </c:pt>
                <c:pt idx="818">
                  <c:v>3.3330422633601121E-2</c:v>
                </c:pt>
                <c:pt idx="819">
                  <c:v>3.3289726146869009E-2</c:v>
                </c:pt>
                <c:pt idx="820">
                  <c:v>3.3249128919860635E-2</c:v>
                </c:pt>
                <c:pt idx="821">
                  <c:v>3.320863058987298E-2</c:v>
                </c:pt>
                <c:pt idx="822">
                  <c:v>3.3168230795968028E-2</c:v>
                </c:pt>
                <c:pt idx="823">
                  <c:v>3.3127929178961991E-2</c:v>
                </c:pt>
                <c:pt idx="824">
                  <c:v>3.3087725381414704E-2</c:v>
                </c:pt>
                <c:pt idx="825">
                  <c:v>3.3047619047619055E-2</c:v>
                </c:pt>
                <c:pt idx="826">
                  <c:v>3.300760982359046E-2</c:v>
                </c:pt>
                <c:pt idx="827">
                  <c:v>3.2967697357056493E-2</c:v>
                </c:pt>
                <c:pt idx="828">
                  <c:v>3.2927881297446525E-2</c:v>
                </c:pt>
                <c:pt idx="829">
                  <c:v>3.288816129588145E-2</c:v>
                </c:pt>
                <c:pt idx="830">
                  <c:v>3.2848537005163513E-2</c:v>
                </c:pt>
                <c:pt idx="831">
                  <c:v>3.2809008079766208E-2</c:v>
                </c:pt>
                <c:pt idx="832">
                  <c:v>3.2769574175824177E-2</c:v>
                </c:pt>
                <c:pt idx="833">
                  <c:v>3.2730234951123309E-2</c:v>
                </c:pt>
                <c:pt idx="834">
                  <c:v>3.269099006509079E-2</c:v>
                </c:pt>
                <c:pt idx="835">
                  <c:v>3.2651839178785294E-2</c:v>
                </c:pt>
                <c:pt idx="836">
                  <c:v>3.2612781954887225E-2</c:v>
                </c:pt>
                <c:pt idx="837">
                  <c:v>3.2573818057689032E-2</c:v>
                </c:pt>
                <c:pt idx="838">
                  <c:v>3.253494715308558E-2</c:v>
                </c:pt>
                <c:pt idx="839">
                  <c:v>3.2496168908564618E-2</c:v>
                </c:pt>
                <c:pt idx="840">
                  <c:v>3.2457482993197284E-2</c:v>
                </c:pt>
                <c:pt idx="841">
                  <c:v>3.2418889077628681E-2</c:v>
                </c:pt>
                <c:pt idx="842">
                  <c:v>3.2380386834068547E-2</c:v>
                </c:pt>
                <c:pt idx="843">
                  <c:v>3.2341975936281991E-2</c:v>
                </c:pt>
                <c:pt idx="844">
                  <c:v>3.2303656059580237E-2</c:v>
                </c:pt>
                <c:pt idx="845">
                  <c:v>3.2265426880811507E-2</c:v>
                </c:pt>
                <c:pt idx="846">
                  <c:v>3.2227288078351908E-2</c:v>
                </c:pt>
                <c:pt idx="847">
                  <c:v>3.2189239332096477E-2</c:v>
                </c:pt>
                <c:pt idx="848">
                  <c:v>3.2151280323450139E-2</c:v>
                </c:pt>
                <c:pt idx="849">
                  <c:v>3.211341073531887E-2</c:v>
                </c:pt>
                <c:pt idx="850">
                  <c:v>3.2075630252100848E-2</c:v>
                </c:pt>
                <c:pt idx="851">
                  <c:v>3.2037938559677695E-2</c:v>
                </c:pt>
                <c:pt idx="852">
                  <c:v>3.2000335345405771E-2</c:v>
                </c:pt>
                <c:pt idx="853">
                  <c:v>3.1962820298107528E-2</c:v>
                </c:pt>
                <c:pt idx="854">
                  <c:v>3.1925393108062902E-2</c:v>
                </c:pt>
                <c:pt idx="855">
                  <c:v>3.188805346700084E-2</c:v>
                </c:pt>
                <c:pt idx="856">
                  <c:v>3.1850801068090788E-2</c:v>
                </c:pt>
                <c:pt idx="857">
                  <c:v>3.1813635605934323E-2</c:v>
                </c:pt>
                <c:pt idx="858">
                  <c:v>3.1776556776556782E-2</c:v>
                </c:pt>
                <c:pt idx="859">
                  <c:v>3.1739564277398977E-2</c:v>
                </c:pt>
                <c:pt idx="860">
                  <c:v>3.1702657807308979E-2</c:v>
                </c:pt>
                <c:pt idx="861">
                  <c:v>3.166583706653394E-2</c:v>
                </c:pt>
                <c:pt idx="862">
                  <c:v>3.1629101756711971E-2</c:v>
                </c:pt>
                <c:pt idx="863">
                  <c:v>3.15924515808641E-2</c:v>
                </c:pt>
                <c:pt idx="864">
                  <c:v>3.1555886243386247E-2</c:v>
                </c:pt>
                <c:pt idx="865">
                  <c:v>3.1519405450041289E-2</c:v>
                </c:pt>
                <c:pt idx="866">
                  <c:v>3.1483008907951172E-2</c:v>
                </c:pt>
                <c:pt idx="867">
                  <c:v>3.1446696325589066E-2</c:v>
                </c:pt>
                <c:pt idx="868">
                  <c:v>3.1410467412771564E-2</c:v>
                </c:pt>
                <c:pt idx="869">
                  <c:v>3.1374321880651E-2</c:v>
                </c:pt>
                <c:pt idx="870">
                  <c:v>3.1338259441707726E-2</c:v>
                </c:pt>
                <c:pt idx="871">
                  <c:v>3.1302279809742498E-2</c:v>
                </c:pt>
                <c:pt idx="872">
                  <c:v>3.1266382699868943E-2</c:v>
                </c:pt>
                <c:pt idx="873">
                  <c:v>3.1230567828505976E-2</c:v>
                </c:pt>
                <c:pt idx="874">
                  <c:v>3.1194834913370387E-2</c:v>
                </c:pt>
                <c:pt idx="875">
                  <c:v>3.1159183673469391E-2</c:v>
                </c:pt>
                <c:pt idx="876">
                  <c:v>3.1123613829093288E-2</c:v>
                </c:pt>
                <c:pt idx="877">
                  <c:v>3.1088125101808119E-2</c:v>
                </c:pt>
                <c:pt idx="878">
                  <c:v>3.1052717214448428E-2</c:v>
                </c:pt>
                <c:pt idx="879">
                  <c:v>3.1017389891110036E-2</c:v>
                </c:pt>
                <c:pt idx="880">
                  <c:v>3.0982142857142861E-2</c:v>
                </c:pt>
                <c:pt idx="881">
                  <c:v>3.0946975839143832E-2</c:v>
                </c:pt>
                <c:pt idx="882">
                  <c:v>3.0911888564949794E-2</c:v>
                </c:pt>
                <c:pt idx="883">
                  <c:v>3.0876880763630484E-2</c:v>
                </c:pt>
                <c:pt idx="884">
                  <c:v>3.0841952165481582E-2</c:v>
                </c:pt>
                <c:pt idx="885">
                  <c:v>3.0807102502017764E-2</c:v>
                </c:pt>
                <c:pt idx="886">
                  <c:v>3.0772331505965825E-2</c:v>
                </c:pt>
                <c:pt idx="887">
                  <c:v>3.0737638911257859E-2</c:v>
                </c:pt>
                <c:pt idx="888">
                  <c:v>3.0703024453024454E-2</c:v>
                </c:pt>
                <c:pt idx="889">
                  <c:v>3.0668487867587982E-2</c:v>
                </c:pt>
                <c:pt idx="890">
                  <c:v>3.0634028892455863E-2</c:v>
                </c:pt>
                <c:pt idx="891">
                  <c:v>3.0599647266313937E-2</c:v>
                </c:pt>
                <c:pt idx="892">
                  <c:v>3.0565342729019864E-2</c:v>
                </c:pt>
                <c:pt idx="893">
                  <c:v>3.0531115021596552E-2</c:v>
                </c:pt>
                <c:pt idx="894">
                  <c:v>3.0496963886225636E-2</c:v>
                </c:pt>
                <c:pt idx="895">
                  <c:v>3.046288906624103E-2</c:v>
                </c:pt>
                <c:pt idx="896">
                  <c:v>3.042889030612245E-2</c:v>
                </c:pt>
                <c:pt idx="897">
                  <c:v>3.0394967351489093E-2</c:v>
                </c:pt>
                <c:pt idx="898">
                  <c:v>3.0361119949093227E-2</c:v>
                </c:pt>
                <c:pt idx="899">
                  <c:v>3.0327347846813926E-2</c:v>
                </c:pt>
                <c:pt idx="900">
                  <c:v>3.02936507936508E-2</c:v>
                </c:pt>
                <c:pt idx="901">
                  <c:v>3.0260028539717779E-2</c:v>
                </c:pt>
                <c:pt idx="902">
                  <c:v>3.0226480836236941E-2</c:v>
                </c:pt>
                <c:pt idx="903">
                  <c:v>3.0193007435532361E-2</c:v>
                </c:pt>
                <c:pt idx="904">
                  <c:v>3.015960809102403E-2</c:v>
                </c:pt>
                <c:pt idx="905">
                  <c:v>3.0126282557221787E-2</c:v>
                </c:pt>
                <c:pt idx="906">
                  <c:v>3.0093030589719336E-2</c:v>
                </c:pt>
                <c:pt idx="907">
                  <c:v>3.0059851945188221E-2</c:v>
                </c:pt>
                <c:pt idx="908">
                  <c:v>3.0026746381371937E-2</c:v>
                </c:pt>
                <c:pt idx="909">
                  <c:v>2.999371365708E-2</c:v>
                </c:pt>
                <c:pt idx="910">
                  <c:v>2.9960753532182111E-2</c:v>
                </c:pt>
                <c:pt idx="911">
                  <c:v>2.9927865767602327E-2</c:v>
                </c:pt>
                <c:pt idx="912">
                  <c:v>2.989505012531329E-2</c:v>
                </c:pt>
                <c:pt idx="913">
                  <c:v>2.9862306368330468E-2</c:v>
                </c:pt>
                <c:pt idx="914">
                  <c:v>2.9829634260706474E-2</c:v>
                </c:pt>
                <c:pt idx="915">
                  <c:v>2.9797033567525374E-2</c:v>
                </c:pt>
                <c:pt idx="916">
                  <c:v>2.9764504054897074E-2</c:v>
                </c:pt>
                <c:pt idx="917">
                  <c:v>2.973204548995171E-2</c:v>
                </c:pt>
                <c:pt idx="918">
                  <c:v>2.9699657640834116E-2</c:v>
                </c:pt>
                <c:pt idx="919">
                  <c:v>2.9667340276698279E-2</c:v>
                </c:pt>
                <c:pt idx="920">
                  <c:v>2.9635093167701871E-2</c:v>
                </c:pt>
                <c:pt idx="921">
                  <c:v>2.9602916085000777E-2</c:v>
                </c:pt>
                <c:pt idx="922">
                  <c:v>2.9570808800743729E-2</c:v>
                </c:pt>
                <c:pt idx="923">
                  <c:v>2.9538771088066865E-2</c:v>
                </c:pt>
                <c:pt idx="924">
                  <c:v>2.9506802721088441E-2</c:v>
                </c:pt>
                <c:pt idx="925">
                  <c:v>2.9474903474903481E-2</c:v>
                </c:pt>
                <c:pt idx="926">
                  <c:v>2.944307312557853E-2</c:v>
                </c:pt>
                <c:pt idx="927">
                  <c:v>2.9411311450146409E-2</c:v>
                </c:pt>
                <c:pt idx="928">
                  <c:v>2.9379618226600991E-2</c:v>
                </c:pt>
                <c:pt idx="929">
                  <c:v>2.9347993233892058E-2</c:v>
                </c:pt>
                <c:pt idx="930">
                  <c:v>2.9316436251920125E-2</c:v>
                </c:pt>
                <c:pt idx="931">
                  <c:v>2.9284947061531383E-2</c:v>
                </c:pt>
                <c:pt idx="932">
                  <c:v>2.9253525444512572E-2</c:v>
                </c:pt>
                <c:pt idx="933">
                  <c:v>2.9222171183585978E-2</c:v>
                </c:pt>
                <c:pt idx="934">
                  <c:v>2.9190884062404412E-2</c:v>
                </c:pt>
                <c:pt idx="935">
                  <c:v>2.9159663865546224E-2</c:v>
                </c:pt>
                <c:pt idx="936">
                  <c:v>2.9128510378510386E-2</c:v>
                </c:pt>
                <c:pt idx="937">
                  <c:v>2.9097423387711548E-2</c:v>
                </c:pt>
                <c:pt idx="938">
                  <c:v>2.9066402680475178E-2</c:v>
                </c:pt>
                <c:pt idx="939">
                  <c:v>2.9035448045032712E-2</c:v>
                </c:pt>
                <c:pt idx="940">
                  <c:v>2.9004559270516719E-2</c:v>
                </c:pt>
                <c:pt idx="941">
                  <c:v>2.8973736146956131E-2</c:v>
                </c:pt>
                <c:pt idx="942">
                  <c:v>2.8942978465271465E-2</c:v>
                </c:pt>
                <c:pt idx="943">
                  <c:v>2.8912286017270115E-2</c:v>
                </c:pt>
                <c:pt idx="944">
                  <c:v>2.8881658595641652E-2</c:v>
                </c:pt>
                <c:pt idx="945">
                  <c:v>2.8851095993953142E-2</c:v>
                </c:pt>
                <c:pt idx="946">
                  <c:v>2.8820598006644521E-2</c:v>
                </c:pt>
                <c:pt idx="947">
                  <c:v>2.8790164429023987E-2</c:v>
                </c:pt>
                <c:pt idx="948">
                  <c:v>2.8759795057263414E-2</c:v>
                </c:pt>
                <c:pt idx="949">
                  <c:v>2.8729489688393801E-2</c:v>
                </c:pt>
                <c:pt idx="950">
                  <c:v>2.8699248120300756E-2</c:v>
                </c:pt>
                <c:pt idx="951">
                  <c:v>2.8669070151719999E-2</c:v>
                </c:pt>
                <c:pt idx="952">
                  <c:v>2.8638955582232898E-2</c:v>
                </c:pt>
                <c:pt idx="953">
                  <c:v>2.8608904212262035E-2</c:v>
                </c:pt>
                <c:pt idx="954">
                  <c:v>2.8578915843066793E-2</c:v>
                </c:pt>
                <c:pt idx="955">
                  <c:v>2.8548990276738972E-2</c:v>
                </c:pt>
                <c:pt idx="956">
                  <c:v>2.8519127316198448E-2</c:v>
                </c:pt>
                <c:pt idx="957">
                  <c:v>2.8489326765188838E-2</c:v>
                </c:pt>
                <c:pt idx="958">
                  <c:v>2.8459588428273192E-2</c:v>
                </c:pt>
                <c:pt idx="959">
                  <c:v>2.8429912110829739E-2</c:v>
                </c:pt>
                <c:pt idx="960">
                  <c:v>2.8400297619047624E-2</c:v>
                </c:pt>
                <c:pt idx="961">
                  <c:v>2.8370744759922704E-2</c:v>
                </c:pt>
                <c:pt idx="962">
                  <c:v>2.8341253341253349E-2</c:v>
                </c:pt>
                <c:pt idx="963">
                  <c:v>2.8311823171636257E-2</c:v>
                </c:pt>
                <c:pt idx="964">
                  <c:v>2.8282454060462363E-2</c:v>
                </c:pt>
                <c:pt idx="965">
                  <c:v>2.8253145817912662E-2</c:v>
                </c:pt>
                <c:pt idx="966">
                  <c:v>2.8223898254954159E-2</c:v>
                </c:pt>
                <c:pt idx="967">
                  <c:v>2.8194711183335799E-2</c:v>
                </c:pt>
                <c:pt idx="968">
                  <c:v>2.8165584415584421E-2</c:v>
                </c:pt>
                <c:pt idx="969">
                  <c:v>2.8136517765000743E-2</c:v>
                </c:pt>
                <c:pt idx="970">
                  <c:v>2.810751104565538E-2</c:v>
                </c:pt>
                <c:pt idx="971">
                  <c:v>2.8078564072384876E-2</c:v>
                </c:pt>
                <c:pt idx="972">
                  <c:v>2.8049676660787774E-2</c:v>
                </c:pt>
                <c:pt idx="973">
                  <c:v>2.8020848627220676E-2</c:v>
                </c:pt>
                <c:pt idx="974">
                  <c:v>2.7992079788794373E-2</c:v>
                </c:pt>
                <c:pt idx="975">
                  <c:v>2.7963369963369969E-2</c:v>
                </c:pt>
                <c:pt idx="976">
                  <c:v>2.7934718969555041E-2</c:v>
                </c:pt>
                <c:pt idx="977">
                  <c:v>2.7906126626699817E-2</c:v>
                </c:pt>
                <c:pt idx="978">
                  <c:v>2.7877592754893373E-2</c:v>
                </c:pt>
                <c:pt idx="979">
                  <c:v>2.784911717495988E-2</c:v>
                </c:pt>
                <c:pt idx="980">
                  <c:v>2.7820699708454813E-2</c:v>
                </c:pt>
                <c:pt idx="981">
                  <c:v>2.779234017766128E-2</c:v>
                </c:pt>
                <c:pt idx="982">
                  <c:v>2.7764038405586271E-2</c:v>
                </c:pt>
                <c:pt idx="983">
                  <c:v>2.7735794215956986E-2</c:v>
                </c:pt>
                <c:pt idx="984">
                  <c:v>2.7707607433217193E-2</c:v>
                </c:pt>
                <c:pt idx="985">
                  <c:v>2.7679477882523573E-2</c:v>
                </c:pt>
                <c:pt idx="986">
                  <c:v>2.7651405389742111E-2</c:v>
                </c:pt>
                <c:pt idx="987">
                  <c:v>2.7623389781444501E-2</c:v>
                </c:pt>
                <c:pt idx="988">
                  <c:v>2.759543088490457E-2</c:v>
                </c:pt>
                <c:pt idx="989">
                  <c:v>2.756752852809476E-2</c:v>
                </c:pt>
                <c:pt idx="990">
                  <c:v>2.7539682539682545E-2</c:v>
                </c:pt>
                <c:pt idx="991">
                  <c:v>2.7511892749026962E-2</c:v>
                </c:pt>
                <c:pt idx="992">
                  <c:v>2.7484158986175119E-2</c:v>
                </c:pt>
                <c:pt idx="993">
                  <c:v>2.7456481081858729E-2</c:v>
                </c:pt>
                <c:pt idx="994">
                  <c:v>2.7428858867490663E-2</c:v>
                </c:pt>
                <c:pt idx="995">
                  <c:v>2.7401292175161528E-2</c:v>
                </c:pt>
                <c:pt idx="996">
                  <c:v>2.7373780837636263E-2</c:v>
                </c:pt>
                <c:pt idx="997">
                  <c:v>2.734632468835077E-2</c:v>
                </c:pt>
                <c:pt idx="998">
                  <c:v>2.7318923561408536E-2</c:v>
                </c:pt>
                <c:pt idx="999">
                  <c:v>2.7291577291577294E-2</c:v>
                </c:pt>
                <c:pt idx="1000">
                  <c:v>2.726428571428572E-2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5-4314-90B0-E78B437D8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2122688"/>
        <c:axId val="1440796272"/>
      </c:scatterChart>
      <c:valAx>
        <c:axId val="154212268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rtl="1"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David" panose="020E0502060401010101" pitchFamily="34" charset="-79"/>
                    <a:ea typeface="+mn-ea"/>
                    <a:cs typeface="David" panose="020E0502060401010101" pitchFamily="34" charset="-79"/>
                  </a:defRPr>
                </a:pPr>
                <a:r>
                  <a:rPr lang="en-US"/>
                  <a:t>T [sec]</a:t>
                </a:r>
                <a:r>
                  <a:rPr lang="he-IL"/>
                  <a:t> - זמן המחזור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rtl="1"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David" panose="020E0502060401010101" pitchFamily="34" charset="-79"/>
                  <a:ea typeface="+mn-ea"/>
                  <a:cs typeface="David" panose="020E0502060401010101" pitchFamily="34" charset="-79"/>
                </a:defRPr>
              </a:pPr>
              <a:endParaRPr lang="en-I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David" panose="020E0502060401010101" pitchFamily="34" charset="-79"/>
                <a:ea typeface="+mn-ea"/>
                <a:cs typeface="David" panose="020E0502060401010101" pitchFamily="34" charset="-79"/>
              </a:defRPr>
            </a:pPr>
            <a:endParaRPr lang="en-IL"/>
          </a:p>
        </c:txPr>
        <c:crossAx val="1440796272"/>
        <c:crosses val="autoZero"/>
        <c:crossBetween val="midCat"/>
      </c:valAx>
      <c:valAx>
        <c:axId val="144079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rtl="1"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David" panose="020E0502060401010101" pitchFamily="34" charset="-79"/>
                    <a:ea typeface="+mn-ea"/>
                    <a:cs typeface="David" panose="020E0502060401010101" pitchFamily="34" charset="-79"/>
                  </a:defRPr>
                </a:pPr>
                <a:r>
                  <a:rPr lang="en-US"/>
                  <a:t>Sa [g]</a:t>
                </a:r>
                <a:r>
                  <a:rPr lang="he-IL"/>
                  <a:t> - מקדם תאוצת התכן הספקטרית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rtl="1"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David" panose="020E0502060401010101" pitchFamily="34" charset="-79"/>
                  <a:ea typeface="+mn-ea"/>
                  <a:cs typeface="David" panose="020E0502060401010101" pitchFamily="34" charset="-79"/>
                </a:defRPr>
              </a:pPr>
              <a:endParaRPr lang="en-I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David" panose="020E0502060401010101" pitchFamily="34" charset="-79"/>
                <a:ea typeface="+mn-ea"/>
                <a:cs typeface="David" panose="020E0502060401010101" pitchFamily="34" charset="-79"/>
              </a:defRPr>
            </a:pPr>
            <a:endParaRPr lang="en-IL"/>
          </a:p>
        </c:txPr>
        <c:crossAx val="1542122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David" panose="020E0502060401010101" pitchFamily="34" charset="-79"/>
              <a:ea typeface="+mn-ea"/>
              <a:cs typeface="David" panose="020E0502060401010101" pitchFamily="34" charset="-79"/>
            </a:defRPr>
          </a:pPr>
          <a:endParaRPr lang="en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 rtl="1">
        <a:defRPr b="0">
          <a:latin typeface="David" panose="020E0502060401010101" pitchFamily="34" charset="-79"/>
          <a:cs typeface="David" panose="020E0502060401010101" pitchFamily="34" charset="-79"/>
        </a:defRPr>
      </a:pPr>
      <a:endParaRPr lang="en-I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588441</xdr:colOff>
      <xdr:row>8</xdr:row>
      <xdr:rowOff>166688</xdr:rowOff>
    </xdr:from>
    <xdr:to>
      <xdr:col>23</xdr:col>
      <xdr:colOff>598394</xdr:colOff>
      <xdr:row>28</xdr:row>
      <xdr:rowOff>19050</xdr:rowOff>
    </xdr:to>
    <xdr:graphicFrame macro="">
      <xdr:nvGraphicFramePr>
        <xdr:cNvPr id="3" name="תרשים 2">
          <a:extLst>
            <a:ext uri="{FF2B5EF4-FFF2-40B4-BE49-F238E27FC236}">
              <a16:creationId xmlns:a16="http://schemas.microsoft.com/office/drawing/2014/main" id="{2AED421B-710E-44F8-989F-06A0E335BA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190500</xdr:colOff>
      <xdr:row>36</xdr:row>
      <xdr:rowOff>123825</xdr:rowOff>
    </xdr:from>
    <xdr:to>
      <xdr:col>23</xdr:col>
      <xdr:colOff>600075</xdr:colOff>
      <xdr:row>39</xdr:row>
      <xdr:rowOff>76200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5FFB1389-8CC6-03CE-BEF0-9D605B6A3040}"/>
            </a:ext>
          </a:extLst>
        </xdr:cNvPr>
        <xdr:cNvGrpSpPr/>
      </xdr:nvGrpSpPr>
      <xdr:grpSpPr>
        <a:xfrm>
          <a:off x="10284742575" y="6296025"/>
          <a:ext cx="1038225" cy="466725"/>
          <a:chOff x="9973065525" y="6638925"/>
          <a:chExt cx="1019175" cy="495300"/>
        </a:xfrm>
      </xdr:grpSpPr>
      <xdr:sp macro="[0]!COPYCD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C6E4D715-8DC5-41A9-B7AC-52A66CD0F3C2}"/>
              </a:ext>
            </a:extLst>
          </xdr:cNvPr>
          <xdr:cNvSpPr/>
        </xdr:nvSpPr>
        <xdr:spPr>
          <a:xfrm>
            <a:off x="9973065525" y="6638925"/>
            <a:ext cx="1019175" cy="495300"/>
          </a:xfrm>
          <a:prstGeom prst="roundRect">
            <a:avLst/>
          </a:prstGeom>
          <a:solidFill>
            <a:srgbClr val="FF0000"/>
          </a:solidFill>
          <a:ln w="28575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 rtl="1"/>
            <a:r>
              <a:rPr lang="he-IL" sz="1200" b="1">
                <a:latin typeface="David" panose="020E0502060401010101" pitchFamily="34" charset="-79"/>
                <a:cs typeface="David" panose="020E0502060401010101" pitchFamily="34" charset="-79"/>
              </a:rPr>
              <a:t>      </a:t>
            </a:r>
            <a:r>
              <a:rPr lang="en-US" sz="1200" b="1">
                <a:latin typeface="David" panose="020E0502060401010101" pitchFamily="34" charset="-79"/>
                <a:cs typeface="David" panose="020E0502060401010101" pitchFamily="34" charset="-79"/>
              </a:rPr>
              <a:t>   </a:t>
            </a:r>
            <a:r>
              <a:rPr lang="he-IL" sz="1200" b="1">
                <a:latin typeface="David" panose="020E0502060401010101" pitchFamily="34" charset="-79"/>
                <a:cs typeface="David" panose="020E0502060401010101" pitchFamily="34" charset="-79"/>
              </a:rPr>
              <a:t> העתקת</a:t>
            </a:r>
            <a:endParaRPr lang="he-IL" sz="1200" b="1" baseline="0">
              <a:latin typeface="David" panose="020E0502060401010101" pitchFamily="34" charset="-79"/>
              <a:cs typeface="David" panose="020E0502060401010101" pitchFamily="34" charset="-79"/>
            </a:endParaRPr>
          </a:p>
          <a:p>
            <a:pPr algn="r" rtl="1"/>
            <a:r>
              <a:rPr lang="he-IL" sz="1200" b="1" baseline="0">
                <a:latin typeface="David" panose="020E0502060401010101" pitchFamily="34" charset="-79"/>
                <a:cs typeface="David" panose="020E0502060401010101" pitchFamily="34" charset="-79"/>
              </a:rPr>
              <a:t>          </a:t>
            </a:r>
            <a:r>
              <a:rPr lang="en-US" sz="1200" b="1" baseline="0">
                <a:latin typeface="David" panose="020E0502060401010101" pitchFamily="34" charset="-79"/>
                <a:cs typeface="David" panose="020E0502060401010101" pitchFamily="34" charset="-79"/>
              </a:rPr>
              <a:t>C</a:t>
            </a:r>
            <a:r>
              <a:rPr lang="en-US" sz="1200" b="1" baseline="-25000">
                <a:latin typeface="David" panose="020E0502060401010101" pitchFamily="34" charset="-79"/>
                <a:cs typeface="David" panose="020E0502060401010101" pitchFamily="34" charset="-79"/>
              </a:rPr>
              <a:t>d</a:t>
            </a:r>
            <a:endParaRPr lang="he-IL" sz="1200" b="1" baseline="-25000">
              <a:latin typeface="David" panose="020E0502060401010101" pitchFamily="34" charset="-79"/>
              <a:cs typeface="David" panose="020E0502060401010101" pitchFamily="34" charset="-79"/>
            </a:endParaRPr>
          </a:p>
        </xdr:txBody>
      </xdr:sp>
      <xdr:pic macro="[0]!COPYCD">
        <xdr:nvPicPr>
          <xdr:cNvPr id="6" name="Graphic 5" descr="Circle with left arrow with solid fill">
            <a:extLst>
              <a:ext uri="{FF2B5EF4-FFF2-40B4-BE49-F238E27FC236}">
                <a16:creationId xmlns:a16="http://schemas.microsoft.com/office/drawing/2014/main" id="{ABBADD55-3E1F-80CE-12CA-917EE4242B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973675125" y="6705600"/>
            <a:ext cx="371475" cy="371475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6483B-2FB4-4D64-B20B-C64998AF2ADE}">
  <sheetPr codeName="Sheet1"/>
  <dimension ref="A1:AQ43"/>
  <sheetViews>
    <sheetView showGridLines="0" rightToLeft="1" tabSelected="1" zoomScale="80" zoomScaleNormal="80" workbookViewId="0">
      <selection activeCell="D9" sqref="D9:E9"/>
    </sheetView>
  </sheetViews>
  <sheetFormatPr defaultColWidth="9.109375" defaultRowHeight="0" customHeight="1" zeroHeight="1" x14ac:dyDescent="0.25"/>
  <cols>
    <col min="1" max="1" width="6.88671875" style="32" customWidth="1"/>
    <col min="2" max="2" width="9.109375" style="32" customWidth="1"/>
    <col min="3" max="4" width="9.109375" style="32"/>
    <col min="5" max="7" width="9.109375" style="32" customWidth="1"/>
    <col min="8" max="11" width="9.109375" style="32"/>
    <col min="12" max="12" width="9.88671875" style="32" bestFit="1" customWidth="1"/>
    <col min="13" max="13" width="9.109375" style="32"/>
    <col min="14" max="14" width="9.88671875" style="32" bestFit="1" customWidth="1"/>
    <col min="15" max="16" width="9.109375" style="32"/>
    <col min="17" max="17" width="9.88671875" style="32" bestFit="1" customWidth="1"/>
    <col min="18" max="16384" width="9.109375" style="32"/>
  </cols>
  <sheetData>
    <row r="1" spans="1:39" ht="14.25" customHeight="1" thickBot="1" x14ac:dyDescent="0.35">
      <c r="A1" s="32" t="s">
        <v>0</v>
      </c>
      <c r="AJ1"/>
    </row>
    <row r="2" spans="1:39" ht="14.25" customHeight="1" thickTop="1" x14ac:dyDescent="0.25">
      <c r="B2" s="50" t="s">
        <v>1</v>
      </c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</row>
    <row r="3" spans="1:39" ht="14.25" customHeight="1" x14ac:dyDescent="0.25"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</row>
    <row r="4" spans="1:39" ht="14.25" customHeight="1" thickBot="1" x14ac:dyDescent="0.3"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</row>
    <row r="5" spans="1:39" ht="14.25" customHeight="1" thickTop="1" x14ac:dyDescent="0.25"/>
    <row r="6" spans="1:39" ht="14.25" customHeight="1" x14ac:dyDescent="0.25">
      <c r="B6" s="63" t="s">
        <v>2</v>
      </c>
      <c r="C6" s="63"/>
      <c r="D6" s="63"/>
      <c r="E6" s="63"/>
      <c r="F6" s="63"/>
      <c r="G6" s="63"/>
      <c r="H6" s="63"/>
      <c r="I6" s="63"/>
      <c r="K6" s="58" t="str">
        <f>"ספקטרום התגובה לתכן עבור "&amp;D9&amp;", סוג קרקע "&amp;D10&amp;", רמת חשיבות "&amp;D11&amp;" ומנת ריסון "&amp;ROUND(D12*100,3)&amp;"%"</f>
        <v>ספקטרום התגובה לתכן עבור ירושלים, סוג קרקע E, רמת חשיבות א ומנת ריסון 5%</v>
      </c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</row>
    <row r="7" spans="1:39" ht="14.25" customHeight="1" x14ac:dyDescent="0.25">
      <c r="B7" s="64"/>
      <c r="C7" s="64"/>
      <c r="D7" s="64"/>
      <c r="E7" s="64"/>
      <c r="F7" s="64"/>
      <c r="G7" s="64"/>
      <c r="H7" s="64"/>
      <c r="I7" s="64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</row>
    <row r="8" spans="1:39" ht="14.25" customHeight="1" x14ac:dyDescent="0.25"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</row>
    <row r="9" spans="1:39" ht="14.25" customHeight="1" x14ac:dyDescent="0.25">
      <c r="B9" s="53" t="s">
        <v>3</v>
      </c>
      <c r="C9" s="53"/>
      <c r="D9" s="56" t="s">
        <v>4</v>
      </c>
      <c r="E9" s="56" t="s">
        <v>4</v>
      </c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</row>
    <row r="10" spans="1:39" ht="14.25" customHeight="1" x14ac:dyDescent="0.25">
      <c r="B10" s="53" t="s">
        <v>5</v>
      </c>
      <c r="C10" s="53"/>
      <c r="D10" s="56" t="s">
        <v>6</v>
      </c>
      <c r="E10" s="56"/>
    </row>
    <row r="11" spans="1:39" ht="14.25" customHeight="1" x14ac:dyDescent="0.25">
      <c r="B11" s="53" t="s">
        <v>7</v>
      </c>
      <c r="C11" s="53"/>
      <c r="D11" s="56" t="s">
        <v>8</v>
      </c>
      <c r="E11" s="56"/>
    </row>
    <row r="12" spans="1:39" ht="14.25" customHeight="1" x14ac:dyDescent="0.25">
      <c r="B12" s="53" t="s">
        <v>9</v>
      </c>
      <c r="C12" s="53"/>
      <c r="D12" s="57">
        <v>0.05</v>
      </c>
      <c r="E12" s="57"/>
    </row>
    <row r="13" spans="1:39" ht="14.25" customHeight="1" x14ac:dyDescent="0.25">
      <c r="B13" s="83" t="s">
        <v>10</v>
      </c>
      <c r="C13" s="83"/>
      <c r="D13" s="82">
        <f>IF(SQRT(10/(5+D12*100))&gt;0.82,SQRT(10/(5+D12*100)),0.82)</f>
        <v>1</v>
      </c>
      <c r="E13" s="82"/>
    </row>
    <row r="14" spans="1:39" ht="14.25" customHeight="1" x14ac:dyDescent="0.25"/>
    <row r="15" spans="1:39" ht="14.25" customHeight="1" x14ac:dyDescent="0.3">
      <c r="B15" s="59" t="str">
        <f>IF(OR(D11="א",D11="ב"),"ע""פ 202.1.1, התכן יתבסס ע""פ Sa המחמיר מבין אלה:","ע""פ 202.1.1, התכן יתבסס ע""פ:")</f>
        <v>ע"פ 202.1.1, התכן יתבסס ע"פ Sa המחמיר מבין אלה:</v>
      </c>
      <c r="C15" s="59"/>
      <c r="D15" s="59"/>
      <c r="E15" s="59"/>
      <c r="F15" s="59"/>
      <c r="G15" s="59"/>
      <c r="AM15"/>
    </row>
    <row r="16" spans="1:39" ht="14.25" customHeight="1" x14ac:dyDescent="0.25">
      <c r="B16" s="60" t="str">
        <f>"10%"&amp;CHAR(64)&amp;"50years"</f>
        <v>10%@50years</v>
      </c>
      <c r="C16" s="61"/>
      <c r="D16" s="62"/>
      <c r="E16" s="60" t="str">
        <f>IF(D11="א","2%"&amp;CHAR(64)&amp;"50years / 1.4",IF(D11="ב","5%"&amp;CHAR(64)&amp;"50years / 1.2",""))</f>
        <v>2%@50years / 1.4</v>
      </c>
      <c r="F16" s="61"/>
      <c r="G16" s="62"/>
    </row>
    <row r="17" spans="2:43" ht="14.25" customHeight="1" x14ac:dyDescent="0.25">
      <c r="B17" s="33" t="s">
        <v>11</v>
      </c>
      <c r="C17" s="5" t="s">
        <v>12</v>
      </c>
      <c r="D17" s="6" t="s">
        <v>13</v>
      </c>
      <c r="E17" s="5" t="s">
        <v>11</v>
      </c>
      <c r="F17" s="5" t="s">
        <v>12</v>
      </c>
      <c r="G17" s="6" t="s">
        <v>13</v>
      </c>
    </row>
    <row r="18" spans="2:43" ht="14.25" customHeight="1" x14ac:dyDescent="0.25">
      <c r="B18" s="34">
        <f>INDEX('S2'!D3:F1298,MATCH(D9,'S2'!A3:A1298),1)</f>
        <v>0.1</v>
      </c>
      <c r="C18" s="16">
        <f>INDEX('S2'!D3:F1298,MATCH(D9,'S2'!A3:A1298),2)</f>
        <v>0.26</v>
      </c>
      <c r="D18" s="35">
        <f>INDEX('S2'!D3:F1298,MATCH(D9,'S2'!A3:A1298),3)</f>
        <v>0.06</v>
      </c>
      <c r="E18" s="16">
        <f>IF(D11="א",
INDEX('S2'!G3:L1298,MATCH(D9,'S2'!A3:A1298),4),
IF(D11="ב",
INDEX('S2'!G3:L1298,MATCH(D9,'S2'!A3:A1298),1),
""))</f>
        <v>0.16</v>
      </c>
      <c r="F18" s="16">
        <f>IF(D11="א",
INDEX('S2'!G3:L1298,MATCH(D9,'S2'!A3:A1298),5),
IF(D11="ב",
INDEX('S2'!G3:L1298,MATCH(D9,'S2'!A3:A1298),2),
""))</f>
        <v>0.43</v>
      </c>
      <c r="G18" s="4">
        <f>IF(D11="א",
INDEX('S2'!G3:L1298,MATCH(D9,'S2'!A3:A1298),6),
IF(D11="ב",
INDEX('S2'!G3:L1298,MATCH(D9,'S2'!A3:A1298),3),
""))</f>
        <v>0.11</v>
      </c>
    </row>
    <row r="19" spans="2:43" ht="14.25" customHeight="1" x14ac:dyDescent="0.3">
      <c r="B19" s="54" t="s">
        <v>14</v>
      </c>
      <c r="C19" s="55"/>
      <c r="D19" s="2" t="s">
        <v>15</v>
      </c>
      <c r="E19" s="18" t="str">
        <f>IF(D11="א","/1.4",IF(D11="ב","/1.2",""))</f>
        <v>/1.4</v>
      </c>
      <c r="F19" s="19" t="s">
        <v>14</v>
      </c>
      <c r="G19" s="2" t="s">
        <v>15</v>
      </c>
    </row>
    <row r="20" spans="2:43" ht="14.25" customHeight="1" x14ac:dyDescent="0.25">
      <c r="B20" s="85">
        <f>D20*C18</f>
        <v>0.64168000000000003</v>
      </c>
      <c r="C20" s="86"/>
      <c r="D20" s="3" cm="1">
        <f t="array" ref="D20">Fa(C18,D10)</f>
        <v>2.468</v>
      </c>
      <c r="E20" s="86">
        <f>IF(D11="א",G20*F18/1.4,IF(D11="ב",G20*F18/1.2,""))</f>
        <v>0.5909428571428571</v>
      </c>
      <c r="F20" s="86"/>
      <c r="G20" s="3" cm="1">
        <f t="array" ref="G20">IF(D11="ג","",Fa(F18,D10))</f>
        <v>1.9239999999999999</v>
      </c>
    </row>
    <row r="21" spans="2:43" ht="14.25" customHeight="1" x14ac:dyDescent="0.3">
      <c r="B21" s="54" t="s">
        <v>16</v>
      </c>
      <c r="C21" s="55"/>
      <c r="D21" s="2" t="s">
        <v>17</v>
      </c>
      <c r="E21" s="18" t="str">
        <f>IF(D11="א","/1.4",IF(D11="ב","/1.2",""))</f>
        <v>/1.4</v>
      </c>
      <c r="F21" s="19" t="s">
        <v>16</v>
      </c>
      <c r="G21" s="2" t="s">
        <v>17</v>
      </c>
    </row>
    <row r="22" spans="2:43" ht="14.25" customHeight="1" x14ac:dyDescent="0.25">
      <c r="B22" s="85">
        <f>D22*D18</f>
        <v>0.21</v>
      </c>
      <c r="C22" s="86"/>
      <c r="D22" s="3" cm="1">
        <f t="array" ref="D22">nm(D18,D10)</f>
        <v>3.5</v>
      </c>
      <c r="E22" s="86">
        <f>IF(D11="א",G22*G18/1.4,IF(D11="ב",G22*G18/1.2,""))</f>
        <v>0.27264285714285719</v>
      </c>
      <c r="F22" s="86"/>
      <c r="G22" s="3" cm="1">
        <f t="array" ref="G22">IF(D11="ג","",nm(G18,D10))</f>
        <v>3.47</v>
      </c>
    </row>
    <row r="23" spans="2:43" ht="14.25" customHeight="1" x14ac:dyDescent="0.25">
      <c r="B23" s="36" t="s">
        <v>18</v>
      </c>
      <c r="C23" s="15" t="s">
        <v>19</v>
      </c>
      <c r="D23" s="1" t="s">
        <v>20</v>
      </c>
      <c r="E23" s="15" t="s">
        <v>18</v>
      </c>
      <c r="F23" s="15" t="s">
        <v>19</v>
      </c>
      <c r="G23" s="1" t="s">
        <v>20</v>
      </c>
    </row>
    <row r="24" spans="2:43" ht="14.25" customHeight="1" x14ac:dyDescent="0.3">
      <c r="B24" s="37">
        <f>INDEX('S2'!M3:M1298,MATCH(D9,'S2'!A3:A1298,0))</f>
        <v>7</v>
      </c>
      <c r="C24" s="21">
        <f>B22/B20</f>
        <v>0.32726592694177781</v>
      </c>
      <c r="D24" s="20">
        <f>0.2*B22/B20</f>
        <v>6.5453185388355567E-2</v>
      </c>
      <c r="E24" s="17">
        <f>IF(D11="א",INDEX('S2'!O3:O1298,MATCH(D9,'S2'!A3:A1298,0)),IF(D11="ב",INDEX('S2'!N3:N1298,MATCH(D9,'S2'!A3:A1298,0)),""))</f>
        <v>10</v>
      </c>
      <c r="F24" s="21">
        <f>IFERROR(E22/E20,"")</f>
        <v>0.46136924043900801</v>
      </c>
      <c r="G24" s="20">
        <f>IFERROR(0.2*E22/E20,"")</f>
        <v>9.2273848087801605E-2</v>
      </c>
      <c r="AQ24"/>
    </row>
    <row r="25" spans="2:43" ht="14.25" customHeight="1" x14ac:dyDescent="0.25"/>
    <row r="26" spans="2:43" ht="14.25" customHeight="1" x14ac:dyDescent="0.25">
      <c r="B26" s="80" t="str">
        <f>"10%"&amp;CHAR(64)&amp;"50years"</f>
        <v>10%@50years</v>
      </c>
      <c r="C26" s="80"/>
      <c r="D26" s="80"/>
      <c r="E26" s="81"/>
      <c r="F26" s="81"/>
      <c r="G26" s="81"/>
    </row>
    <row r="27" spans="2:43" ht="14.25" customHeight="1" x14ac:dyDescent="0.25">
      <c r="B27" s="88" t="str">
        <f>"0 &lt; T &lt; "&amp;ROUND(D24,4)</f>
        <v>0 &lt; T &lt; 0.0655</v>
      </c>
      <c r="C27" s="88"/>
      <c r="D27" s="88"/>
      <c r="E27" s="87" t="str">
        <f>"Sa(T) = "&amp;ROUND(B20*D13,4)&amp;"*("&amp;ROUND(B18,4)&amp;"/"&amp;ROUND(C18,4)&amp;"+(1-"&amp;ROUND(B18,4)&amp;"/"&amp;ROUND(C18,4)&amp;")*T/"&amp;ROUND(D24,4)&amp;")"</f>
        <v>Sa(T) = 0.6417*(0.1/0.26+(1-0.1/0.26)*T/0.0655)</v>
      </c>
      <c r="F27" s="87"/>
      <c r="G27" s="87"/>
      <c r="H27" s="87"/>
      <c r="I27" s="87"/>
    </row>
    <row r="28" spans="2:43" ht="14.25" customHeight="1" x14ac:dyDescent="0.25">
      <c r="B28" s="88" t="str">
        <f>ROUND(D24,4)&amp;" &lt; T &lt; "&amp;ROUND(C24,4)</f>
        <v>0.0655 &lt; T &lt; 0.3273</v>
      </c>
      <c r="C28" s="88"/>
      <c r="D28" s="88" t="str">
        <f>ROUND(D24,4)&amp;" &lt; T &lt; "&amp;ROUND(C24,4)</f>
        <v>0.0655 &lt; T &lt; 0.3273</v>
      </c>
      <c r="E28" s="87" t="str">
        <f>"Sa(T) = "&amp;ROUND(B20*D13,4)</f>
        <v>Sa(T) = 0.6417</v>
      </c>
      <c r="F28" s="87"/>
      <c r="G28" s="87"/>
      <c r="H28" s="87"/>
      <c r="I28" s="87"/>
    </row>
    <row r="29" spans="2:43" ht="14.25" customHeight="1" x14ac:dyDescent="0.25">
      <c r="B29" s="88" t="str">
        <f>ROUND(C24,4)&amp;" &lt; T &lt; "&amp;ROUND(B24,4)</f>
        <v>0.3273 &lt; T &lt; 7</v>
      </c>
      <c r="C29" s="88"/>
      <c r="D29" s="88"/>
      <c r="E29" s="87" t="str">
        <f>"Sa(T) = "&amp;ROUND(B22*D13,4)&amp;"/T"</f>
        <v>Sa(T) = 0.21/T</v>
      </c>
      <c r="F29" s="87"/>
      <c r="G29" s="87"/>
      <c r="H29" s="87"/>
      <c r="I29" s="87"/>
    </row>
    <row r="30" spans="2:43" ht="14.25" customHeight="1" x14ac:dyDescent="0.25">
      <c r="B30" s="89" t="str">
        <f>ROUND(B24,4)&amp;" &lt; T"</f>
        <v>7 &lt; T</v>
      </c>
      <c r="C30" s="89"/>
      <c r="D30" s="89"/>
      <c r="E30" s="87" t="str">
        <f>"Sa(T) = "&amp;ROUND(B22*D13,4)&amp;"*"&amp;ROUND(B24,4)&amp;"/(T^2)"</f>
        <v>Sa(T) = 0.21*7/(T^2)</v>
      </c>
      <c r="F30" s="87"/>
      <c r="G30" s="87"/>
      <c r="H30" s="87"/>
      <c r="I30" s="87"/>
      <c r="P30" s="69" t="s">
        <v>21</v>
      </c>
      <c r="Q30" s="69"/>
      <c r="R30" s="56">
        <v>2.1</v>
      </c>
      <c r="S30" s="56"/>
      <c r="U30" s="38" t="s">
        <v>22</v>
      </c>
      <c r="V30" s="39" t="str">
        <f>IF(IF(R30&lt;D24,B20*(B18/C18+(1-B18/C18)*R30/D24),IF(R30&lt;C24,B20,IF(R30&lt;B24,B22/R30,B22*B24/(R30^2))))*D13&gt;IFERROR(IF(R30&lt;G24,E20*(E18/F18+(1-E18/F18)*R30/G24),IF(R30&lt;F24,E20,IF(R30&lt;E24,E22/R30,E22*E24/(R30^2))))*D13,0),1,RIGHT(E19,3))</f>
        <v>1.4</v>
      </c>
      <c r="W30" s="40" t="s">
        <v>23</v>
      </c>
      <c r="X30" s="39">
        <f>R35*V30/V33</f>
        <v>7.5734126984126987E-2</v>
      </c>
    </row>
    <row r="31" spans="2:43" ht="14.25" customHeight="1" x14ac:dyDescent="0.25">
      <c r="P31" s="69" t="s">
        <v>24</v>
      </c>
      <c r="Q31" s="69"/>
      <c r="R31" s="56" t="s">
        <v>49</v>
      </c>
      <c r="S31" s="56"/>
      <c r="T31" s="41"/>
      <c r="U31" s="42" t="s">
        <v>11</v>
      </c>
      <c r="V31" s="43">
        <f>IF(IF(R30&lt;D24,B20*(B18/C18+(1-B18/C18)*R30/D24),IF(R30&lt;C24,B20,IF(R30&lt;B24,B22/R30,B22*B24/(R30^2))))*D13&gt;IFERROR(IF(R30&lt;G24,E20*(E18/F18+(1-E18/F18)*R30/G24),IF(R30&lt;F24,E20,IF(R30&lt;E24,E22/R30,E22*E24/(R30^2))))*D13,0),B18,E18)</f>
        <v>0.16</v>
      </c>
      <c r="W31" s="44" t="s">
        <v>26</v>
      </c>
      <c r="X31" s="43">
        <f>0.2*V31*V30</f>
        <v>4.48E-2</v>
      </c>
    </row>
    <row r="32" spans="2:43" ht="14.25" customHeight="1" x14ac:dyDescent="0.25">
      <c r="B32" s="84" t="str">
        <f>IF(D11="א","2%"&amp;CHAR(64)&amp;"50years / 1.4",IF(D11="ב","5%"&amp;CHAR(64)&amp;"50years / 1.2",""))</f>
        <v>2%@50years / 1.4</v>
      </c>
      <c r="C32" s="84"/>
      <c r="D32" s="84"/>
      <c r="P32" s="53" t="s">
        <v>27</v>
      </c>
      <c r="Q32" s="53"/>
      <c r="R32" s="56" t="s">
        <v>79</v>
      </c>
      <c r="S32" s="56"/>
      <c r="T32" s="41"/>
      <c r="U32" s="42" t="s">
        <v>13</v>
      </c>
      <c r="V32" s="43">
        <f>IF(IF(R30&lt;D24,B20*(B18/C18+(1-B18/C18)*R30/D24),IF(R30&lt;C24,B20,IF(R30&lt;B24,B22/R30,B22*B24/(R30^2))))*D13&gt;IFERROR(IF(R30&lt;G24,E20*(E18/F18+(1-E18/F18)*R30/G24),IF(R30&lt;F24,E20,IF(R30&lt;E24,E22/R30,E22*E24/(R30^2))))*D13,0),D18,G18)</f>
        <v>0.11</v>
      </c>
      <c r="W32" s="44" t="s">
        <v>29</v>
      </c>
      <c r="X32" s="43">
        <f>0.015*V30</f>
        <v>2.0999999999999998E-2</v>
      </c>
    </row>
    <row r="33" spans="2:24" ht="14.25" customHeight="1" x14ac:dyDescent="0.25">
      <c r="B33" s="88" t="str">
        <f>IFERROR("0 &lt; T &lt; "&amp;ROUND(G24,4),"")</f>
        <v>0 &lt; T &lt; 0.0923</v>
      </c>
      <c r="C33" s="88"/>
      <c r="D33" s="88"/>
      <c r="E33" s="87" t="str">
        <f>IFERROR("Sa(T) = "&amp;ROUND(E20*D13,4)&amp;"*("&amp;ROUND(E18,4)&amp;"/"&amp;ROUND(F18,4)&amp;"+(1-"&amp;ROUND(E18,4)&amp;"/"&amp;ROUND(F18,4)&amp;")*T/"&amp;ROUND(G24,4)&amp;")","")</f>
        <v>Sa(T) = 0.5909*(0.16/0.43+(1-0.16/0.43)*T/0.0923)</v>
      </c>
      <c r="F33" s="87"/>
      <c r="G33" s="87"/>
      <c r="H33" s="87"/>
      <c r="I33" s="87"/>
      <c r="P33" s="53" t="s">
        <v>30</v>
      </c>
      <c r="Q33" s="53"/>
      <c r="R33" s="56" t="s">
        <v>31</v>
      </c>
      <c r="S33" s="56"/>
      <c r="T33" s="41"/>
      <c r="U33" s="45" t="str">
        <f>IF(AND(R34="לא סדיר",NOT(R31="נמוכה"),OR(R32="מסגרות מרחביות כפיפות מבטון מזוין",R32="מסגרות מרחביות מוקשחות מבטון מזוין",R32="קירות הקשחה או מערכות דואליות מבטון מזוין")),"K מוקטן","K")</f>
        <v>K מוקטן</v>
      </c>
      <c r="V33" s="46">
        <f>IF(AND(R34="לא סדיר",NOT(R31="נמוכה"),OR(R32="מסגרות מרחביות כפיפות מבטון מזוין",R32="מסגרות מרחביות מוקשחות מבטון מזוין",R32="קירות הקשחה או מערכות דואליות מבטון מזוין")),0.8,1)*IF(R32="מסגרות מרחביות כפיפות מבטון מזוין",IF(R31="נמוכה",1.5,IF(R31="בינונית",3.5,IF(R31="גבוהה",5,""))),IF(R32="מסגרות מרחביות מוקשחות מבטון מזוין",IF(R31="נמוכה",1.5,IF(R31="בינונית",3,IF(R31="גבוהה",4.5,""))),IF(R32="קירות הקשחה או מערכות דואליות מבטון מזוין",IF(R31="נמוכה",1.5,IF(R31="בינונית",3,IF(R31="גבוהה",4,""))),IF(R32="ארובות וממגורות מבטון מזוין יצוק באתר שקירותיהן יורדים עד למפלס היסודות, מגדלי קירור, שלטים, אצטבות במחסנים",3.5,IF(R32="ארובות וממגורות (שלא נזכרו לעיל), מתקני ייצור אנכיים, מכלי משפך, מגדלי אנטונות (זיזיים או כבולים), ושאר מבנים עצמאיים (תומכי עצמם) כיוצא בהם",2.8,IF(R32="מבנים זיזיים שבראשם מסה מרוכזת, מתקני שעשועים, אנדרטות",2,""))))))</f>
        <v>2.4000000000000004</v>
      </c>
      <c r="W33" s="47" t="s">
        <v>32</v>
      </c>
      <c r="X33" s="46" t="str">
        <f>IF(AND(R33="סטטית שקילה",V32&gt;0.4),1,"-")</f>
        <v>-</v>
      </c>
    </row>
    <row r="34" spans="2:24" ht="14.25" customHeight="1" x14ac:dyDescent="0.25">
      <c r="B34" s="88" t="str">
        <f>IFERROR(ROUND(G24,4)&amp;" &lt; T &lt; "&amp;ROUND(F24,4),"")</f>
        <v>0.0923 &lt; T &lt; 0.4614</v>
      </c>
      <c r="C34" s="88"/>
      <c r="D34" s="88" t="str">
        <f>ROUND(D30,4)&amp;" &lt; T &lt; "&amp;ROUND(C30,4)</f>
        <v>0 &lt; T &lt; 0</v>
      </c>
      <c r="E34" s="87" t="str">
        <f>IFERROR("Sa(T) = "&amp;ROUND(E20*D13,4),"")</f>
        <v>Sa(T) = 0.5909</v>
      </c>
      <c r="F34" s="87"/>
      <c r="G34" s="87"/>
      <c r="H34" s="87"/>
      <c r="I34" s="87"/>
      <c r="P34" s="69" t="s">
        <v>33</v>
      </c>
      <c r="Q34" s="69"/>
      <c r="R34" s="56" t="s">
        <v>34</v>
      </c>
      <c r="S34" s="56"/>
    </row>
    <row r="35" spans="2:24" ht="14.25" customHeight="1" x14ac:dyDescent="0.25">
      <c r="B35" s="88" t="str">
        <f>IFERROR(ROUND(F24,4)&amp;" &lt; T &lt; "&amp;ROUND(E24,4),"")</f>
        <v>0.4614 &lt; T &lt; 10</v>
      </c>
      <c r="C35" s="88"/>
      <c r="D35" s="88"/>
      <c r="E35" s="87" t="str">
        <f>IFERROR("Sa(T) = "&amp;ROUND(E22*D13,4)&amp;"/T","")</f>
        <v>Sa(T) = 0.2726/T</v>
      </c>
      <c r="F35" s="87"/>
      <c r="G35" s="87"/>
      <c r="H35" s="87"/>
      <c r="I35" s="87"/>
      <c r="P35" s="70" t="s">
        <v>35</v>
      </c>
      <c r="Q35" s="74"/>
      <c r="R35" s="76">
        <f>MAX(IF(R30&lt;D24,B20*(B18/C18+(1-B18/C18)*R30/D24),IF(R30&lt;C24,B20,IF(R30&lt;B24,B22/R30,B22*B24/(R30^2))))*D13,IFERROR(IF(R30&lt;G24,E20*(E18/F18+(1-E18/F18)*R30/G24),IF(R30&lt;F24,E20,IF(R30&lt;E24,E22/R30,E22*E24/(R30^2))))*D13,0))</f>
        <v>0.12982993197278914</v>
      </c>
      <c r="S35" s="77"/>
      <c r="U35" s="70" t="s">
        <v>36</v>
      </c>
      <c r="V35" s="71"/>
      <c r="W35" s="65">
        <f>MAX(X30:X33)</f>
        <v>7.5734126984126987E-2</v>
      </c>
      <c r="X35" s="66"/>
    </row>
    <row r="36" spans="2:24" ht="14.25" customHeight="1" x14ac:dyDescent="0.25">
      <c r="B36" s="89" t="str">
        <f>IFERROR(ROUND(E24,4)&amp;" &lt; T","")</f>
        <v>10 &lt; T</v>
      </c>
      <c r="C36" s="89"/>
      <c r="D36" s="89"/>
      <c r="E36" s="87" t="str">
        <f>IFERROR("Sa(T) = "&amp;ROUND(E22*D13,4)&amp;"*"&amp;ROUND(E24,4)&amp;"/(T^2)","")</f>
        <v>Sa(T) = 0.2726*10/(T^2)</v>
      </c>
      <c r="F36" s="87"/>
      <c r="G36" s="87"/>
      <c r="H36" s="87"/>
      <c r="I36" s="87"/>
      <c r="P36" s="72"/>
      <c r="Q36" s="75"/>
      <c r="R36" s="78" t="str">
        <f>IF(IF(R30&lt;D24,B20*(B18/C18+(1-B18/C18)*R30/D24),IF(R30&lt;C24,B20,IF(R30&lt;B24,B22/R30,B22*B24/(R30^2))))*D13&gt;IFERROR(IF(R30&lt;G24,E20*(E18/F18+(1-E18/F18)*R30/G24),IF(R30&lt;F24,E20,IF(R30&lt;E24,E22/R30,E22*E24/(R30^2))))*D13,0),B16,E16)</f>
        <v>2%@50years / 1.4</v>
      </c>
      <c r="S36" s="79"/>
      <c r="U36" s="72"/>
      <c r="V36" s="73"/>
      <c r="W36" s="67"/>
      <c r="X36" s="68"/>
    </row>
    <row r="37" spans="2:24" ht="14.25" customHeight="1" x14ac:dyDescent="0.25">
      <c r="T37" s="41"/>
    </row>
    <row r="38" spans="2:24" ht="14.25" customHeight="1" x14ac:dyDescent="0.25">
      <c r="L38" s="48"/>
      <c r="M38" s="49"/>
      <c r="Q38" s="41"/>
      <c r="R38" s="41"/>
      <c r="S38" s="41"/>
      <c r="T38" s="41"/>
      <c r="U38" s="41"/>
      <c r="V38" s="41"/>
      <c r="W38" s="41"/>
      <c r="X38" s="41"/>
    </row>
    <row r="39" spans="2:24" ht="14.25" customHeight="1" x14ac:dyDescent="0.25">
      <c r="L39" s="48"/>
      <c r="M39" s="49"/>
      <c r="Q39" s="41"/>
      <c r="R39" s="41"/>
      <c r="S39" s="41"/>
      <c r="T39" s="41"/>
      <c r="U39" s="41"/>
      <c r="V39" s="41"/>
      <c r="W39" s="41"/>
      <c r="X39" s="41"/>
    </row>
    <row r="40" spans="2:24" ht="14.25" customHeight="1" x14ac:dyDescent="0.25">
      <c r="L40" s="48"/>
      <c r="M40" s="49"/>
      <c r="Q40" s="41"/>
      <c r="R40" s="41"/>
      <c r="S40" s="41"/>
      <c r="T40" s="41"/>
      <c r="U40" s="41"/>
      <c r="V40" s="41"/>
      <c r="W40" s="41"/>
      <c r="X40" s="41"/>
    </row>
    <row r="41" spans="2:24" ht="14.25" customHeight="1" x14ac:dyDescent="0.25">
      <c r="L41" s="48"/>
      <c r="M41" s="49"/>
      <c r="Q41" s="41"/>
      <c r="R41" s="41"/>
      <c r="S41" s="41"/>
      <c r="T41" s="41"/>
      <c r="U41" s="41"/>
    </row>
    <row r="42" spans="2:24" ht="14.25" customHeight="1" x14ac:dyDescent="0.25">
      <c r="L42" s="48"/>
      <c r="M42" s="49"/>
      <c r="Q42" s="41"/>
      <c r="R42" s="41"/>
      <c r="S42" s="41"/>
      <c r="T42" s="41"/>
      <c r="U42" s="41"/>
    </row>
    <row r="43" spans="2:24" ht="14.25" customHeight="1" x14ac:dyDescent="0.25"/>
  </sheetData>
  <sheetProtection algorithmName="SHA-512" hashValue="6f3PQTZOoaGH78j/osG9GiNgou1jft3MJiCcp1zqh8QFbMFPDYjLow+pY/9hzwcFmfHDv1WPaFP9tEIdUNd4HA==" saltValue="Tu1+CLyVvgsLqMZabe0mtg==" spinCount="100000" sheet="1" objects="1" scenarios="1" selectLockedCells="1"/>
  <mergeCells count="56">
    <mergeCell ref="B29:D29"/>
    <mergeCell ref="B30:D30"/>
    <mergeCell ref="B33:D33"/>
    <mergeCell ref="B34:D34"/>
    <mergeCell ref="B35:D35"/>
    <mergeCell ref="B36:D36"/>
    <mergeCell ref="E33:I33"/>
    <mergeCell ref="E34:I34"/>
    <mergeCell ref="E35:I35"/>
    <mergeCell ref="E36:I36"/>
    <mergeCell ref="B26:D26"/>
    <mergeCell ref="E26:G26"/>
    <mergeCell ref="D13:E13"/>
    <mergeCell ref="B13:C13"/>
    <mergeCell ref="B32:D32"/>
    <mergeCell ref="B21:C21"/>
    <mergeCell ref="B20:C20"/>
    <mergeCell ref="E20:F20"/>
    <mergeCell ref="B22:C22"/>
    <mergeCell ref="E22:F22"/>
    <mergeCell ref="E27:I27"/>
    <mergeCell ref="E28:I28"/>
    <mergeCell ref="E29:I29"/>
    <mergeCell ref="E30:I30"/>
    <mergeCell ref="B27:D27"/>
    <mergeCell ref="B28:D28"/>
    <mergeCell ref="W35:X36"/>
    <mergeCell ref="P32:Q32"/>
    <mergeCell ref="P31:Q31"/>
    <mergeCell ref="P30:Q30"/>
    <mergeCell ref="R30:S30"/>
    <mergeCell ref="R31:S31"/>
    <mergeCell ref="R32:S32"/>
    <mergeCell ref="P33:Q33"/>
    <mergeCell ref="U35:V36"/>
    <mergeCell ref="P34:Q34"/>
    <mergeCell ref="R34:S34"/>
    <mergeCell ref="R33:S33"/>
    <mergeCell ref="P35:Q36"/>
    <mergeCell ref="R35:S35"/>
    <mergeCell ref="R36:S36"/>
    <mergeCell ref="B2:X4"/>
    <mergeCell ref="B9:C9"/>
    <mergeCell ref="B10:C10"/>
    <mergeCell ref="B11:C11"/>
    <mergeCell ref="B19:C19"/>
    <mergeCell ref="B12:C12"/>
    <mergeCell ref="D9:E9"/>
    <mergeCell ref="D10:E10"/>
    <mergeCell ref="D11:E11"/>
    <mergeCell ref="D12:E12"/>
    <mergeCell ref="K6:X9"/>
    <mergeCell ref="B15:G15"/>
    <mergeCell ref="B16:D16"/>
    <mergeCell ref="E16:G16"/>
    <mergeCell ref="B6:I7"/>
  </mergeCells>
  <phoneticPr fontId="4" type="noConversion"/>
  <pageMargins left="0.7" right="0.7" top="0.75" bottom="0.75" header="0.3" footer="0.3"/>
  <drawing r:id="rId1"/>
  <legacy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showInputMessage="1" showErrorMessage="1" xr:uid="{9BE6097A-E6E9-41F0-ABF0-0E274A935AFD}">
          <x14:formula1>
            <xm:f>'S2'!$A$3:$A$1298</xm:f>
          </x14:formula1>
          <xm:sqref>D9:E9</xm:sqref>
        </x14:dataValidation>
        <x14:dataValidation type="list" showInputMessage="1" showErrorMessage="1" xr:uid="{E3CA30CF-507B-4947-987B-9D67453209F0}">
          <x14:formula1>
            <xm:f>'S2'!$P$3:$P$7</xm:f>
          </x14:formula1>
          <xm:sqref>D10:E10</xm:sqref>
        </x14:dataValidation>
        <x14:dataValidation type="list" showInputMessage="1" showErrorMessage="1" xr:uid="{1F1FD2DB-9C9A-4CD8-BEE6-7A90CBEA8BDC}">
          <x14:formula1>
            <xm:f>'S2'!$R$3:$R$5</xm:f>
          </x14:formula1>
          <xm:sqref>D11:E11</xm:sqref>
        </x14:dataValidation>
        <x14:dataValidation type="list" showInputMessage="1" showErrorMessage="1" xr:uid="{BD1F5B03-DBBA-4BDE-8F8D-EB1A37DF0FCC}">
          <x14:formula1>
            <xm:f>'S2'!$Q$3:$Q$5</xm:f>
          </x14:formula1>
          <xm:sqref>R31:S31</xm:sqref>
        </x14:dataValidation>
        <x14:dataValidation type="list" showInputMessage="1" showErrorMessage="1" xr:uid="{97DFC464-86AC-46BF-A4CD-EE88633734B1}">
          <x14:formula1>
            <xm:f>'S2'!$Q$10:$Q$15</xm:f>
          </x14:formula1>
          <xm:sqref>R32:S32</xm:sqref>
        </x14:dataValidation>
        <x14:dataValidation type="list" showInputMessage="1" showErrorMessage="1" xr:uid="{158AA77C-C005-4B2E-A179-4DBE544F5736}">
          <x14:formula1>
            <xm:f>'S2'!$Q$7:$Q$8</xm:f>
          </x14:formula1>
          <xm:sqref>R33:S33</xm:sqref>
        </x14:dataValidation>
        <x14:dataValidation type="list" showInputMessage="1" showErrorMessage="1" xr:uid="{D670A281-492E-46A9-89DA-D84E568600A5}">
          <x14:formula1>
            <xm:f>'S2'!$Q$17:$Q$18</xm:f>
          </x14:formula1>
          <xm:sqref>R34:S34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E209F-D020-4228-98B4-4D80CDCE96A2}">
  <sheetPr codeName="Sheet2"/>
  <dimension ref="A1:BR1300"/>
  <sheetViews>
    <sheetView rightToLeft="1" zoomScale="55" zoomScaleNormal="55" workbookViewId="0">
      <selection activeCell="L8" sqref="L8"/>
    </sheetView>
  </sheetViews>
  <sheetFormatPr defaultColWidth="9.109375" defaultRowHeight="14.4" x14ac:dyDescent="0.3"/>
  <cols>
    <col min="1" max="1" width="34.109375" style="8" customWidth="1"/>
    <col min="2" max="2" width="12.5546875" style="8" customWidth="1"/>
    <col min="3" max="3" width="12" style="8" customWidth="1"/>
    <col min="4" max="15" width="13.88671875" style="8" customWidth="1"/>
    <col min="16" max="16" width="9.109375" style="8"/>
    <col min="17" max="17" width="118.109375" style="8" bestFit="1" customWidth="1"/>
    <col min="18" max="46" width="9.109375" style="8"/>
    <col min="47" max="59" width="9.109375" style="9"/>
    <col min="60" max="16384" width="9.109375" style="8"/>
  </cols>
  <sheetData>
    <row r="1" spans="1:70" ht="45" customHeight="1" x14ac:dyDescent="0.3">
      <c r="A1" s="7" t="s">
        <v>37</v>
      </c>
      <c r="B1" s="90" t="s">
        <v>38</v>
      </c>
      <c r="C1" s="90"/>
      <c r="D1" s="91">
        <v>0.1</v>
      </c>
      <c r="E1" s="92"/>
      <c r="F1" s="92"/>
      <c r="G1" s="91">
        <v>0.05</v>
      </c>
      <c r="H1" s="92"/>
      <c r="I1" s="92"/>
      <c r="J1" s="91">
        <v>0.02</v>
      </c>
      <c r="K1" s="92"/>
      <c r="L1" s="92"/>
      <c r="M1" s="7">
        <v>10</v>
      </c>
      <c r="N1" s="7">
        <v>5</v>
      </c>
      <c r="O1" s="7">
        <v>2</v>
      </c>
      <c r="BD1" s="8" t="e">
        <f>IF(DRS!R30&lt;$AV$10,$AV$9*($AV$7/$AV$6+(1-$AV$7/$AV$6)*DRS!R30/$AV$10),IF(DRS!R30&lt;$AV$11,$AV$9,IF(DRS!R30&lt;$AV$12,$AV$8/DRS!R30,$AV$8*$AV$12/(DRS!R30^2))))*$AV$13</f>
        <v>#REF!</v>
      </c>
      <c r="BF1" s="9">
        <v>0</v>
      </c>
      <c r="BG1" s="9">
        <f>IF($BF1&lt;AY$33,AY$32*(AY$30/AY$29+(1-AY$30/AY$29)*$BF1/AY$33),IF($BF1&lt;AY$34,AY$32,IF($BF1&lt;AY$35,AY$31/$BF1,AY$31*AY$35/($BF1^2))))*$BC$29</f>
        <v>0.24680000000000002</v>
      </c>
      <c r="BH1" s="9">
        <f>IFERROR(IF($BF1&lt;AZ$33,AZ$32*(AZ$30/AZ$29+(1-AZ$30/AZ$29)*$BF1/AZ$33),IF($BF1&lt;AZ$34,AZ$32,IF($BF1&lt;AZ$35,AZ$31/$BF1,AZ$31*AZ$35/($BF1^2))))*$BC$29,"")</f>
        <v>0.21988571428571427</v>
      </c>
      <c r="BQ1" s="8">
        <v>7</v>
      </c>
      <c r="BR1" s="8" t="s">
        <v>39</v>
      </c>
    </row>
    <row r="2" spans="1:70" ht="42" customHeight="1" x14ac:dyDescent="0.3">
      <c r="A2" s="7"/>
      <c r="B2" s="7"/>
      <c r="C2" s="7"/>
      <c r="D2" s="10" t="s">
        <v>11</v>
      </c>
      <c r="E2" s="10" t="s">
        <v>12</v>
      </c>
      <c r="F2" s="10" t="s">
        <v>13</v>
      </c>
      <c r="G2" s="10" t="s">
        <v>11</v>
      </c>
      <c r="H2" s="10" t="s">
        <v>12</v>
      </c>
      <c r="I2" s="10" t="s">
        <v>13</v>
      </c>
      <c r="J2" s="10" t="s">
        <v>11</v>
      </c>
      <c r="K2" s="10" t="s">
        <v>12</v>
      </c>
      <c r="L2" s="10" t="s">
        <v>13</v>
      </c>
      <c r="M2" s="93" t="s">
        <v>40</v>
      </c>
      <c r="N2" s="93"/>
      <c r="O2" s="93"/>
      <c r="BF2" s="9">
        <v>0.01</v>
      </c>
      <c r="BG2" s="9">
        <f>IF(BF2&lt;AY$33,AY$32*(AY$30/AY$29+(1-AY$30/AY$29)*BF2/AY$33),IF(BF2&lt;AY$34,AY$32,IF(BF2&lt;AY$35,AY$31/BF2,AY$31*AY$35/(BF2^2))))*$BC$29</f>
        <v>0.30713014247619053</v>
      </c>
      <c r="BH2" s="9">
        <f t="shared" ref="BH2:BH65" si="0">IFERROR(IF($BF2&lt;AZ$33,AZ$32*(AZ$30/AZ$29+(1-AZ$30/AZ$29)*$BF2/AZ$33),IF($BF2&lt;AZ$34,AZ$32,IF($BF2&lt;AZ$35,AZ$31/$BF2,AZ$31*AZ$35/($BF2^2))))*$BC$29,"")</f>
        <v>0.26009831520640736</v>
      </c>
      <c r="BQ2" s="8">
        <v>7</v>
      </c>
      <c r="BR2" s="8" t="s">
        <v>41</v>
      </c>
    </row>
    <row r="3" spans="1:70" x14ac:dyDescent="0.3">
      <c r="A3" s="11" t="s">
        <v>42</v>
      </c>
      <c r="B3" s="12">
        <v>204000</v>
      </c>
      <c r="C3" s="12">
        <v>571000</v>
      </c>
      <c r="D3" s="12">
        <v>0.08</v>
      </c>
      <c r="E3" s="12">
        <v>0.2</v>
      </c>
      <c r="F3" s="12">
        <v>0.05</v>
      </c>
      <c r="G3" s="12">
        <v>0.1</v>
      </c>
      <c r="H3" s="12">
        <v>0.26</v>
      </c>
      <c r="I3" s="12">
        <v>0.06</v>
      </c>
      <c r="J3" s="12">
        <v>0.13</v>
      </c>
      <c r="K3" s="12">
        <v>0.35</v>
      </c>
      <c r="L3" s="12">
        <v>0.09</v>
      </c>
      <c r="M3" s="8">
        <v>7</v>
      </c>
      <c r="N3">
        <v>8</v>
      </c>
      <c r="O3" s="12">
        <v>10</v>
      </c>
      <c r="P3" s="8" t="s">
        <v>43</v>
      </c>
      <c r="Q3" s="8" t="s">
        <v>44</v>
      </c>
      <c r="R3" s="8" t="s">
        <v>8</v>
      </c>
      <c r="S3" s="8" t="s">
        <v>45</v>
      </c>
      <c r="V3" s="8">
        <v>4</v>
      </c>
      <c r="X3" s="8">
        <v>0.8</v>
      </c>
      <c r="BF3" s="9">
        <v>0.02</v>
      </c>
      <c r="BG3" s="9">
        <f t="shared" ref="BG3:BG66" si="1">IF(BF3&lt;AY$33,AY$32*(AY$30/AY$29+(1-AY$30/AY$29)*BF3/AY$33),IF(BF3&lt;AY$34,AY$32,IF(BF3&lt;AY$35,AY$31/BF3,AY$31*AY$35/(BF3^2))))*$BC$29</f>
        <v>0.36746028495238103</v>
      </c>
      <c r="BH3" s="9">
        <f t="shared" si="0"/>
        <v>0.30031091612710048</v>
      </c>
      <c r="BQ3" s="8">
        <v>7</v>
      </c>
      <c r="BR3" s="8" t="s">
        <v>46</v>
      </c>
    </row>
    <row r="4" spans="1:70" x14ac:dyDescent="0.3">
      <c r="A4" s="11" t="s">
        <v>47</v>
      </c>
      <c r="B4" s="12">
        <v>210400</v>
      </c>
      <c r="C4" s="12">
        <v>634800</v>
      </c>
      <c r="D4" s="12">
        <v>0.08</v>
      </c>
      <c r="E4" s="12">
        <v>0.2</v>
      </c>
      <c r="F4" s="12">
        <v>0.05</v>
      </c>
      <c r="G4" s="12">
        <v>0.1</v>
      </c>
      <c r="H4" s="12">
        <v>0.25</v>
      </c>
      <c r="I4" s="12">
        <v>7.0000000000000007E-2</v>
      </c>
      <c r="J4" s="12">
        <v>0.13</v>
      </c>
      <c r="K4" s="12">
        <v>0.33</v>
      </c>
      <c r="L4" s="12">
        <v>0.09</v>
      </c>
      <c r="M4" s="8">
        <v>7</v>
      </c>
      <c r="N4">
        <v>9</v>
      </c>
      <c r="O4" s="12">
        <v>11</v>
      </c>
      <c r="P4" s="8" t="s">
        <v>48</v>
      </c>
      <c r="Q4" s="8" t="s">
        <v>49</v>
      </c>
      <c r="R4" s="8" t="s">
        <v>50</v>
      </c>
      <c r="V4" s="8">
        <v>5</v>
      </c>
      <c r="X4" s="8">
        <v>1</v>
      </c>
      <c r="AZ4" s="22">
        <v>0.1</v>
      </c>
      <c r="BA4" s="9" t="s">
        <v>51</v>
      </c>
      <c r="BF4" s="9">
        <v>0.03</v>
      </c>
      <c r="BG4" s="9">
        <f t="shared" si="1"/>
        <v>0.42779042742857154</v>
      </c>
      <c r="BH4" s="9">
        <f t="shared" si="0"/>
        <v>0.34052351704779366</v>
      </c>
      <c r="BQ4" s="8">
        <v>8</v>
      </c>
      <c r="BR4" s="8" t="s">
        <v>52</v>
      </c>
    </row>
    <row r="5" spans="1:70" x14ac:dyDescent="0.3">
      <c r="A5" s="11" t="s">
        <v>53</v>
      </c>
      <c r="B5" s="12">
        <v>216500</v>
      </c>
      <c r="C5" s="12">
        <v>762500</v>
      </c>
      <c r="D5" s="12">
        <v>0.13</v>
      </c>
      <c r="E5" s="12">
        <v>0.31</v>
      </c>
      <c r="F5" s="12">
        <v>0.06</v>
      </c>
      <c r="G5" s="12">
        <v>0.16</v>
      </c>
      <c r="H5" s="12">
        <v>0.4</v>
      </c>
      <c r="I5" s="12">
        <v>0.08</v>
      </c>
      <c r="J5" s="12">
        <v>0.21</v>
      </c>
      <c r="K5" s="12">
        <v>0.54</v>
      </c>
      <c r="L5" s="12">
        <v>0.11</v>
      </c>
      <c r="M5" s="8">
        <v>7</v>
      </c>
      <c r="N5">
        <v>8</v>
      </c>
      <c r="O5" s="12">
        <v>10</v>
      </c>
      <c r="P5" s="8" t="s">
        <v>54</v>
      </c>
      <c r="Q5" s="8" t="s">
        <v>25</v>
      </c>
      <c r="R5" s="8" t="s">
        <v>55</v>
      </c>
      <c r="V5" s="8">
        <v>6</v>
      </c>
      <c r="X5" s="8">
        <v>1.2</v>
      </c>
      <c r="AU5" s="13" t="s">
        <v>56</v>
      </c>
      <c r="AV5" s="9" t="e">
        <f>DRS!#REF!</f>
        <v>#REF!</v>
      </c>
      <c r="BF5" s="9">
        <v>0.04</v>
      </c>
      <c r="BG5" s="9">
        <f t="shared" si="1"/>
        <v>0.48812056990476194</v>
      </c>
      <c r="BH5" s="9">
        <f t="shared" si="0"/>
        <v>0.38073611796848672</v>
      </c>
      <c r="BQ5" s="8">
        <v>8</v>
      </c>
      <c r="BR5" s="8" t="s">
        <v>57</v>
      </c>
    </row>
    <row r="6" spans="1:70" x14ac:dyDescent="0.3">
      <c r="A6" s="11" t="s">
        <v>58</v>
      </c>
      <c r="B6" s="12">
        <v>186500</v>
      </c>
      <c r="C6" s="12">
        <v>574500</v>
      </c>
      <c r="D6" s="12">
        <v>0.06</v>
      </c>
      <c r="E6" s="12">
        <v>0.15</v>
      </c>
      <c r="F6" s="12">
        <v>0.04</v>
      </c>
      <c r="G6" s="12">
        <v>0.08</v>
      </c>
      <c r="H6" s="12">
        <v>0.19</v>
      </c>
      <c r="I6" s="12">
        <v>0.05</v>
      </c>
      <c r="J6" s="12">
        <v>0.1</v>
      </c>
      <c r="K6" s="12">
        <v>0.26</v>
      </c>
      <c r="L6" s="12">
        <v>7.0000000000000007E-2</v>
      </c>
      <c r="M6" s="8">
        <v>8</v>
      </c>
      <c r="N6">
        <v>9</v>
      </c>
      <c r="O6" s="12">
        <v>11</v>
      </c>
      <c r="P6" s="8" t="s">
        <v>59</v>
      </c>
      <c r="V6" s="8">
        <v>7</v>
      </c>
      <c r="X6" s="8">
        <v>1.6</v>
      </c>
      <c r="AU6" s="13" t="s">
        <v>60</v>
      </c>
      <c r="AV6" s="9" t="e">
        <f>DRS!#REF!</f>
        <v>#REF!</v>
      </c>
      <c r="BF6" s="9">
        <v>0.05</v>
      </c>
      <c r="BG6" s="9">
        <f t="shared" si="1"/>
        <v>0.54845071238095244</v>
      </c>
      <c r="BH6" s="9">
        <f t="shared" si="0"/>
        <v>0.42094871888917995</v>
      </c>
      <c r="BQ6" s="8">
        <v>7</v>
      </c>
      <c r="BR6" s="8" t="s">
        <v>61</v>
      </c>
    </row>
    <row r="7" spans="1:70" x14ac:dyDescent="0.3">
      <c r="A7" s="11" t="s">
        <v>62</v>
      </c>
      <c r="B7" s="12">
        <v>185000</v>
      </c>
      <c r="C7" s="12">
        <v>579000</v>
      </c>
      <c r="D7" s="12">
        <v>0.06</v>
      </c>
      <c r="E7" s="12">
        <v>0.15</v>
      </c>
      <c r="F7" s="12">
        <v>0.04</v>
      </c>
      <c r="G7" s="12">
        <v>0.08</v>
      </c>
      <c r="H7" s="12">
        <v>0.2</v>
      </c>
      <c r="I7" s="12">
        <v>0.05</v>
      </c>
      <c r="J7" s="12">
        <v>0.1</v>
      </c>
      <c r="K7" s="12">
        <v>0.26</v>
      </c>
      <c r="L7" s="12">
        <v>7.0000000000000007E-2</v>
      </c>
      <c r="M7" s="8">
        <v>8</v>
      </c>
      <c r="N7">
        <v>9</v>
      </c>
      <c r="O7" s="12">
        <v>12</v>
      </c>
      <c r="P7" s="8" t="s">
        <v>6</v>
      </c>
      <c r="Q7" s="8" t="s">
        <v>31</v>
      </c>
      <c r="V7" s="8">
        <v>8</v>
      </c>
      <c r="X7" s="8">
        <v>2.5</v>
      </c>
      <c r="AU7" s="13" t="s">
        <v>11</v>
      </c>
      <c r="AV7" s="9" t="e">
        <f>DRS!#REF!</f>
        <v>#REF!</v>
      </c>
      <c r="BF7" s="9">
        <v>0.06</v>
      </c>
      <c r="BG7" s="9">
        <f t="shared" si="1"/>
        <v>0.60878085485714295</v>
      </c>
      <c r="BH7" s="9">
        <f t="shared" si="0"/>
        <v>0.46116131980987302</v>
      </c>
      <c r="BQ7" s="8">
        <v>8</v>
      </c>
      <c r="BR7" s="8" t="s">
        <v>63</v>
      </c>
    </row>
    <row r="8" spans="1:70" ht="15" customHeight="1" x14ac:dyDescent="0.3">
      <c r="A8" s="11" t="s">
        <v>64</v>
      </c>
      <c r="B8" s="12">
        <v>195000</v>
      </c>
      <c r="C8" s="12">
        <v>567000</v>
      </c>
      <c r="D8" s="12">
        <v>7.0000000000000007E-2</v>
      </c>
      <c r="E8" s="12">
        <v>0.17</v>
      </c>
      <c r="F8" s="12">
        <v>0.04</v>
      </c>
      <c r="G8" s="12">
        <v>0.09</v>
      </c>
      <c r="H8" s="12">
        <v>0.21</v>
      </c>
      <c r="I8" s="12">
        <v>0.06</v>
      </c>
      <c r="J8" s="12">
        <v>0.11</v>
      </c>
      <c r="K8" s="12">
        <v>0.28000000000000003</v>
      </c>
      <c r="L8" s="12">
        <v>0.08</v>
      </c>
      <c r="M8" s="8">
        <v>7</v>
      </c>
      <c r="N8">
        <v>9</v>
      </c>
      <c r="O8" s="12">
        <v>11</v>
      </c>
      <c r="Q8" s="8" t="s">
        <v>65</v>
      </c>
      <c r="V8" s="29" t="str">
        <f>IF(AN11=TRUE,AG12,"")</f>
        <v/>
      </c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U8" s="13" t="s">
        <v>66</v>
      </c>
      <c r="AV8" s="9" t="e">
        <f>DRS!#REF!</f>
        <v>#REF!</v>
      </c>
      <c r="AX8" s="9" t="s">
        <v>43</v>
      </c>
      <c r="BF8" s="9">
        <v>7.0000000000000007E-2</v>
      </c>
      <c r="BG8" s="9">
        <f t="shared" si="1"/>
        <v>0.64168000000000003</v>
      </c>
      <c r="BH8" s="9">
        <f t="shared" si="0"/>
        <v>0.50137392073056619</v>
      </c>
      <c r="BQ8" s="8">
        <v>7</v>
      </c>
      <c r="BR8" s="8" t="s">
        <v>67</v>
      </c>
    </row>
    <row r="9" spans="1:70" ht="15.75" customHeight="1" x14ac:dyDescent="0.3">
      <c r="A9" s="11" t="s">
        <v>68</v>
      </c>
      <c r="B9" s="12">
        <v>185000</v>
      </c>
      <c r="C9" s="12">
        <v>571000</v>
      </c>
      <c r="D9" s="12">
        <v>0.06</v>
      </c>
      <c r="E9" s="12">
        <v>0.14000000000000001</v>
      </c>
      <c r="F9" s="12">
        <v>0.04</v>
      </c>
      <c r="G9" s="12">
        <v>7.0000000000000007E-2</v>
      </c>
      <c r="H9" s="12">
        <v>0.18</v>
      </c>
      <c r="I9" s="12">
        <v>0.05</v>
      </c>
      <c r="J9" s="12">
        <v>0.1</v>
      </c>
      <c r="K9" s="12">
        <v>0.24</v>
      </c>
      <c r="L9" s="12">
        <v>7.0000000000000007E-2</v>
      </c>
      <c r="M9" s="8">
        <v>8</v>
      </c>
      <c r="N9">
        <v>9</v>
      </c>
      <c r="O9" s="12">
        <v>12</v>
      </c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U9" s="13" t="s">
        <v>69</v>
      </c>
      <c r="AV9" s="9" t="e">
        <f>DRS!#REF!</f>
        <v>#REF!</v>
      </c>
      <c r="AX9" s="9" t="s">
        <v>48</v>
      </c>
      <c r="BF9" s="9">
        <v>0.08</v>
      </c>
      <c r="BG9" s="9">
        <f t="shared" si="1"/>
        <v>0.64168000000000003</v>
      </c>
      <c r="BH9" s="9">
        <f t="shared" si="0"/>
        <v>0.54158652165125931</v>
      </c>
      <c r="BQ9" s="8">
        <v>7</v>
      </c>
      <c r="BR9" s="8" t="s">
        <v>70</v>
      </c>
    </row>
    <row r="10" spans="1:70" ht="15.75" customHeight="1" x14ac:dyDescent="0.3">
      <c r="A10" s="11" t="s">
        <v>71</v>
      </c>
      <c r="B10" s="12">
        <v>196500</v>
      </c>
      <c r="C10" s="12">
        <v>561000</v>
      </c>
      <c r="D10" s="12">
        <v>7.0000000000000007E-2</v>
      </c>
      <c r="E10" s="12">
        <v>0.17</v>
      </c>
      <c r="F10" s="12">
        <v>0.04</v>
      </c>
      <c r="G10" s="12">
        <v>0.09</v>
      </c>
      <c r="H10" s="12">
        <v>0.22</v>
      </c>
      <c r="I10" s="12">
        <v>0.06</v>
      </c>
      <c r="J10" s="12">
        <v>0.11</v>
      </c>
      <c r="K10" s="12">
        <v>0.28999999999999998</v>
      </c>
      <c r="L10" s="12">
        <v>0.08</v>
      </c>
      <c r="M10" s="8">
        <v>7</v>
      </c>
      <c r="N10">
        <v>9</v>
      </c>
      <c r="O10" s="12">
        <v>11</v>
      </c>
      <c r="Q10" s="30" t="s">
        <v>72</v>
      </c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U10" s="13" t="s">
        <v>73</v>
      </c>
      <c r="AV10" s="9" t="e">
        <f>DRS!#REF!</f>
        <v>#REF!</v>
      </c>
      <c r="AX10" s="9" t="s">
        <v>54</v>
      </c>
      <c r="BF10" s="9">
        <v>0.09</v>
      </c>
      <c r="BG10" s="9">
        <f t="shared" si="1"/>
        <v>0.64168000000000003</v>
      </c>
      <c r="BH10" s="9">
        <f t="shared" si="0"/>
        <v>0.58179912257195243</v>
      </c>
      <c r="BQ10" s="8">
        <v>7</v>
      </c>
      <c r="BR10" s="8" t="s">
        <v>74</v>
      </c>
    </row>
    <row r="11" spans="1:70" ht="15" customHeight="1" x14ac:dyDescent="0.3">
      <c r="A11" s="11" t="s">
        <v>71</v>
      </c>
      <c r="B11" s="12">
        <v>197000</v>
      </c>
      <c r="C11" s="12">
        <v>560000</v>
      </c>
      <c r="D11" s="12">
        <v>7.0000000000000007E-2</v>
      </c>
      <c r="E11" s="12">
        <v>0.17</v>
      </c>
      <c r="F11" s="12">
        <v>0.04</v>
      </c>
      <c r="G11" s="12">
        <v>0.09</v>
      </c>
      <c r="H11" s="12">
        <v>0.22</v>
      </c>
      <c r="I11" s="12">
        <v>0.06</v>
      </c>
      <c r="J11" s="12">
        <v>0.11</v>
      </c>
      <c r="K11" s="12">
        <v>0.28999999999999998</v>
      </c>
      <c r="L11" s="12">
        <v>0.08</v>
      </c>
      <c r="M11" s="8">
        <v>7</v>
      </c>
      <c r="N11">
        <v>9</v>
      </c>
      <c r="O11" s="12">
        <v>11</v>
      </c>
      <c r="Q11" s="30" t="s">
        <v>75</v>
      </c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U11" s="13" t="s">
        <v>76</v>
      </c>
      <c r="AV11" s="9" t="e">
        <f>DRS!#REF!</f>
        <v>#REF!</v>
      </c>
      <c r="AX11" s="9" t="s">
        <v>59</v>
      </c>
      <c r="BF11" s="9">
        <v>0.1</v>
      </c>
      <c r="BG11" s="9">
        <f t="shared" si="1"/>
        <v>0.64168000000000003</v>
      </c>
      <c r="BH11" s="9">
        <f t="shared" si="0"/>
        <v>0.5909428571428571</v>
      </c>
      <c r="BQ11" s="8">
        <v>8</v>
      </c>
      <c r="BR11" s="8" t="s">
        <v>77</v>
      </c>
    </row>
    <row r="12" spans="1:70" ht="15" customHeight="1" x14ac:dyDescent="0.3">
      <c r="A12" s="11" t="s">
        <v>78</v>
      </c>
      <c r="B12" s="12">
        <v>205000</v>
      </c>
      <c r="C12" s="12">
        <v>572000</v>
      </c>
      <c r="D12" s="12">
        <v>0.08</v>
      </c>
      <c r="E12" s="12">
        <v>0.21</v>
      </c>
      <c r="F12" s="12">
        <v>0.05</v>
      </c>
      <c r="G12" s="12">
        <v>0.11</v>
      </c>
      <c r="H12" s="12">
        <v>0.27</v>
      </c>
      <c r="I12" s="12">
        <v>0.06</v>
      </c>
      <c r="J12" s="12">
        <v>0.14000000000000001</v>
      </c>
      <c r="K12" s="12">
        <v>0.36</v>
      </c>
      <c r="L12" s="12">
        <v>0.09</v>
      </c>
      <c r="M12" s="8">
        <v>7</v>
      </c>
      <c r="N12">
        <v>8</v>
      </c>
      <c r="O12" s="12">
        <v>10</v>
      </c>
      <c r="Q12" s="30" t="s">
        <v>79</v>
      </c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U12" s="13" t="s">
        <v>80</v>
      </c>
      <c r="AV12" s="9">
        <f>DRS!M38</f>
        <v>0</v>
      </c>
      <c r="BF12" s="9">
        <v>0.11</v>
      </c>
      <c r="BG12" s="9">
        <f t="shared" si="1"/>
        <v>0.64168000000000003</v>
      </c>
      <c r="BH12" s="9">
        <f t="shared" si="0"/>
        <v>0.5909428571428571</v>
      </c>
      <c r="BQ12" s="8">
        <v>6</v>
      </c>
      <c r="BR12" s="8" t="s">
        <v>81</v>
      </c>
    </row>
    <row r="13" spans="1:70" ht="15.75" customHeight="1" x14ac:dyDescent="0.3">
      <c r="A13" s="11" t="s">
        <v>82</v>
      </c>
      <c r="B13" s="12">
        <v>192000</v>
      </c>
      <c r="C13" s="12">
        <v>566000</v>
      </c>
      <c r="D13" s="12">
        <v>7.0000000000000007E-2</v>
      </c>
      <c r="E13" s="12">
        <v>0.16</v>
      </c>
      <c r="F13" s="12">
        <v>0.04</v>
      </c>
      <c r="G13" s="12">
        <v>0.08</v>
      </c>
      <c r="H13" s="12">
        <v>0.2</v>
      </c>
      <c r="I13" s="12">
        <v>0.06</v>
      </c>
      <c r="J13" s="12">
        <v>0.11</v>
      </c>
      <c r="K13" s="12">
        <v>0.27</v>
      </c>
      <c r="L13" s="12">
        <v>0.08</v>
      </c>
      <c r="M13" s="8">
        <v>8</v>
      </c>
      <c r="N13">
        <v>9</v>
      </c>
      <c r="O13" s="12">
        <v>11</v>
      </c>
      <c r="Q13" s="30" t="s">
        <v>28</v>
      </c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V13" s="9">
        <f>DRS!M40</f>
        <v>0</v>
      </c>
      <c r="BF13" s="9">
        <v>0.12</v>
      </c>
      <c r="BG13" s="9">
        <f t="shared" si="1"/>
        <v>0.64168000000000003</v>
      </c>
      <c r="BH13" s="9">
        <f t="shared" si="0"/>
        <v>0.5909428571428571</v>
      </c>
      <c r="BQ13" s="8">
        <v>6</v>
      </c>
      <c r="BR13" s="8" t="s">
        <v>83</v>
      </c>
    </row>
    <row r="14" spans="1:70" ht="15" customHeight="1" x14ac:dyDescent="0.3">
      <c r="A14" s="11" t="s">
        <v>84</v>
      </c>
      <c r="B14" s="12">
        <v>210900</v>
      </c>
      <c r="C14" s="12">
        <v>740600</v>
      </c>
      <c r="D14" s="12">
        <v>0.14000000000000001</v>
      </c>
      <c r="E14" s="12">
        <v>0.35</v>
      </c>
      <c r="F14" s="12">
        <v>7.0000000000000007E-2</v>
      </c>
      <c r="G14" s="12">
        <v>0.2</v>
      </c>
      <c r="H14" s="12">
        <v>0.49</v>
      </c>
      <c r="I14" s="12">
        <v>0.1</v>
      </c>
      <c r="J14" s="12">
        <v>0.28999999999999998</v>
      </c>
      <c r="K14" s="12">
        <v>0.72</v>
      </c>
      <c r="L14" s="12">
        <v>0.14000000000000001</v>
      </c>
      <c r="M14" s="8">
        <v>6</v>
      </c>
      <c r="N14">
        <v>7</v>
      </c>
      <c r="O14" s="12">
        <v>8</v>
      </c>
      <c r="Q14" s="30" t="s">
        <v>85</v>
      </c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BF14" s="9">
        <v>0.13</v>
      </c>
      <c r="BG14" s="9">
        <f t="shared" si="1"/>
        <v>0.64168000000000003</v>
      </c>
      <c r="BH14" s="9">
        <f t="shared" si="0"/>
        <v>0.5909428571428571</v>
      </c>
      <c r="BQ14" s="8">
        <v>7</v>
      </c>
      <c r="BR14" s="8" t="s">
        <v>86</v>
      </c>
    </row>
    <row r="15" spans="1:70" ht="15" customHeight="1" x14ac:dyDescent="0.3">
      <c r="A15" s="11" t="s">
        <v>87</v>
      </c>
      <c r="B15" s="12">
        <v>232800</v>
      </c>
      <c r="C15" s="12">
        <v>748700</v>
      </c>
      <c r="D15" s="12">
        <v>0.15</v>
      </c>
      <c r="E15" s="12">
        <v>0.38</v>
      </c>
      <c r="F15" s="12">
        <v>0.08</v>
      </c>
      <c r="G15" s="12">
        <v>0.18</v>
      </c>
      <c r="H15" s="12">
        <v>0.48</v>
      </c>
      <c r="I15" s="12">
        <v>0.1</v>
      </c>
      <c r="J15" s="12">
        <v>0.24</v>
      </c>
      <c r="K15" s="12">
        <v>0.62</v>
      </c>
      <c r="L15" s="12">
        <v>0.13</v>
      </c>
      <c r="M15" s="8">
        <v>6</v>
      </c>
      <c r="N15">
        <v>7</v>
      </c>
      <c r="O15" s="12">
        <v>9</v>
      </c>
      <c r="Q15" s="30" t="s">
        <v>88</v>
      </c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BF15" s="9">
        <v>0.14000000000000001</v>
      </c>
      <c r="BG15" s="9">
        <f t="shared" si="1"/>
        <v>0.64168000000000003</v>
      </c>
      <c r="BH15" s="9">
        <f t="shared" si="0"/>
        <v>0.5909428571428571</v>
      </c>
      <c r="BQ15" s="8">
        <v>6</v>
      </c>
      <c r="BR15" s="8" t="s">
        <v>89</v>
      </c>
    </row>
    <row r="16" spans="1:70" ht="15" customHeight="1" x14ac:dyDescent="0.3">
      <c r="A16" s="11" t="s">
        <v>90</v>
      </c>
      <c r="B16" s="12">
        <v>199500</v>
      </c>
      <c r="C16" s="12">
        <v>715200</v>
      </c>
      <c r="D16" s="12">
        <v>0.09</v>
      </c>
      <c r="E16" s="12">
        <v>0.22</v>
      </c>
      <c r="F16" s="12">
        <v>0.05</v>
      </c>
      <c r="G16" s="12">
        <v>0.11</v>
      </c>
      <c r="H16" s="12">
        <v>0.28999999999999998</v>
      </c>
      <c r="I16" s="12">
        <v>7.0000000000000007E-2</v>
      </c>
      <c r="J16" s="12">
        <v>0.15</v>
      </c>
      <c r="K16" s="12">
        <v>0.39</v>
      </c>
      <c r="L16" s="12">
        <v>0.09</v>
      </c>
      <c r="M16" s="8">
        <v>7</v>
      </c>
      <c r="N16">
        <v>9</v>
      </c>
      <c r="O16" s="12">
        <v>11</v>
      </c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Z16" s="5" t="s">
        <v>11</v>
      </c>
      <c r="BA16" s="5" t="s">
        <v>12</v>
      </c>
      <c r="BB16" s="6" t="s">
        <v>13</v>
      </c>
      <c r="BF16" s="9">
        <v>0.15</v>
      </c>
      <c r="BG16" s="9">
        <f t="shared" si="1"/>
        <v>0.64168000000000003</v>
      </c>
      <c r="BH16" s="9">
        <f t="shared" si="0"/>
        <v>0.5909428571428571</v>
      </c>
      <c r="BQ16" s="8">
        <v>8</v>
      </c>
      <c r="BR16" s="8" t="s">
        <v>91</v>
      </c>
    </row>
    <row r="17" spans="1:70" ht="15" customHeight="1" x14ac:dyDescent="0.3">
      <c r="A17" s="11" t="s">
        <v>92</v>
      </c>
      <c r="B17" s="12">
        <v>244300</v>
      </c>
      <c r="C17" s="12">
        <v>777200</v>
      </c>
      <c r="D17" s="12">
        <v>0.19</v>
      </c>
      <c r="E17" s="12">
        <v>0.49</v>
      </c>
      <c r="F17" s="12">
        <v>0.09</v>
      </c>
      <c r="G17" s="12">
        <v>0.25</v>
      </c>
      <c r="H17" s="12">
        <v>0.64</v>
      </c>
      <c r="I17" s="12">
        <v>0.13</v>
      </c>
      <c r="J17" s="12">
        <v>0.33</v>
      </c>
      <c r="K17" s="12">
        <v>0.86</v>
      </c>
      <c r="L17" s="12">
        <v>0.18</v>
      </c>
      <c r="M17" s="8">
        <v>6</v>
      </c>
      <c r="N17">
        <v>7</v>
      </c>
      <c r="O17" s="12">
        <v>8</v>
      </c>
      <c r="Q17" s="8" t="s">
        <v>93</v>
      </c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Z17" s="16" t="str">
        <f>IF(AY10="א",
INDEX('S2'!BB5:BG1300,MATCH(AY8,'S2'!AV5:AV1300),4),
IF(AY10="ב",
INDEX('S2'!BB5:BG1300,MATCH(AY8,'S2'!AV5:AV1300),1),
""))</f>
        <v/>
      </c>
      <c r="BA17" s="16" t="str">
        <f>IF(AY10="א",
INDEX('S2'!BB5:BG1300,MATCH(AY8,'S2'!AV5:AV1300),5),
IF(AY10="ב",
INDEX('S2'!BB5:BG1300,MATCH(AY8,'S2'!AV5:AV1300),2),
""))</f>
        <v/>
      </c>
      <c r="BB17" s="4" t="str">
        <f>IF(AY10="א",
INDEX('S2'!BB5:BG1300,MATCH(AY8,'S2'!AV5:AV1300),6),
IF(AY10="ב",
INDEX('S2'!BB5:BG1300,MATCH(AY8,'S2'!AV5:AV1300),3),
""))</f>
        <v/>
      </c>
      <c r="BF17" s="9">
        <v>0.16</v>
      </c>
      <c r="BG17" s="9">
        <f t="shared" si="1"/>
        <v>0.64168000000000003</v>
      </c>
      <c r="BH17" s="9">
        <f t="shared" si="0"/>
        <v>0.5909428571428571</v>
      </c>
      <c r="BQ17" s="8">
        <v>8</v>
      </c>
      <c r="BR17" s="8" t="s">
        <v>94</v>
      </c>
    </row>
    <row r="18" spans="1:70" ht="15" customHeight="1" x14ac:dyDescent="0.3">
      <c r="A18" s="11" t="s">
        <v>95</v>
      </c>
      <c r="B18" s="12">
        <v>175800</v>
      </c>
      <c r="C18" s="12">
        <v>624400</v>
      </c>
      <c r="D18" s="12">
        <v>7.0000000000000007E-2</v>
      </c>
      <c r="E18" s="12">
        <v>0.16</v>
      </c>
      <c r="F18" s="12">
        <v>0.04</v>
      </c>
      <c r="G18" s="12">
        <v>0.09</v>
      </c>
      <c r="H18" s="12">
        <v>0.21</v>
      </c>
      <c r="I18" s="12">
        <v>0.05</v>
      </c>
      <c r="J18" s="12">
        <v>0.12</v>
      </c>
      <c r="K18" s="12">
        <v>0.28999999999999998</v>
      </c>
      <c r="L18" s="12">
        <v>7.0000000000000007E-2</v>
      </c>
      <c r="M18" s="8">
        <v>8</v>
      </c>
      <c r="N18">
        <v>10</v>
      </c>
      <c r="O18" s="12">
        <v>12</v>
      </c>
      <c r="Q18" s="8" t="s">
        <v>34</v>
      </c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Z18" s="18" t="str">
        <f>IF(AY10="א","/1.4",IF(AY10="ב","/1.2",""))</f>
        <v/>
      </c>
      <c r="BA18" s="19" t="s">
        <v>14</v>
      </c>
      <c r="BB18" s="2" t="s">
        <v>15</v>
      </c>
      <c r="BF18" s="9">
        <v>0.17</v>
      </c>
      <c r="BG18" s="9">
        <f t="shared" si="1"/>
        <v>0.64168000000000003</v>
      </c>
      <c r="BH18" s="9">
        <f t="shared" si="0"/>
        <v>0.5909428571428571</v>
      </c>
      <c r="BQ18" s="8">
        <v>6</v>
      </c>
      <c r="BR18" s="8" t="s">
        <v>96</v>
      </c>
    </row>
    <row r="19" spans="1:70" ht="15.75" customHeight="1" x14ac:dyDescent="0.3">
      <c r="A19" s="11" t="s">
        <v>97</v>
      </c>
      <c r="B19" s="12">
        <v>187900</v>
      </c>
      <c r="C19" s="12">
        <v>695000</v>
      </c>
      <c r="D19" s="12">
        <v>7.0000000000000007E-2</v>
      </c>
      <c r="E19" s="12">
        <v>0.16</v>
      </c>
      <c r="F19" s="12">
        <v>0.05</v>
      </c>
      <c r="G19" s="12">
        <v>0.08</v>
      </c>
      <c r="H19" s="12">
        <v>0.21</v>
      </c>
      <c r="I19" s="12">
        <v>0.06</v>
      </c>
      <c r="J19" s="12">
        <v>0.11</v>
      </c>
      <c r="K19" s="12">
        <v>0.28000000000000003</v>
      </c>
      <c r="L19" s="12">
        <v>0.08</v>
      </c>
      <c r="M19" s="8">
        <v>8</v>
      </c>
      <c r="N19">
        <v>9</v>
      </c>
      <c r="O19" s="12">
        <v>12</v>
      </c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Z19" s="86" t="str">
        <f>IF(AY10="א",BB19*BA17/1.4,IF(AY10="ב",BB19*BA17/1.2,""))</f>
        <v/>
      </c>
      <c r="BA19" s="86"/>
      <c r="BB19" s="3">
        <f>IF(AY10="ג","",'S2'!BS43)</f>
        <v>0</v>
      </c>
      <c r="BF19" s="9">
        <v>0.18</v>
      </c>
      <c r="BG19" s="9">
        <f t="shared" si="1"/>
        <v>0.64168000000000003</v>
      </c>
      <c r="BH19" s="9">
        <f t="shared" si="0"/>
        <v>0.5909428571428571</v>
      </c>
      <c r="BQ19" s="8">
        <v>7</v>
      </c>
      <c r="BR19" s="8" t="s">
        <v>98</v>
      </c>
    </row>
    <row r="20" spans="1:70" ht="15.75" customHeight="1" x14ac:dyDescent="0.3">
      <c r="A20" s="11" t="s">
        <v>99</v>
      </c>
      <c r="B20" s="12">
        <v>228900</v>
      </c>
      <c r="C20" s="12">
        <v>718200</v>
      </c>
      <c r="D20" s="12">
        <v>0.16</v>
      </c>
      <c r="E20" s="12">
        <v>0.4</v>
      </c>
      <c r="F20" s="12">
        <v>0.08</v>
      </c>
      <c r="G20" s="12">
        <v>0.21</v>
      </c>
      <c r="H20" s="12">
        <v>0.54</v>
      </c>
      <c r="I20" s="12">
        <v>0.11</v>
      </c>
      <c r="J20" s="12">
        <v>0.3</v>
      </c>
      <c r="K20" s="12">
        <v>0.76</v>
      </c>
      <c r="L20" s="12">
        <v>0.15</v>
      </c>
      <c r="M20" s="8">
        <v>6</v>
      </c>
      <c r="N20">
        <v>7</v>
      </c>
      <c r="O20" s="12">
        <v>8</v>
      </c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Z20" s="18" t="str">
        <f>IF(AY10="א","/1.4",IF(AY10="ב","/1.2",""))</f>
        <v/>
      </c>
      <c r="BA20" s="19" t="s">
        <v>16</v>
      </c>
      <c r="BB20" s="2" t="s">
        <v>17</v>
      </c>
      <c r="BF20" s="9">
        <v>0.19</v>
      </c>
      <c r="BG20" s="9">
        <f t="shared" si="1"/>
        <v>0.64168000000000003</v>
      </c>
      <c r="BH20" s="9">
        <f t="shared" si="0"/>
        <v>0.5909428571428571</v>
      </c>
      <c r="BQ20" s="8">
        <v>7</v>
      </c>
      <c r="BR20" s="8" t="s">
        <v>100</v>
      </c>
    </row>
    <row r="21" spans="1:70" ht="15" customHeight="1" x14ac:dyDescent="0.3">
      <c r="A21" s="11" t="s">
        <v>101</v>
      </c>
      <c r="B21" s="12">
        <v>201800</v>
      </c>
      <c r="C21" s="12">
        <v>621000</v>
      </c>
      <c r="D21" s="12">
        <v>7.0000000000000007E-2</v>
      </c>
      <c r="E21" s="12">
        <v>0.18</v>
      </c>
      <c r="F21" s="12">
        <v>0.05</v>
      </c>
      <c r="G21" s="12">
        <v>0.09</v>
      </c>
      <c r="H21" s="12">
        <v>0.22</v>
      </c>
      <c r="I21" s="12">
        <v>0.06</v>
      </c>
      <c r="J21" s="12">
        <v>0.12</v>
      </c>
      <c r="K21" s="12">
        <v>0.3</v>
      </c>
      <c r="L21" s="12">
        <v>0.08</v>
      </c>
      <c r="M21" s="8">
        <v>7</v>
      </c>
      <c r="N21">
        <v>9</v>
      </c>
      <c r="O21" s="12">
        <v>11</v>
      </c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Z21" s="86" t="str">
        <f>IF(AY10="א",BB21*BB17/1.4,IF(AY10="ב",BB21*BB17/1.2,""))</f>
        <v/>
      </c>
      <c r="BA21" s="86"/>
      <c r="BB21" s="3">
        <f>IF(AY10="ג","",'S2'!BS53)</f>
        <v>0</v>
      </c>
      <c r="BF21" s="9">
        <v>0.2</v>
      </c>
      <c r="BG21" s="9">
        <f t="shared" si="1"/>
        <v>0.64168000000000003</v>
      </c>
      <c r="BH21" s="9">
        <f t="shared" si="0"/>
        <v>0.5909428571428571</v>
      </c>
      <c r="BQ21" s="8">
        <v>8</v>
      </c>
      <c r="BR21" s="8" t="s">
        <v>102</v>
      </c>
    </row>
    <row r="22" spans="1:70" ht="15" customHeight="1" x14ac:dyDescent="0.3">
      <c r="A22" s="11" t="s">
        <v>103</v>
      </c>
      <c r="B22" s="12">
        <v>227200</v>
      </c>
      <c r="C22" s="12">
        <v>771600</v>
      </c>
      <c r="D22" s="12">
        <v>0.13</v>
      </c>
      <c r="E22" s="12">
        <v>0.33</v>
      </c>
      <c r="F22" s="12">
        <v>7.0000000000000007E-2</v>
      </c>
      <c r="G22" s="12">
        <v>0.16</v>
      </c>
      <c r="H22" s="12">
        <v>0.41</v>
      </c>
      <c r="I22" s="12">
        <v>0.09</v>
      </c>
      <c r="J22" s="12">
        <v>0.21</v>
      </c>
      <c r="K22" s="12">
        <v>0.54</v>
      </c>
      <c r="L22" s="12">
        <v>0.12</v>
      </c>
      <c r="M22" s="8">
        <v>7</v>
      </c>
      <c r="N22">
        <v>8</v>
      </c>
      <c r="O22" s="12">
        <v>10</v>
      </c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Z22" s="15" t="s">
        <v>18</v>
      </c>
      <c r="BA22" s="15" t="s">
        <v>19</v>
      </c>
      <c r="BB22" s="1" t="s">
        <v>20</v>
      </c>
      <c r="BF22" s="9">
        <v>0.21</v>
      </c>
      <c r="BG22" s="9">
        <f t="shared" si="1"/>
        <v>0.64168000000000003</v>
      </c>
      <c r="BH22" s="9">
        <f t="shared" si="0"/>
        <v>0.5909428571428571</v>
      </c>
      <c r="BQ22" s="8">
        <v>7</v>
      </c>
      <c r="BR22" s="8" t="s">
        <v>104</v>
      </c>
    </row>
    <row r="23" spans="1:70" ht="15.75" customHeight="1" x14ac:dyDescent="0.3">
      <c r="A23" s="11" t="s">
        <v>105</v>
      </c>
      <c r="B23" s="12">
        <v>189300</v>
      </c>
      <c r="C23" s="12">
        <v>686000</v>
      </c>
      <c r="D23" s="12">
        <v>7.0000000000000007E-2</v>
      </c>
      <c r="E23" s="12">
        <v>0.16</v>
      </c>
      <c r="F23" s="12">
        <v>0.05</v>
      </c>
      <c r="G23" s="12">
        <v>0.08</v>
      </c>
      <c r="H23" s="12">
        <v>0.2</v>
      </c>
      <c r="I23" s="12">
        <v>0.06</v>
      </c>
      <c r="J23" s="12">
        <v>0.1</v>
      </c>
      <c r="K23" s="12">
        <v>0.27</v>
      </c>
      <c r="L23" s="12">
        <v>0.08</v>
      </c>
      <c r="M23" s="8">
        <v>8</v>
      </c>
      <c r="N23">
        <v>9</v>
      </c>
      <c r="O23" s="12">
        <v>12</v>
      </c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Z23" s="17" t="str">
        <f>IF(AY10="א",INDEX('S2'!BJ5:BJ1300,MATCH(AY8,'S2'!AV5:AV1300,0)),IF(AY10="ב",INDEX('S2'!BI5:BI1300,MATCH(AY8,'S2'!AV5:AV1300,0)),""))</f>
        <v/>
      </c>
      <c r="BA23" s="21" t="e">
        <f>AZ21/AZ19</f>
        <v>#VALUE!</v>
      </c>
      <c r="BB23" s="20" t="e">
        <f>0.2*AZ21/AZ19</f>
        <v>#VALUE!</v>
      </c>
      <c r="BF23" s="9">
        <v>0.22</v>
      </c>
      <c r="BG23" s="9">
        <f t="shared" si="1"/>
        <v>0.64168000000000003</v>
      </c>
      <c r="BH23" s="9">
        <f t="shared" si="0"/>
        <v>0.5909428571428571</v>
      </c>
      <c r="BQ23" s="8">
        <v>7</v>
      </c>
      <c r="BR23" s="8" t="s">
        <v>106</v>
      </c>
    </row>
    <row r="24" spans="1:70" ht="15" customHeight="1" x14ac:dyDescent="0.3">
      <c r="A24" s="11" t="s">
        <v>107</v>
      </c>
      <c r="B24" s="12">
        <v>227900</v>
      </c>
      <c r="C24" s="12">
        <v>775400</v>
      </c>
      <c r="D24" s="12">
        <v>0.13</v>
      </c>
      <c r="E24" s="12">
        <v>0.32</v>
      </c>
      <c r="F24" s="12">
        <v>7.0000000000000007E-2</v>
      </c>
      <c r="G24" s="12">
        <v>0.16</v>
      </c>
      <c r="H24" s="12">
        <v>0.4</v>
      </c>
      <c r="I24" s="12">
        <v>0.09</v>
      </c>
      <c r="J24" s="12">
        <v>0.2</v>
      </c>
      <c r="K24" s="12">
        <v>0.53</v>
      </c>
      <c r="L24" s="12">
        <v>0.12</v>
      </c>
      <c r="M24" s="8">
        <v>7</v>
      </c>
      <c r="N24">
        <v>8</v>
      </c>
      <c r="O24" s="12">
        <v>10</v>
      </c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BF24" s="9">
        <v>0.23</v>
      </c>
      <c r="BG24" s="9">
        <f t="shared" si="1"/>
        <v>0.64168000000000003</v>
      </c>
      <c r="BH24" s="9">
        <f t="shared" si="0"/>
        <v>0.5909428571428571</v>
      </c>
      <c r="BQ24" s="8">
        <v>8</v>
      </c>
      <c r="BR24" s="8" t="s">
        <v>108</v>
      </c>
    </row>
    <row r="25" spans="1:70" ht="15" customHeight="1" x14ac:dyDescent="0.3">
      <c r="A25" s="11" t="s">
        <v>109</v>
      </c>
      <c r="B25" s="12">
        <v>212800</v>
      </c>
      <c r="C25" s="12">
        <v>630000</v>
      </c>
      <c r="D25" s="12">
        <v>0.08</v>
      </c>
      <c r="E25" s="12">
        <v>0.21</v>
      </c>
      <c r="F25" s="12">
        <v>0.05</v>
      </c>
      <c r="G25" s="12">
        <v>0.1</v>
      </c>
      <c r="H25" s="12">
        <v>0.26</v>
      </c>
      <c r="I25" s="12">
        <v>7.0000000000000007E-2</v>
      </c>
      <c r="J25" s="12">
        <v>0.13</v>
      </c>
      <c r="K25" s="12">
        <v>0.34</v>
      </c>
      <c r="L25" s="12">
        <v>0.09</v>
      </c>
      <c r="M25" s="8">
        <v>7</v>
      </c>
      <c r="N25">
        <v>9</v>
      </c>
      <c r="O25" s="12">
        <v>10</v>
      </c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BF25" s="9">
        <v>0.24</v>
      </c>
      <c r="BG25" s="9">
        <f t="shared" si="1"/>
        <v>0.64168000000000003</v>
      </c>
      <c r="BH25" s="9">
        <f t="shared" si="0"/>
        <v>0.5909428571428571</v>
      </c>
      <c r="BQ25" s="8">
        <v>6</v>
      </c>
      <c r="BR25" s="8" t="s">
        <v>110</v>
      </c>
    </row>
    <row r="26" spans="1:70" ht="15" customHeight="1" x14ac:dyDescent="0.3">
      <c r="A26" s="11" t="s">
        <v>111</v>
      </c>
      <c r="B26" s="12">
        <v>177400</v>
      </c>
      <c r="C26" s="12">
        <v>609200</v>
      </c>
      <c r="D26" s="12">
        <v>7.0000000000000007E-2</v>
      </c>
      <c r="E26" s="12">
        <v>0.17</v>
      </c>
      <c r="F26" s="12">
        <v>0.04</v>
      </c>
      <c r="G26" s="12">
        <v>0.09</v>
      </c>
      <c r="H26" s="12">
        <v>0.22</v>
      </c>
      <c r="I26" s="12">
        <v>0.05</v>
      </c>
      <c r="J26" s="12">
        <v>0.13</v>
      </c>
      <c r="K26" s="12">
        <v>0.31</v>
      </c>
      <c r="L26" s="12">
        <v>7.0000000000000007E-2</v>
      </c>
      <c r="M26" s="8">
        <v>8</v>
      </c>
      <c r="N26">
        <v>10</v>
      </c>
      <c r="O26" s="12">
        <v>12</v>
      </c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BF26" s="9">
        <v>0.25</v>
      </c>
      <c r="BG26" s="9">
        <f t="shared" si="1"/>
        <v>0.64168000000000003</v>
      </c>
      <c r="BH26" s="9">
        <f t="shared" si="0"/>
        <v>0.5909428571428571</v>
      </c>
      <c r="BQ26" s="8">
        <v>7</v>
      </c>
      <c r="BR26" s="8" t="s">
        <v>112</v>
      </c>
    </row>
    <row r="27" spans="1:70" ht="15" customHeight="1" x14ac:dyDescent="0.3">
      <c r="A27" s="11" t="s">
        <v>113</v>
      </c>
      <c r="B27" s="12">
        <v>272100</v>
      </c>
      <c r="C27" s="12">
        <v>747800</v>
      </c>
      <c r="D27" s="12">
        <v>0.19</v>
      </c>
      <c r="E27" s="12">
        <v>0.48</v>
      </c>
      <c r="F27" s="12">
        <v>0.09</v>
      </c>
      <c r="G27" s="12">
        <v>0.24</v>
      </c>
      <c r="H27" s="12">
        <v>0.63</v>
      </c>
      <c r="I27" s="12">
        <v>0.13</v>
      </c>
      <c r="J27" s="12">
        <v>0.32</v>
      </c>
      <c r="K27" s="12">
        <v>0.85</v>
      </c>
      <c r="L27" s="12">
        <v>0.18</v>
      </c>
      <c r="M27" s="8">
        <v>6</v>
      </c>
      <c r="N27">
        <v>7</v>
      </c>
      <c r="O27" s="12">
        <v>8</v>
      </c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BF27" s="9">
        <v>0.26</v>
      </c>
      <c r="BG27" s="9">
        <f t="shared" si="1"/>
        <v>0.64168000000000003</v>
      </c>
      <c r="BH27" s="9">
        <f t="shared" si="0"/>
        <v>0.5909428571428571</v>
      </c>
      <c r="BQ27" s="8">
        <v>5</v>
      </c>
      <c r="BR27" s="8" t="s">
        <v>114</v>
      </c>
    </row>
    <row r="28" spans="1:70" ht="15" customHeight="1" x14ac:dyDescent="0.3">
      <c r="A28" s="11" t="s">
        <v>115</v>
      </c>
      <c r="B28" s="12">
        <v>207500</v>
      </c>
      <c r="C28" s="12">
        <v>688000</v>
      </c>
      <c r="D28" s="12">
        <v>0.08</v>
      </c>
      <c r="E28" s="12">
        <v>0.21</v>
      </c>
      <c r="F28" s="12">
        <v>0.05</v>
      </c>
      <c r="G28" s="12">
        <v>0.1</v>
      </c>
      <c r="H28" s="12">
        <v>0.26</v>
      </c>
      <c r="I28" s="12">
        <v>7.0000000000000007E-2</v>
      </c>
      <c r="J28" s="12">
        <v>0.13</v>
      </c>
      <c r="K28" s="12">
        <v>0.34</v>
      </c>
      <c r="L28" s="12">
        <v>0.09</v>
      </c>
      <c r="M28" s="8">
        <v>7</v>
      </c>
      <c r="N28">
        <v>9</v>
      </c>
      <c r="O28" s="12">
        <v>11</v>
      </c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Y28" s="23">
        <v>10</v>
      </c>
      <c r="AZ28" s="24" t="s">
        <v>116</v>
      </c>
      <c r="BA28" s="25"/>
      <c r="BC28" s="27" t="s">
        <v>10</v>
      </c>
      <c r="BF28" s="9">
        <v>0.27</v>
      </c>
      <c r="BG28" s="9">
        <f t="shared" si="1"/>
        <v>0.64168000000000003</v>
      </c>
      <c r="BH28" s="9">
        <f t="shared" si="0"/>
        <v>0.5909428571428571</v>
      </c>
      <c r="BQ28" s="8">
        <v>9</v>
      </c>
      <c r="BR28" s="8" t="s">
        <v>117</v>
      </c>
    </row>
    <row r="29" spans="1:70" ht="15" customHeight="1" x14ac:dyDescent="0.3">
      <c r="A29" s="11" t="s">
        <v>118</v>
      </c>
      <c r="B29" s="12">
        <v>241500</v>
      </c>
      <c r="C29" s="12">
        <v>620800</v>
      </c>
      <c r="D29" s="12">
        <v>0.19</v>
      </c>
      <c r="E29" s="12">
        <v>0.48</v>
      </c>
      <c r="F29" s="12">
        <v>0.09</v>
      </c>
      <c r="G29" s="12">
        <v>0.26</v>
      </c>
      <c r="H29" s="12">
        <v>0.66</v>
      </c>
      <c r="I29" s="12">
        <v>0.13</v>
      </c>
      <c r="J29" s="12">
        <v>0.36</v>
      </c>
      <c r="K29" s="12">
        <v>0.92</v>
      </c>
      <c r="L29" s="12">
        <v>0.19</v>
      </c>
      <c r="M29" s="8">
        <v>5</v>
      </c>
      <c r="N29">
        <v>6</v>
      </c>
      <c r="O29" s="12">
        <v>7</v>
      </c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Y29" s="23">
        <f>DRS!C18</f>
        <v>0.26</v>
      </c>
      <c r="AZ29" s="23">
        <f>DRS!F18</f>
        <v>0.43</v>
      </c>
      <c r="BA29" s="25" t="s">
        <v>60</v>
      </c>
      <c r="BC29" s="28">
        <f>DRS!D13</f>
        <v>1</v>
      </c>
      <c r="BF29" s="9">
        <v>0.28000000000000003</v>
      </c>
      <c r="BG29" s="9">
        <f t="shared" si="1"/>
        <v>0.64168000000000003</v>
      </c>
      <c r="BH29" s="9">
        <f t="shared" si="0"/>
        <v>0.5909428571428571</v>
      </c>
      <c r="BQ29" s="8">
        <v>7</v>
      </c>
      <c r="BR29" s="8" t="s">
        <v>119</v>
      </c>
    </row>
    <row r="30" spans="1:70" ht="15.75" customHeight="1" x14ac:dyDescent="0.3">
      <c r="A30" s="11" t="s">
        <v>120</v>
      </c>
      <c r="B30" s="12">
        <v>136600</v>
      </c>
      <c r="C30" s="12">
        <v>567800</v>
      </c>
      <c r="D30" s="12">
        <v>0.04</v>
      </c>
      <c r="E30" s="12">
        <v>0.09</v>
      </c>
      <c r="F30" s="12">
        <v>0.03</v>
      </c>
      <c r="G30" s="12">
        <v>0.05</v>
      </c>
      <c r="H30" s="12">
        <v>0.11</v>
      </c>
      <c r="I30" s="12">
        <v>0.04</v>
      </c>
      <c r="J30" s="12">
        <v>0.06</v>
      </c>
      <c r="K30" s="12">
        <v>0.14000000000000001</v>
      </c>
      <c r="L30" s="12">
        <v>0.05</v>
      </c>
      <c r="M30" s="8">
        <v>9</v>
      </c>
      <c r="N30">
        <v>11</v>
      </c>
      <c r="O30" s="12">
        <v>14</v>
      </c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Y30" s="23">
        <f>DRS!B18</f>
        <v>0.1</v>
      </c>
      <c r="AZ30" s="23">
        <f>DRS!E18</f>
        <v>0.16</v>
      </c>
      <c r="BA30" s="25" t="s">
        <v>11</v>
      </c>
      <c r="BF30" s="9">
        <v>0.28999999999999998</v>
      </c>
      <c r="BG30" s="9">
        <f t="shared" si="1"/>
        <v>0.64168000000000003</v>
      </c>
      <c r="BH30" s="9">
        <f t="shared" si="0"/>
        <v>0.5909428571428571</v>
      </c>
      <c r="BQ30" s="8">
        <v>6</v>
      </c>
      <c r="BR30" s="8" t="s">
        <v>121</v>
      </c>
    </row>
    <row r="31" spans="1:70" ht="15" customHeight="1" x14ac:dyDescent="0.3">
      <c r="A31" s="11" t="s">
        <v>122</v>
      </c>
      <c r="B31" s="12">
        <v>201500</v>
      </c>
      <c r="C31" s="12">
        <v>606500</v>
      </c>
      <c r="D31" s="12">
        <v>0.08</v>
      </c>
      <c r="E31" s="12">
        <v>0.19</v>
      </c>
      <c r="F31" s="12">
        <v>0.05</v>
      </c>
      <c r="G31" s="12">
        <v>0.1</v>
      </c>
      <c r="H31" s="12">
        <v>0.25</v>
      </c>
      <c r="I31" s="12">
        <v>0.06</v>
      </c>
      <c r="J31" s="12">
        <v>0.13</v>
      </c>
      <c r="K31" s="12">
        <v>0.33</v>
      </c>
      <c r="L31" s="12">
        <v>0.08</v>
      </c>
      <c r="M31" s="8">
        <v>7</v>
      </c>
      <c r="N31">
        <v>9</v>
      </c>
      <c r="O31" s="12">
        <v>11</v>
      </c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Y31" s="26">
        <f>DRS!B22</f>
        <v>0.21</v>
      </c>
      <c r="AZ31" s="26">
        <f>DRS!E22</f>
        <v>0.27264285714285719</v>
      </c>
      <c r="BA31" s="25" t="s">
        <v>66</v>
      </c>
      <c r="BF31" s="9">
        <v>0.3</v>
      </c>
      <c r="BG31" s="9">
        <f t="shared" si="1"/>
        <v>0.64168000000000003</v>
      </c>
      <c r="BH31" s="9">
        <f t="shared" si="0"/>
        <v>0.5909428571428571</v>
      </c>
      <c r="BQ31" s="8">
        <v>7</v>
      </c>
      <c r="BR31" s="8" t="s">
        <v>123</v>
      </c>
    </row>
    <row r="32" spans="1:70" ht="15" customHeight="1" x14ac:dyDescent="0.3">
      <c r="A32" s="11" t="s">
        <v>124</v>
      </c>
      <c r="B32" s="12">
        <v>225700</v>
      </c>
      <c r="C32" s="12">
        <v>717300</v>
      </c>
      <c r="D32" s="12">
        <v>0.15</v>
      </c>
      <c r="E32" s="12">
        <v>0.38</v>
      </c>
      <c r="F32" s="12">
        <v>0.08</v>
      </c>
      <c r="G32" s="12">
        <v>0.21</v>
      </c>
      <c r="H32" s="12">
        <v>0.52</v>
      </c>
      <c r="I32" s="12">
        <v>0.11</v>
      </c>
      <c r="J32" s="12">
        <v>0.28999999999999998</v>
      </c>
      <c r="K32" s="12">
        <v>0.74</v>
      </c>
      <c r="L32" s="12">
        <v>0.15</v>
      </c>
      <c r="M32" s="8">
        <v>6</v>
      </c>
      <c r="N32">
        <v>7</v>
      </c>
      <c r="O32" s="12">
        <v>8</v>
      </c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Y32" s="26">
        <f>DRS!B20</f>
        <v>0.64168000000000003</v>
      </c>
      <c r="AZ32" s="26">
        <f>DRS!E20</f>
        <v>0.5909428571428571</v>
      </c>
      <c r="BA32" s="25" t="s">
        <v>69</v>
      </c>
      <c r="BF32" s="9">
        <v>0.31</v>
      </c>
      <c r="BG32" s="9">
        <f t="shared" si="1"/>
        <v>0.64168000000000003</v>
      </c>
      <c r="BH32" s="9">
        <f t="shared" si="0"/>
        <v>0.5909428571428571</v>
      </c>
      <c r="BQ32" s="8">
        <v>7</v>
      </c>
      <c r="BR32" s="8" t="s">
        <v>125</v>
      </c>
    </row>
    <row r="33" spans="1:70" ht="15.75" customHeight="1" x14ac:dyDescent="0.3">
      <c r="A33" s="11" t="s">
        <v>126</v>
      </c>
      <c r="B33" s="12">
        <v>220200</v>
      </c>
      <c r="C33" s="12">
        <v>776000</v>
      </c>
      <c r="D33" s="12">
        <v>0.12</v>
      </c>
      <c r="E33" s="12">
        <v>0.28999999999999998</v>
      </c>
      <c r="F33" s="12">
        <v>0.06</v>
      </c>
      <c r="G33" s="12">
        <v>0.15</v>
      </c>
      <c r="H33" s="12">
        <v>0.37</v>
      </c>
      <c r="I33" s="12">
        <v>0.08</v>
      </c>
      <c r="J33" s="12">
        <v>0.19</v>
      </c>
      <c r="K33" s="12">
        <v>0.49</v>
      </c>
      <c r="L33" s="12">
        <v>0.11</v>
      </c>
      <c r="M33" s="8">
        <v>7</v>
      </c>
      <c r="N33">
        <v>8</v>
      </c>
      <c r="O33" s="12">
        <v>10</v>
      </c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Y33" s="26">
        <f>DRS!D24</f>
        <v>6.5453185388355567E-2</v>
      </c>
      <c r="AZ33" s="26">
        <f>DRS!G24</f>
        <v>9.2273848087801605E-2</v>
      </c>
      <c r="BA33" s="25" t="s">
        <v>73</v>
      </c>
      <c r="BF33" s="9">
        <v>0.32</v>
      </c>
      <c r="BG33" s="9">
        <f t="shared" si="1"/>
        <v>0.64168000000000003</v>
      </c>
      <c r="BH33" s="9">
        <f t="shared" si="0"/>
        <v>0.5909428571428571</v>
      </c>
      <c r="BQ33" s="8">
        <v>8</v>
      </c>
      <c r="BR33" s="8" t="s">
        <v>127</v>
      </c>
    </row>
    <row r="34" spans="1:70" ht="15" customHeight="1" x14ac:dyDescent="0.3">
      <c r="A34" s="11" t="s">
        <v>128</v>
      </c>
      <c r="B34" s="12">
        <v>199500</v>
      </c>
      <c r="C34" s="12">
        <v>618700</v>
      </c>
      <c r="D34" s="12">
        <v>7.0000000000000007E-2</v>
      </c>
      <c r="E34" s="12">
        <v>0.18</v>
      </c>
      <c r="F34" s="12">
        <v>0.05</v>
      </c>
      <c r="G34" s="12">
        <v>0.09</v>
      </c>
      <c r="H34" s="12">
        <v>0.22</v>
      </c>
      <c r="I34" s="12">
        <v>0.06</v>
      </c>
      <c r="J34" s="12">
        <v>0.12</v>
      </c>
      <c r="K34" s="12">
        <v>0.3</v>
      </c>
      <c r="L34" s="12">
        <v>0.08</v>
      </c>
      <c r="M34" s="8">
        <v>7</v>
      </c>
      <c r="N34">
        <v>9</v>
      </c>
      <c r="O34" s="12">
        <v>11</v>
      </c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Y34" s="26">
        <f>DRS!C24</f>
        <v>0.32726592694177781</v>
      </c>
      <c r="AZ34" s="26">
        <f>DRS!F24</f>
        <v>0.46136924043900801</v>
      </c>
      <c r="BA34" s="25" t="s">
        <v>76</v>
      </c>
      <c r="BF34" s="9">
        <v>0.33</v>
      </c>
      <c r="BG34" s="9">
        <f t="shared" si="1"/>
        <v>0.63636363636363635</v>
      </c>
      <c r="BH34" s="9">
        <f t="shared" si="0"/>
        <v>0.5909428571428571</v>
      </c>
      <c r="BQ34" s="8">
        <v>6</v>
      </c>
      <c r="BR34" s="8" t="s">
        <v>129</v>
      </c>
    </row>
    <row r="35" spans="1:70" ht="15" customHeight="1" x14ac:dyDescent="0.3">
      <c r="A35" s="11" t="s">
        <v>130</v>
      </c>
      <c r="B35" s="12">
        <v>185700</v>
      </c>
      <c r="C35" s="12">
        <v>685500</v>
      </c>
      <c r="D35" s="12">
        <v>0.06</v>
      </c>
      <c r="E35" s="12">
        <v>0.15</v>
      </c>
      <c r="F35" s="12">
        <v>0.04</v>
      </c>
      <c r="G35" s="12">
        <v>0.08</v>
      </c>
      <c r="H35" s="12">
        <v>0.2</v>
      </c>
      <c r="I35" s="12">
        <v>0.06</v>
      </c>
      <c r="J35" s="12">
        <v>0.1</v>
      </c>
      <c r="K35" s="12">
        <v>0.26</v>
      </c>
      <c r="L35" s="12">
        <v>0.08</v>
      </c>
      <c r="M35" s="8">
        <v>8</v>
      </c>
      <c r="N35">
        <v>10</v>
      </c>
      <c r="O35" s="12">
        <v>12</v>
      </c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Y35" s="23">
        <f>DRS!B24</f>
        <v>7</v>
      </c>
      <c r="AZ35" s="23">
        <f>DRS!E24</f>
        <v>10</v>
      </c>
      <c r="BA35" s="25" t="s">
        <v>80</v>
      </c>
      <c r="BF35" s="9">
        <v>0.34</v>
      </c>
      <c r="BG35" s="9">
        <f t="shared" si="1"/>
        <v>0.61764705882352933</v>
      </c>
      <c r="BH35" s="9">
        <f t="shared" si="0"/>
        <v>0.5909428571428571</v>
      </c>
      <c r="BQ35" s="8">
        <v>9</v>
      </c>
      <c r="BR35" s="8" t="s">
        <v>131</v>
      </c>
    </row>
    <row r="36" spans="1:70" ht="15" customHeight="1" x14ac:dyDescent="0.3">
      <c r="A36" s="11" t="s">
        <v>132</v>
      </c>
      <c r="B36" s="12">
        <v>270200</v>
      </c>
      <c r="C36" s="12">
        <v>788800</v>
      </c>
      <c r="D36" s="12">
        <v>0.2</v>
      </c>
      <c r="E36" s="12">
        <v>0.51</v>
      </c>
      <c r="F36" s="12">
        <v>0.1</v>
      </c>
      <c r="G36" s="12">
        <v>0.26</v>
      </c>
      <c r="H36" s="12">
        <v>0.67</v>
      </c>
      <c r="I36" s="12">
        <v>0.14000000000000001</v>
      </c>
      <c r="J36" s="12">
        <v>0.35</v>
      </c>
      <c r="K36" s="12">
        <v>0.91</v>
      </c>
      <c r="L36" s="12">
        <v>0.19</v>
      </c>
      <c r="M36" s="8">
        <v>6</v>
      </c>
      <c r="N36">
        <v>7</v>
      </c>
      <c r="O36" s="12">
        <v>8</v>
      </c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BF36" s="9">
        <v>0.35</v>
      </c>
      <c r="BG36" s="9">
        <f t="shared" si="1"/>
        <v>0.6</v>
      </c>
      <c r="BH36" s="9">
        <f t="shared" si="0"/>
        <v>0.5909428571428571</v>
      </c>
      <c r="BQ36" s="8">
        <v>6</v>
      </c>
      <c r="BR36" s="8" t="s">
        <v>133</v>
      </c>
    </row>
    <row r="37" spans="1:70" ht="15" customHeight="1" x14ac:dyDescent="0.3">
      <c r="A37" s="11" t="s">
        <v>134</v>
      </c>
      <c r="B37" s="12">
        <v>145500</v>
      </c>
      <c r="C37" s="12">
        <v>572000</v>
      </c>
      <c r="D37" s="12">
        <v>0.04</v>
      </c>
      <c r="E37" s="12">
        <v>0.09</v>
      </c>
      <c r="F37" s="12">
        <v>0.03</v>
      </c>
      <c r="G37" s="12">
        <v>0.05</v>
      </c>
      <c r="H37" s="12">
        <v>0.11</v>
      </c>
      <c r="I37" s="12">
        <v>0.04</v>
      </c>
      <c r="J37" s="12">
        <v>0.06</v>
      </c>
      <c r="K37" s="12">
        <v>0.15</v>
      </c>
      <c r="L37" s="12">
        <v>0.06</v>
      </c>
      <c r="M37" s="8">
        <v>9</v>
      </c>
      <c r="N37">
        <v>11</v>
      </c>
      <c r="O37" s="12">
        <v>13</v>
      </c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BF37" s="9">
        <v>0.36</v>
      </c>
      <c r="BG37" s="9">
        <f t="shared" si="1"/>
        <v>0.58333333333333337</v>
      </c>
      <c r="BH37" s="9">
        <f t="shared" si="0"/>
        <v>0.5909428571428571</v>
      </c>
      <c r="BQ37" s="8">
        <v>7</v>
      </c>
      <c r="BR37" s="8" t="s">
        <v>135</v>
      </c>
    </row>
    <row r="38" spans="1:70" ht="15" customHeight="1" x14ac:dyDescent="0.3">
      <c r="A38" s="11" t="s">
        <v>136</v>
      </c>
      <c r="B38" s="12">
        <v>214500</v>
      </c>
      <c r="C38" s="12">
        <v>713600</v>
      </c>
      <c r="D38" s="12">
        <v>0.12</v>
      </c>
      <c r="E38" s="12">
        <v>0.3</v>
      </c>
      <c r="F38" s="12">
        <v>7.0000000000000007E-2</v>
      </c>
      <c r="G38" s="12">
        <v>0.16</v>
      </c>
      <c r="H38" s="12">
        <v>0.41</v>
      </c>
      <c r="I38" s="12">
        <v>0.09</v>
      </c>
      <c r="J38" s="12">
        <v>0.23</v>
      </c>
      <c r="K38" s="12">
        <v>0.59</v>
      </c>
      <c r="L38" s="12">
        <v>0.12</v>
      </c>
      <c r="M38" s="8">
        <v>6</v>
      </c>
      <c r="N38">
        <v>7</v>
      </c>
      <c r="O38" s="12">
        <v>9</v>
      </c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BF38" s="9">
        <v>0.37</v>
      </c>
      <c r="BG38" s="9">
        <f t="shared" si="1"/>
        <v>0.56756756756756754</v>
      </c>
      <c r="BH38" s="9">
        <f t="shared" si="0"/>
        <v>0.5909428571428571</v>
      </c>
      <c r="BQ38" s="8">
        <v>8</v>
      </c>
      <c r="BR38" s="8" t="s">
        <v>137</v>
      </c>
    </row>
    <row r="39" spans="1:70" ht="15.75" customHeight="1" x14ac:dyDescent="0.3">
      <c r="A39" s="11" t="s">
        <v>138</v>
      </c>
      <c r="B39" s="12">
        <v>205800</v>
      </c>
      <c r="C39" s="12">
        <v>708200</v>
      </c>
      <c r="D39" s="12">
        <v>0.09</v>
      </c>
      <c r="E39" s="12">
        <v>0.23</v>
      </c>
      <c r="F39" s="12">
        <v>0.06</v>
      </c>
      <c r="G39" s="12">
        <v>0.12</v>
      </c>
      <c r="H39" s="12">
        <v>0.3</v>
      </c>
      <c r="I39" s="12">
        <v>7.0000000000000007E-2</v>
      </c>
      <c r="J39" s="12">
        <v>0.16</v>
      </c>
      <c r="K39" s="12">
        <v>0.41</v>
      </c>
      <c r="L39" s="12">
        <v>0.1</v>
      </c>
      <c r="M39" s="8">
        <v>7</v>
      </c>
      <c r="N39">
        <v>8</v>
      </c>
      <c r="O39" s="12">
        <v>10</v>
      </c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BF39" s="9">
        <v>0.38</v>
      </c>
      <c r="BG39" s="9">
        <f t="shared" si="1"/>
        <v>0.55263157894736836</v>
      </c>
      <c r="BH39" s="9">
        <f t="shared" si="0"/>
        <v>0.5909428571428571</v>
      </c>
      <c r="BQ39" s="8">
        <v>6</v>
      </c>
      <c r="BR39" s="8" t="s">
        <v>139</v>
      </c>
    </row>
    <row r="40" spans="1:70" ht="15.75" customHeight="1" x14ac:dyDescent="0.3">
      <c r="A40" s="11" t="s">
        <v>140</v>
      </c>
      <c r="B40" s="12">
        <v>189000</v>
      </c>
      <c r="C40" s="12">
        <v>576000</v>
      </c>
      <c r="D40" s="12">
        <v>7.0000000000000007E-2</v>
      </c>
      <c r="E40" s="12">
        <v>0.16</v>
      </c>
      <c r="F40" s="12">
        <v>0.04</v>
      </c>
      <c r="G40" s="12">
        <v>0.08</v>
      </c>
      <c r="H40" s="12">
        <v>0.2</v>
      </c>
      <c r="I40" s="12">
        <v>0.05</v>
      </c>
      <c r="J40" s="12">
        <v>0.11</v>
      </c>
      <c r="K40" s="12">
        <v>0.27</v>
      </c>
      <c r="L40" s="12">
        <v>7.0000000000000007E-2</v>
      </c>
      <c r="M40" s="8">
        <v>8</v>
      </c>
      <c r="N40">
        <v>9</v>
      </c>
      <c r="O40" s="12">
        <v>11</v>
      </c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BF40" s="9">
        <v>0.39</v>
      </c>
      <c r="BG40" s="9">
        <f t="shared" si="1"/>
        <v>0.53846153846153844</v>
      </c>
      <c r="BH40" s="9">
        <f t="shared" si="0"/>
        <v>0.5909428571428571</v>
      </c>
      <c r="BQ40" s="8">
        <v>7</v>
      </c>
      <c r="BR40" s="8" t="s">
        <v>141</v>
      </c>
    </row>
    <row r="41" spans="1:70" ht="15" customHeight="1" x14ac:dyDescent="0.3">
      <c r="A41" s="11" t="s">
        <v>142</v>
      </c>
      <c r="B41" s="12">
        <v>222900</v>
      </c>
      <c r="C41" s="12">
        <v>718700</v>
      </c>
      <c r="D41" s="12">
        <v>0.15</v>
      </c>
      <c r="E41" s="12">
        <v>0.37</v>
      </c>
      <c r="F41" s="12">
        <v>0.08</v>
      </c>
      <c r="G41" s="12">
        <v>0.2</v>
      </c>
      <c r="H41" s="12">
        <v>0.51</v>
      </c>
      <c r="I41" s="12">
        <v>0.1</v>
      </c>
      <c r="J41" s="12">
        <v>0.28999999999999998</v>
      </c>
      <c r="K41" s="12">
        <v>0.73</v>
      </c>
      <c r="L41" s="12">
        <v>0.15</v>
      </c>
      <c r="M41" s="8">
        <v>6</v>
      </c>
      <c r="N41">
        <v>7</v>
      </c>
      <c r="O41" s="12">
        <v>8</v>
      </c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BF41" s="9">
        <v>0.4</v>
      </c>
      <c r="BG41" s="9">
        <f t="shared" si="1"/>
        <v>0.52499999999999991</v>
      </c>
      <c r="BH41" s="9">
        <f t="shared" si="0"/>
        <v>0.5909428571428571</v>
      </c>
      <c r="BQ41" s="8">
        <v>8</v>
      </c>
      <c r="BR41" s="8" t="s">
        <v>143</v>
      </c>
    </row>
    <row r="42" spans="1:70" ht="15" customHeight="1" x14ac:dyDescent="0.3">
      <c r="A42" s="11" t="s">
        <v>144</v>
      </c>
      <c r="B42" s="12">
        <v>199500</v>
      </c>
      <c r="C42" s="12">
        <v>697300</v>
      </c>
      <c r="D42" s="12">
        <v>0.08</v>
      </c>
      <c r="E42" s="12">
        <v>0.19</v>
      </c>
      <c r="F42" s="12">
        <v>0.05</v>
      </c>
      <c r="G42" s="12">
        <v>0.1</v>
      </c>
      <c r="H42" s="12">
        <v>0.24</v>
      </c>
      <c r="I42" s="12">
        <v>0.06</v>
      </c>
      <c r="J42" s="12">
        <v>0.12</v>
      </c>
      <c r="K42" s="12">
        <v>0.31</v>
      </c>
      <c r="L42" s="12">
        <v>0.09</v>
      </c>
      <c r="M42" s="8">
        <v>7</v>
      </c>
      <c r="N42">
        <v>9</v>
      </c>
      <c r="O42" s="12">
        <v>11</v>
      </c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BF42" s="9">
        <v>0.41</v>
      </c>
      <c r="BG42" s="9">
        <f t="shared" si="1"/>
        <v>0.51219512195121952</v>
      </c>
      <c r="BH42" s="9">
        <f t="shared" si="0"/>
        <v>0.5909428571428571</v>
      </c>
      <c r="BQ42" s="8">
        <v>6</v>
      </c>
      <c r="BR42" s="8" t="s">
        <v>145</v>
      </c>
    </row>
    <row r="43" spans="1:70" ht="15.75" customHeight="1" x14ac:dyDescent="0.3">
      <c r="A43" s="11" t="s">
        <v>146</v>
      </c>
      <c r="B43" s="12">
        <v>163900</v>
      </c>
      <c r="C43" s="12">
        <v>580500</v>
      </c>
      <c r="D43" s="12">
        <v>0.05</v>
      </c>
      <c r="E43" s="12">
        <v>0.11</v>
      </c>
      <c r="F43" s="12">
        <v>0.04</v>
      </c>
      <c r="G43" s="12">
        <v>0.06</v>
      </c>
      <c r="H43" s="12">
        <v>0.14000000000000001</v>
      </c>
      <c r="I43" s="12">
        <v>0.05</v>
      </c>
      <c r="J43" s="12">
        <v>0.08</v>
      </c>
      <c r="K43" s="12">
        <v>0.19</v>
      </c>
      <c r="L43" s="12">
        <v>0.06</v>
      </c>
      <c r="M43" s="8">
        <v>8</v>
      </c>
      <c r="N43">
        <v>10</v>
      </c>
      <c r="O43" s="12">
        <v>13</v>
      </c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BF43" s="9">
        <v>0.42</v>
      </c>
      <c r="BG43" s="9">
        <f t="shared" si="1"/>
        <v>0.5</v>
      </c>
      <c r="BH43" s="9">
        <f t="shared" si="0"/>
        <v>0.5909428571428571</v>
      </c>
      <c r="BQ43" s="8">
        <v>8</v>
      </c>
      <c r="BR43" s="8" t="s">
        <v>147</v>
      </c>
    </row>
    <row r="44" spans="1:70" ht="15" customHeight="1" x14ac:dyDescent="0.3">
      <c r="A44" s="11" t="s">
        <v>148</v>
      </c>
      <c r="B44" s="12">
        <v>242000</v>
      </c>
      <c r="C44" s="12">
        <v>767900</v>
      </c>
      <c r="D44" s="12">
        <v>0.18</v>
      </c>
      <c r="E44" s="12">
        <v>0.47</v>
      </c>
      <c r="F44" s="12">
        <v>0.09</v>
      </c>
      <c r="G44" s="12">
        <v>0.23</v>
      </c>
      <c r="H44" s="12">
        <v>0.6</v>
      </c>
      <c r="I44" s="12">
        <v>0.12</v>
      </c>
      <c r="J44" s="12">
        <v>0.3</v>
      </c>
      <c r="K44" s="12">
        <v>0.8</v>
      </c>
      <c r="L44" s="12">
        <v>0.17</v>
      </c>
      <c r="M44" s="8">
        <v>6</v>
      </c>
      <c r="N44">
        <v>7</v>
      </c>
      <c r="O44" s="12">
        <v>8</v>
      </c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BF44" s="9">
        <v>0.43</v>
      </c>
      <c r="BG44" s="9">
        <f t="shared" si="1"/>
        <v>0.48837209302325579</v>
      </c>
      <c r="BH44" s="9">
        <f t="shared" si="0"/>
        <v>0.5909428571428571</v>
      </c>
      <c r="BQ44" s="8">
        <v>8</v>
      </c>
      <c r="BR44" s="8" t="s">
        <v>149</v>
      </c>
    </row>
    <row r="45" spans="1:70" ht="15" customHeight="1" x14ac:dyDescent="0.3">
      <c r="A45" s="11" t="s">
        <v>150</v>
      </c>
      <c r="B45" s="12">
        <v>162200</v>
      </c>
      <c r="C45" s="12">
        <v>607400</v>
      </c>
      <c r="D45" s="12">
        <v>0.06</v>
      </c>
      <c r="E45" s="12">
        <v>0.14000000000000001</v>
      </c>
      <c r="F45" s="12">
        <v>0.04</v>
      </c>
      <c r="G45" s="12">
        <v>0.08</v>
      </c>
      <c r="H45" s="12">
        <v>0.19</v>
      </c>
      <c r="I45" s="12">
        <v>0.05</v>
      </c>
      <c r="J45" s="12">
        <v>0.11</v>
      </c>
      <c r="K45" s="12">
        <v>0.27</v>
      </c>
      <c r="L45" s="12">
        <v>0.06</v>
      </c>
      <c r="M45" s="8">
        <v>8</v>
      </c>
      <c r="N45">
        <v>10</v>
      </c>
      <c r="O45" s="12">
        <v>12</v>
      </c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BF45" s="9">
        <v>0.44</v>
      </c>
      <c r="BG45" s="9">
        <f t="shared" si="1"/>
        <v>0.47727272727272724</v>
      </c>
      <c r="BH45" s="9">
        <f t="shared" si="0"/>
        <v>0.5909428571428571</v>
      </c>
      <c r="BQ45" s="8">
        <v>7</v>
      </c>
      <c r="BR45" s="8" t="s">
        <v>151</v>
      </c>
    </row>
    <row r="46" spans="1:70" ht="15" customHeight="1" x14ac:dyDescent="0.3">
      <c r="A46" s="11" t="s">
        <v>152</v>
      </c>
      <c r="B46" s="12">
        <v>185600</v>
      </c>
      <c r="C46" s="12">
        <v>659700</v>
      </c>
      <c r="D46" s="12">
        <v>0.06</v>
      </c>
      <c r="E46" s="12">
        <v>0.14000000000000001</v>
      </c>
      <c r="F46" s="12">
        <v>0.04</v>
      </c>
      <c r="G46" s="12">
        <v>7.0000000000000007E-2</v>
      </c>
      <c r="H46" s="12">
        <v>0.18</v>
      </c>
      <c r="I46" s="12">
        <v>0.05</v>
      </c>
      <c r="J46" s="12">
        <v>0.09</v>
      </c>
      <c r="K46" s="12">
        <v>0.23</v>
      </c>
      <c r="L46" s="12">
        <v>7.0000000000000007E-2</v>
      </c>
      <c r="M46" s="8">
        <v>8</v>
      </c>
      <c r="N46">
        <v>10</v>
      </c>
      <c r="O46" s="12">
        <v>12</v>
      </c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BF46" s="9">
        <v>0.45</v>
      </c>
      <c r="BG46" s="9">
        <f t="shared" si="1"/>
        <v>0.46666666666666662</v>
      </c>
      <c r="BH46" s="9">
        <f t="shared" si="0"/>
        <v>0.5909428571428571</v>
      </c>
      <c r="BQ46" s="8">
        <v>7</v>
      </c>
      <c r="BR46" s="8" t="s">
        <v>153</v>
      </c>
    </row>
    <row r="47" spans="1:70" ht="15" customHeight="1" x14ac:dyDescent="0.3">
      <c r="A47" s="11" t="s">
        <v>154</v>
      </c>
      <c r="B47" s="12">
        <v>192500</v>
      </c>
      <c r="C47" s="12">
        <v>712700</v>
      </c>
      <c r="D47" s="12">
        <v>0.08</v>
      </c>
      <c r="E47" s="12">
        <v>0.19</v>
      </c>
      <c r="F47" s="12">
        <v>0.05</v>
      </c>
      <c r="G47" s="12">
        <v>0.1</v>
      </c>
      <c r="H47" s="12">
        <v>0.25</v>
      </c>
      <c r="I47" s="12">
        <v>0.06</v>
      </c>
      <c r="J47" s="12">
        <v>0.13</v>
      </c>
      <c r="K47" s="12">
        <v>0.34</v>
      </c>
      <c r="L47" s="12">
        <v>0.09</v>
      </c>
      <c r="M47" s="8">
        <v>7</v>
      </c>
      <c r="N47">
        <v>9</v>
      </c>
      <c r="O47" s="12">
        <v>11</v>
      </c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BF47" s="9">
        <v>0.46</v>
      </c>
      <c r="BG47" s="9">
        <f t="shared" si="1"/>
        <v>0.45652173913043476</v>
      </c>
      <c r="BH47" s="9">
        <f t="shared" si="0"/>
        <v>0.5909428571428571</v>
      </c>
      <c r="BQ47" s="8">
        <v>7</v>
      </c>
      <c r="BR47" s="8" t="s">
        <v>155</v>
      </c>
    </row>
    <row r="48" spans="1:70" ht="15" customHeight="1" x14ac:dyDescent="0.3">
      <c r="A48" s="11" t="s">
        <v>156</v>
      </c>
      <c r="B48" s="12">
        <v>214500</v>
      </c>
      <c r="C48" s="12">
        <v>629000</v>
      </c>
      <c r="D48" s="12">
        <v>0.09</v>
      </c>
      <c r="E48" s="12">
        <v>0.21</v>
      </c>
      <c r="F48" s="12">
        <v>0.05</v>
      </c>
      <c r="G48" s="12">
        <v>0.11</v>
      </c>
      <c r="H48" s="12">
        <v>0.27</v>
      </c>
      <c r="I48" s="12">
        <v>7.0000000000000007E-2</v>
      </c>
      <c r="J48" s="12">
        <v>0.14000000000000001</v>
      </c>
      <c r="K48" s="12">
        <v>0.36</v>
      </c>
      <c r="L48" s="12">
        <v>0.1</v>
      </c>
      <c r="M48" s="8">
        <v>7</v>
      </c>
      <c r="N48">
        <v>8</v>
      </c>
      <c r="O48" s="12">
        <v>10</v>
      </c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BF48" s="9">
        <v>0.47</v>
      </c>
      <c r="BG48" s="9">
        <f t="shared" si="1"/>
        <v>0.44680851063829791</v>
      </c>
      <c r="BH48" s="9">
        <f t="shared" si="0"/>
        <v>0.58009118541033444</v>
      </c>
      <c r="BQ48" s="8">
        <v>8</v>
      </c>
      <c r="BR48" s="8" t="s">
        <v>157</v>
      </c>
    </row>
    <row r="49" spans="1:70" ht="15" customHeight="1" x14ac:dyDescent="0.3">
      <c r="A49" s="11" t="s">
        <v>158</v>
      </c>
      <c r="B49" s="12">
        <v>201500</v>
      </c>
      <c r="C49" s="12">
        <v>535800</v>
      </c>
      <c r="D49" s="12">
        <v>0.08</v>
      </c>
      <c r="E49" s="12">
        <v>0.2</v>
      </c>
      <c r="F49" s="12">
        <v>0.05</v>
      </c>
      <c r="G49" s="12">
        <v>0.1</v>
      </c>
      <c r="H49" s="12">
        <v>0.25</v>
      </c>
      <c r="I49" s="12">
        <v>0.06</v>
      </c>
      <c r="J49" s="12">
        <v>0.13</v>
      </c>
      <c r="K49" s="12">
        <v>0.34</v>
      </c>
      <c r="L49" s="12">
        <v>0.09</v>
      </c>
      <c r="M49" s="8">
        <v>7</v>
      </c>
      <c r="N49">
        <v>8</v>
      </c>
      <c r="O49" s="12">
        <v>10</v>
      </c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BF49" s="9">
        <v>0.48</v>
      </c>
      <c r="BG49" s="9">
        <f t="shared" si="1"/>
        <v>0.4375</v>
      </c>
      <c r="BH49" s="9">
        <f t="shared" si="0"/>
        <v>0.56800595238095253</v>
      </c>
      <c r="BQ49" s="8">
        <v>6</v>
      </c>
      <c r="BR49" s="8" t="s">
        <v>159</v>
      </c>
    </row>
    <row r="50" spans="1:70" ht="15" customHeight="1" x14ac:dyDescent="0.3">
      <c r="A50" s="11" t="s">
        <v>160</v>
      </c>
      <c r="B50" s="12">
        <v>174900</v>
      </c>
      <c r="C50" s="12">
        <v>627600</v>
      </c>
      <c r="D50" s="12">
        <v>0.06</v>
      </c>
      <c r="E50" s="12">
        <v>0.16</v>
      </c>
      <c r="F50" s="12">
        <v>0.04</v>
      </c>
      <c r="G50" s="12">
        <v>0.08</v>
      </c>
      <c r="H50" s="12">
        <v>0.2</v>
      </c>
      <c r="I50" s="12">
        <v>0.05</v>
      </c>
      <c r="J50" s="12">
        <v>0.12</v>
      </c>
      <c r="K50" s="12">
        <v>0.28999999999999998</v>
      </c>
      <c r="L50" s="12">
        <v>7.0000000000000007E-2</v>
      </c>
      <c r="M50" s="8">
        <v>8</v>
      </c>
      <c r="N50">
        <v>10</v>
      </c>
      <c r="O50" s="12">
        <v>12</v>
      </c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BF50" s="9">
        <v>0.49</v>
      </c>
      <c r="BG50" s="9">
        <f t="shared" si="1"/>
        <v>0.42857142857142855</v>
      </c>
      <c r="BH50" s="9">
        <f t="shared" si="0"/>
        <v>0.55641399416909632</v>
      </c>
      <c r="BQ50" s="8">
        <v>9</v>
      </c>
      <c r="BR50" s="8" t="s">
        <v>161</v>
      </c>
    </row>
    <row r="51" spans="1:70" ht="15" customHeight="1" x14ac:dyDescent="0.3">
      <c r="A51" s="11" t="s">
        <v>162</v>
      </c>
      <c r="B51" s="12">
        <v>271300</v>
      </c>
      <c r="C51" s="12">
        <v>777100</v>
      </c>
      <c r="D51" s="12">
        <v>0.19</v>
      </c>
      <c r="E51" s="12">
        <v>0.47</v>
      </c>
      <c r="F51" s="12">
        <v>0.09</v>
      </c>
      <c r="G51" s="12">
        <v>0.24</v>
      </c>
      <c r="H51" s="12">
        <v>0.61</v>
      </c>
      <c r="I51" s="12">
        <v>0.13</v>
      </c>
      <c r="J51" s="12">
        <v>0.31</v>
      </c>
      <c r="K51" s="12">
        <v>0.83</v>
      </c>
      <c r="L51" s="12">
        <v>0.18</v>
      </c>
      <c r="M51" s="8">
        <v>6</v>
      </c>
      <c r="N51">
        <v>7</v>
      </c>
      <c r="O51" s="12">
        <v>8</v>
      </c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BF51" s="9">
        <v>0.5</v>
      </c>
      <c r="BG51" s="9">
        <f t="shared" si="1"/>
        <v>0.42</v>
      </c>
      <c r="BH51" s="9">
        <f t="shared" si="0"/>
        <v>0.54528571428571437</v>
      </c>
      <c r="BQ51" s="8">
        <v>6</v>
      </c>
      <c r="BR51" s="8" t="s">
        <v>163</v>
      </c>
    </row>
    <row r="52" spans="1:70" ht="15" customHeight="1" x14ac:dyDescent="0.3">
      <c r="A52" s="11" t="s">
        <v>164</v>
      </c>
      <c r="B52" s="12">
        <v>154700</v>
      </c>
      <c r="C52" s="12">
        <v>579300</v>
      </c>
      <c r="D52" s="12">
        <v>0.04</v>
      </c>
      <c r="E52" s="12">
        <v>0.1</v>
      </c>
      <c r="F52" s="12">
        <v>0.03</v>
      </c>
      <c r="G52" s="12">
        <v>0.05</v>
      </c>
      <c r="H52" s="12">
        <v>0.13</v>
      </c>
      <c r="I52" s="12">
        <v>0.04</v>
      </c>
      <c r="J52" s="12">
        <v>7.0000000000000007E-2</v>
      </c>
      <c r="K52" s="12">
        <v>0.16</v>
      </c>
      <c r="L52" s="12">
        <v>0.06</v>
      </c>
      <c r="M52" s="8">
        <v>9</v>
      </c>
      <c r="N52">
        <v>11</v>
      </c>
      <c r="O52" s="12">
        <v>13</v>
      </c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BF52" s="9">
        <v>0.51</v>
      </c>
      <c r="BG52" s="9">
        <f t="shared" si="1"/>
        <v>0.41176470588235292</v>
      </c>
      <c r="BH52" s="9">
        <f t="shared" si="0"/>
        <v>0.5345938375350141</v>
      </c>
      <c r="BQ52" s="8">
        <v>8</v>
      </c>
      <c r="BR52" s="8" t="s">
        <v>165</v>
      </c>
    </row>
    <row r="53" spans="1:70" ht="15" customHeight="1" x14ac:dyDescent="0.3">
      <c r="A53" s="11" t="s">
        <v>166</v>
      </c>
      <c r="B53" s="12">
        <v>210500</v>
      </c>
      <c r="C53" s="12">
        <v>735300</v>
      </c>
      <c r="D53" s="12">
        <v>0.14000000000000001</v>
      </c>
      <c r="E53" s="12">
        <v>0.34</v>
      </c>
      <c r="F53" s="12">
        <v>7.0000000000000007E-2</v>
      </c>
      <c r="G53" s="12">
        <v>0.2</v>
      </c>
      <c r="H53" s="12">
        <v>0.48</v>
      </c>
      <c r="I53" s="12">
        <v>0.1</v>
      </c>
      <c r="J53" s="12">
        <v>0.28999999999999998</v>
      </c>
      <c r="K53" s="12">
        <v>0.71</v>
      </c>
      <c r="L53" s="12">
        <v>0.14000000000000001</v>
      </c>
      <c r="M53" s="8">
        <v>6</v>
      </c>
      <c r="N53">
        <v>7</v>
      </c>
      <c r="O53" s="12">
        <v>8</v>
      </c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BF53" s="9">
        <v>0.52</v>
      </c>
      <c r="BG53" s="9">
        <f t="shared" si="1"/>
        <v>0.4038461538461538</v>
      </c>
      <c r="BH53" s="9">
        <f t="shared" si="0"/>
        <v>0.52431318681318684</v>
      </c>
      <c r="BQ53" s="8">
        <v>6</v>
      </c>
      <c r="BR53" s="8" t="s">
        <v>167</v>
      </c>
    </row>
    <row r="54" spans="1:70" ht="15" customHeight="1" x14ac:dyDescent="0.3">
      <c r="A54" s="11" t="s">
        <v>168</v>
      </c>
      <c r="B54" s="12">
        <v>199500</v>
      </c>
      <c r="C54" s="12">
        <v>670800</v>
      </c>
      <c r="D54" s="12">
        <v>7.0000000000000007E-2</v>
      </c>
      <c r="E54" s="12">
        <v>0.17</v>
      </c>
      <c r="F54" s="12">
        <v>0.05</v>
      </c>
      <c r="G54" s="12">
        <v>0.09</v>
      </c>
      <c r="H54" s="12">
        <v>0.22</v>
      </c>
      <c r="I54" s="12">
        <v>0.06</v>
      </c>
      <c r="J54" s="12">
        <v>0.11</v>
      </c>
      <c r="K54" s="12">
        <v>0.28000000000000003</v>
      </c>
      <c r="L54" s="12">
        <v>0.08</v>
      </c>
      <c r="M54" s="8">
        <v>8</v>
      </c>
      <c r="N54">
        <v>9</v>
      </c>
      <c r="O54" s="12">
        <v>11</v>
      </c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BF54" s="9">
        <v>0.53</v>
      </c>
      <c r="BG54" s="9">
        <f t="shared" si="1"/>
        <v>0.39622641509433959</v>
      </c>
      <c r="BH54" s="9">
        <f t="shared" si="0"/>
        <v>0.51442048517520222</v>
      </c>
      <c r="BQ54" s="8">
        <v>8</v>
      </c>
      <c r="BR54" s="8" t="s">
        <v>169</v>
      </c>
    </row>
    <row r="55" spans="1:70" ht="15" customHeight="1" x14ac:dyDescent="0.3">
      <c r="A55" s="11" t="s">
        <v>170</v>
      </c>
      <c r="B55" s="12">
        <v>211000</v>
      </c>
      <c r="C55" s="12">
        <v>744600</v>
      </c>
      <c r="D55" s="12">
        <v>0.14000000000000001</v>
      </c>
      <c r="E55" s="12">
        <v>0.34</v>
      </c>
      <c r="F55" s="12">
        <v>7.0000000000000007E-2</v>
      </c>
      <c r="G55" s="12">
        <v>0.2</v>
      </c>
      <c r="H55" s="12">
        <v>0.48</v>
      </c>
      <c r="I55" s="12">
        <v>0.09</v>
      </c>
      <c r="J55" s="12">
        <v>0.28000000000000003</v>
      </c>
      <c r="K55" s="12">
        <v>0.7</v>
      </c>
      <c r="L55" s="12">
        <v>0.14000000000000001</v>
      </c>
      <c r="M55" s="8">
        <v>6</v>
      </c>
      <c r="N55">
        <v>7</v>
      </c>
      <c r="O55" s="12">
        <v>8</v>
      </c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BF55" s="9">
        <v>0.54</v>
      </c>
      <c r="BG55" s="9">
        <f t="shared" si="1"/>
        <v>0.38888888888888884</v>
      </c>
      <c r="BH55" s="9">
        <f t="shared" si="0"/>
        <v>0.50489417989417995</v>
      </c>
      <c r="BQ55" s="8">
        <v>9</v>
      </c>
      <c r="BR55" s="8" t="s">
        <v>171</v>
      </c>
    </row>
    <row r="56" spans="1:70" ht="15" customHeight="1" x14ac:dyDescent="0.3">
      <c r="A56" s="11" t="s">
        <v>172</v>
      </c>
      <c r="B56" s="12">
        <v>182000</v>
      </c>
      <c r="C56" s="12">
        <v>658700</v>
      </c>
      <c r="D56" s="12">
        <v>0.06</v>
      </c>
      <c r="E56" s="12">
        <v>0.14000000000000001</v>
      </c>
      <c r="F56" s="12">
        <v>0.04</v>
      </c>
      <c r="G56" s="12">
        <v>7.0000000000000007E-2</v>
      </c>
      <c r="H56" s="12">
        <v>0.17</v>
      </c>
      <c r="I56" s="12">
        <v>0.05</v>
      </c>
      <c r="J56" s="12">
        <v>0.09</v>
      </c>
      <c r="K56" s="12">
        <v>0.23</v>
      </c>
      <c r="L56" s="12">
        <v>7.0000000000000007E-2</v>
      </c>
      <c r="M56" s="8">
        <v>8</v>
      </c>
      <c r="N56">
        <v>10</v>
      </c>
      <c r="O56" s="12">
        <v>12</v>
      </c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BF56" s="9">
        <v>0.55000000000000004</v>
      </c>
      <c r="BG56" s="9">
        <f t="shared" si="1"/>
        <v>0.38181818181818178</v>
      </c>
      <c r="BH56" s="9">
        <f t="shared" si="0"/>
        <v>0.49571428571428577</v>
      </c>
      <c r="BQ56" s="8">
        <v>6</v>
      </c>
      <c r="BR56" s="8" t="s">
        <v>173</v>
      </c>
    </row>
    <row r="57" spans="1:70" ht="15" customHeight="1" x14ac:dyDescent="0.3">
      <c r="A57" s="11" t="s">
        <v>174</v>
      </c>
      <c r="B57" s="12">
        <v>150700</v>
      </c>
      <c r="C57" s="12">
        <v>587000</v>
      </c>
      <c r="D57" s="12">
        <v>0.04</v>
      </c>
      <c r="E57" s="12">
        <v>0.1</v>
      </c>
      <c r="F57" s="12">
        <v>0.03</v>
      </c>
      <c r="G57" s="12">
        <v>0.05</v>
      </c>
      <c r="H57" s="12">
        <v>0.13</v>
      </c>
      <c r="I57" s="12">
        <v>0.04</v>
      </c>
      <c r="J57" s="12">
        <v>7.0000000000000007E-2</v>
      </c>
      <c r="K57" s="12">
        <v>0.16</v>
      </c>
      <c r="L57" s="12">
        <v>0.06</v>
      </c>
      <c r="M57" s="8">
        <v>9</v>
      </c>
      <c r="N57">
        <v>11</v>
      </c>
      <c r="O57" s="12">
        <v>13</v>
      </c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BF57" s="9">
        <v>0.56000000000000005</v>
      </c>
      <c r="BG57" s="9">
        <f t="shared" si="1"/>
        <v>0.37499999999999994</v>
      </c>
      <c r="BH57" s="9">
        <f t="shared" si="0"/>
        <v>0.48686224489795921</v>
      </c>
      <c r="BQ57" s="8">
        <v>7</v>
      </c>
      <c r="BR57" s="8" t="s">
        <v>175</v>
      </c>
    </row>
    <row r="58" spans="1:70" ht="15" customHeight="1" x14ac:dyDescent="0.3">
      <c r="A58" s="11" t="s">
        <v>176</v>
      </c>
      <c r="B58" s="12">
        <v>225700</v>
      </c>
      <c r="C58" s="12">
        <v>752300</v>
      </c>
      <c r="D58" s="12">
        <v>0.14000000000000001</v>
      </c>
      <c r="E58" s="12">
        <v>0.34</v>
      </c>
      <c r="F58" s="12">
        <v>7.0000000000000007E-2</v>
      </c>
      <c r="G58" s="12">
        <v>0.17</v>
      </c>
      <c r="H58" s="12">
        <v>0.44</v>
      </c>
      <c r="I58" s="12">
        <v>0.09</v>
      </c>
      <c r="J58" s="12">
        <v>0.22</v>
      </c>
      <c r="K58" s="12">
        <v>0.56999999999999995</v>
      </c>
      <c r="L58" s="12">
        <v>0.12</v>
      </c>
      <c r="M58" s="8">
        <v>6</v>
      </c>
      <c r="N58">
        <v>8</v>
      </c>
      <c r="O58" s="12">
        <v>10</v>
      </c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BF58" s="9">
        <v>0.56999999999999995</v>
      </c>
      <c r="BG58" s="9">
        <f t="shared" si="1"/>
        <v>0.36842105263157898</v>
      </c>
      <c r="BH58" s="9">
        <f t="shared" si="0"/>
        <v>0.47832080200501265</v>
      </c>
      <c r="BQ58" s="8">
        <v>6</v>
      </c>
      <c r="BR58" s="8" t="s">
        <v>177</v>
      </c>
    </row>
    <row r="59" spans="1:70" ht="15" customHeight="1" x14ac:dyDescent="0.3">
      <c r="A59" s="11" t="s">
        <v>178</v>
      </c>
      <c r="B59" s="12">
        <v>210400</v>
      </c>
      <c r="C59" s="12">
        <v>774600</v>
      </c>
      <c r="D59" s="12">
        <v>0.11</v>
      </c>
      <c r="E59" s="12">
        <v>0.28000000000000003</v>
      </c>
      <c r="F59" s="12">
        <v>0.06</v>
      </c>
      <c r="G59" s="12">
        <v>0.15</v>
      </c>
      <c r="H59" s="12">
        <v>0.37</v>
      </c>
      <c r="I59" s="12">
        <v>0.08</v>
      </c>
      <c r="J59" s="12">
        <v>0.2</v>
      </c>
      <c r="K59" s="12">
        <v>0.52</v>
      </c>
      <c r="L59" s="12">
        <v>0.11</v>
      </c>
      <c r="M59" s="8">
        <v>7</v>
      </c>
      <c r="N59">
        <v>8</v>
      </c>
      <c r="O59" s="12">
        <v>10</v>
      </c>
      <c r="BF59" s="9">
        <v>0.57999999999999996</v>
      </c>
      <c r="BG59" s="9">
        <f t="shared" si="1"/>
        <v>0.36206896551724138</v>
      </c>
      <c r="BH59" s="9">
        <f t="shared" si="0"/>
        <v>0.47007389162561586</v>
      </c>
      <c r="BQ59" s="8">
        <v>8</v>
      </c>
      <c r="BR59" s="8" t="s">
        <v>179</v>
      </c>
    </row>
    <row r="60" spans="1:70" x14ac:dyDescent="0.3">
      <c r="A60" s="11" t="s">
        <v>180</v>
      </c>
      <c r="B60" s="12">
        <v>209100</v>
      </c>
      <c r="C60" s="12">
        <v>754300</v>
      </c>
      <c r="D60" s="12">
        <v>0.13</v>
      </c>
      <c r="E60" s="12">
        <v>0.33</v>
      </c>
      <c r="F60" s="12">
        <v>7.0000000000000007E-2</v>
      </c>
      <c r="G60" s="12">
        <v>0.18</v>
      </c>
      <c r="H60" s="12">
        <v>0.45</v>
      </c>
      <c r="I60" s="12">
        <v>0.09</v>
      </c>
      <c r="J60" s="12">
        <v>0.26</v>
      </c>
      <c r="K60" s="12">
        <v>0.65</v>
      </c>
      <c r="L60" s="12">
        <v>0.13</v>
      </c>
      <c r="M60" s="8">
        <v>6</v>
      </c>
      <c r="N60">
        <v>7</v>
      </c>
      <c r="O60" s="12">
        <v>9</v>
      </c>
      <c r="BF60" s="9">
        <v>0.59</v>
      </c>
      <c r="BG60" s="9">
        <f t="shared" si="1"/>
        <v>0.3559322033898305</v>
      </c>
      <c r="BH60" s="9">
        <f t="shared" si="0"/>
        <v>0.46210653753026643</v>
      </c>
      <c r="BQ60" s="8">
        <v>8</v>
      </c>
      <c r="BR60" s="8" t="s">
        <v>181</v>
      </c>
    </row>
    <row r="61" spans="1:70" x14ac:dyDescent="0.3">
      <c r="A61" s="11" t="s">
        <v>182</v>
      </c>
      <c r="B61" s="12">
        <v>178100</v>
      </c>
      <c r="C61" s="12">
        <v>628000</v>
      </c>
      <c r="D61" s="12">
        <v>0.06</v>
      </c>
      <c r="E61" s="12">
        <v>0.16</v>
      </c>
      <c r="F61" s="12">
        <v>0.04</v>
      </c>
      <c r="G61" s="12">
        <v>0.08</v>
      </c>
      <c r="H61" s="12">
        <v>0.2</v>
      </c>
      <c r="I61" s="12">
        <v>0.05</v>
      </c>
      <c r="J61" s="12">
        <v>0.11</v>
      </c>
      <c r="K61" s="12">
        <v>0.28000000000000003</v>
      </c>
      <c r="L61" s="12">
        <v>7.0000000000000007E-2</v>
      </c>
      <c r="M61" s="8">
        <v>8</v>
      </c>
      <c r="N61">
        <v>10</v>
      </c>
      <c r="O61" s="12">
        <v>12</v>
      </c>
      <c r="BF61" s="9">
        <v>0.6</v>
      </c>
      <c r="BG61" s="9">
        <f t="shared" si="1"/>
        <v>0.35</v>
      </c>
      <c r="BH61" s="9">
        <f t="shared" si="0"/>
        <v>0.45440476190476198</v>
      </c>
      <c r="BQ61" s="8">
        <v>6</v>
      </c>
      <c r="BR61" s="8" t="s">
        <v>183</v>
      </c>
    </row>
    <row r="62" spans="1:70" x14ac:dyDescent="0.3">
      <c r="A62" s="11" t="s">
        <v>184</v>
      </c>
      <c r="B62" s="12">
        <v>178300</v>
      </c>
      <c r="C62" s="12">
        <v>606700</v>
      </c>
      <c r="D62" s="12">
        <v>7.0000000000000007E-2</v>
      </c>
      <c r="E62" s="12">
        <v>0.17</v>
      </c>
      <c r="F62" s="12">
        <v>0.04</v>
      </c>
      <c r="G62" s="12">
        <v>0.09</v>
      </c>
      <c r="H62" s="12">
        <v>0.22</v>
      </c>
      <c r="I62" s="12">
        <v>0.05</v>
      </c>
      <c r="J62" s="12">
        <v>0.13</v>
      </c>
      <c r="K62" s="12">
        <v>0.31</v>
      </c>
      <c r="L62" s="12">
        <v>7.0000000000000007E-2</v>
      </c>
      <c r="M62" s="8">
        <v>8</v>
      </c>
      <c r="N62">
        <v>10</v>
      </c>
      <c r="O62" s="12">
        <v>12</v>
      </c>
      <c r="BF62" s="9">
        <v>0.61</v>
      </c>
      <c r="BG62" s="9">
        <f t="shared" si="1"/>
        <v>0.34426229508196721</v>
      </c>
      <c r="BH62" s="9">
        <f t="shared" si="0"/>
        <v>0.44695550351288066</v>
      </c>
      <c r="BQ62" s="8">
        <v>6</v>
      </c>
      <c r="BR62" s="8" t="s">
        <v>185</v>
      </c>
    </row>
    <row r="63" spans="1:70" x14ac:dyDescent="0.3">
      <c r="A63" s="11" t="s">
        <v>186</v>
      </c>
      <c r="B63" s="12">
        <v>232000</v>
      </c>
      <c r="C63" s="12">
        <v>727500</v>
      </c>
      <c r="D63" s="12">
        <v>0.16</v>
      </c>
      <c r="E63" s="12">
        <v>0.4</v>
      </c>
      <c r="F63" s="12">
        <v>0.08</v>
      </c>
      <c r="G63" s="12">
        <v>0.21</v>
      </c>
      <c r="H63" s="12">
        <v>0.53</v>
      </c>
      <c r="I63" s="12">
        <v>0.11</v>
      </c>
      <c r="J63" s="12">
        <v>0.28000000000000003</v>
      </c>
      <c r="K63" s="12">
        <v>0.72</v>
      </c>
      <c r="L63" s="12">
        <v>0.15</v>
      </c>
      <c r="M63" s="8">
        <v>6</v>
      </c>
      <c r="N63">
        <v>7</v>
      </c>
      <c r="O63" s="12">
        <v>8</v>
      </c>
      <c r="BF63" s="9">
        <v>0.62</v>
      </c>
      <c r="BG63" s="9">
        <f t="shared" si="1"/>
        <v>0.33870967741935482</v>
      </c>
      <c r="BH63" s="9">
        <f t="shared" si="0"/>
        <v>0.4397465437788019</v>
      </c>
      <c r="BQ63" s="8">
        <v>7</v>
      </c>
      <c r="BR63" s="8" t="s">
        <v>187</v>
      </c>
    </row>
    <row r="64" spans="1:70" x14ac:dyDescent="0.3">
      <c r="A64" s="11" t="s">
        <v>188</v>
      </c>
      <c r="B64" s="12">
        <v>216300</v>
      </c>
      <c r="C64" s="12">
        <v>756900</v>
      </c>
      <c r="D64" s="12">
        <v>0.13</v>
      </c>
      <c r="E64" s="12">
        <v>0.32</v>
      </c>
      <c r="F64" s="12">
        <v>7.0000000000000007E-2</v>
      </c>
      <c r="G64" s="12">
        <v>0.17</v>
      </c>
      <c r="H64" s="12">
        <v>0.42</v>
      </c>
      <c r="I64" s="12">
        <v>0.09</v>
      </c>
      <c r="J64" s="12">
        <v>0.23</v>
      </c>
      <c r="K64" s="12">
        <v>0.57999999999999996</v>
      </c>
      <c r="L64" s="12">
        <v>0.12</v>
      </c>
      <c r="M64" s="8">
        <v>6</v>
      </c>
      <c r="N64">
        <v>8</v>
      </c>
      <c r="O64" s="12">
        <v>10</v>
      </c>
      <c r="BF64" s="9">
        <v>0.63</v>
      </c>
      <c r="BG64" s="9">
        <f t="shared" si="1"/>
        <v>0.33333333333333331</v>
      </c>
      <c r="BH64" s="9">
        <f t="shared" si="0"/>
        <v>0.43276643990929714</v>
      </c>
      <c r="BQ64" s="8">
        <v>8</v>
      </c>
      <c r="BR64" s="8" t="s">
        <v>189</v>
      </c>
    </row>
    <row r="65" spans="1:70" x14ac:dyDescent="0.3">
      <c r="A65" s="11" t="s">
        <v>190</v>
      </c>
      <c r="B65" s="12">
        <v>199100</v>
      </c>
      <c r="C65" s="12">
        <v>699100</v>
      </c>
      <c r="D65" s="12">
        <v>0.08</v>
      </c>
      <c r="E65" s="12">
        <v>0.19</v>
      </c>
      <c r="F65" s="12">
        <v>0.05</v>
      </c>
      <c r="G65" s="12">
        <v>0.1</v>
      </c>
      <c r="H65" s="12">
        <v>0.24</v>
      </c>
      <c r="I65" s="12">
        <v>0.06</v>
      </c>
      <c r="J65" s="12">
        <v>0.12</v>
      </c>
      <c r="K65" s="12">
        <v>0.32</v>
      </c>
      <c r="L65" s="12">
        <v>0.09</v>
      </c>
      <c r="M65" s="8">
        <v>7</v>
      </c>
      <c r="N65">
        <v>9</v>
      </c>
      <c r="O65" s="12">
        <v>11</v>
      </c>
      <c r="BF65" s="9">
        <v>0.64</v>
      </c>
      <c r="BG65" s="9">
        <f t="shared" si="1"/>
        <v>0.328125</v>
      </c>
      <c r="BH65" s="9">
        <f t="shared" si="0"/>
        <v>0.42600446428571437</v>
      </c>
      <c r="BQ65" s="8">
        <v>8</v>
      </c>
      <c r="BR65" s="8" t="s">
        <v>191</v>
      </c>
    </row>
    <row r="66" spans="1:70" x14ac:dyDescent="0.3">
      <c r="A66" s="11" t="s">
        <v>192</v>
      </c>
      <c r="B66" s="12">
        <v>191500</v>
      </c>
      <c r="C66" s="12">
        <v>649300</v>
      </c>
      <c r="D66" s="12">
        <v>0.06</v>
      </c>
      <c r="E66" s="12">
        <v>0.15</v>
      </c>
      <c r="F66" s="12">
        <v>0.04</v>
      </c>
      <c r="G66" s="12">
        <v>0.08</v>
      </c>
      <c r="H66" s="12">
        <v>0.19</v>
      </c>
      <c r="I66" s="12">
        <v>0.06</v>
      </c>
      <c r="J66" s="12">
        <v>0.1</v>
      </c>
      <c r="K66" s="12">
        <v>0.24</v>
      </c>
      <c r="L66" s="12">
        <v>0.08</v>
      </c>
      <c r="M66" s="8">
        <v>8</v>
      </c>
      <c r="N66">
        <v>10</v>
      </c>
      <c r="O66" s="12">
        <v>12</v>
      </c>
      <c r="BF66" s="9">
        <v>0.65</v>
      </c>
      <c r="BG66" s="9">
        <f t="shared" si="1"/>
        <v>0.32307692307692304</v>
      </c>
      <c r="BH66" s="9">
        <f t="shared" ref="BH66:BH129" si="2">IFERROR(IF($BF66&lt;AZ$33,AZ$32*(AZ$30/AZ$29+(1-AZ$30/AZ$29)*$BF66/AZ$33),IF($BF66&lt;AZ$34,AZ$32,IF($BF66&lt;AZ$35,AZ$31/$BF66,AZ$31*AZ$35/($BF66^2))))*$BC$29,"")</f>
        <v>0.41945054945054949</v>
      </c>
      <c r="BQ66" s="8">
        <v>7</v>
      </c>
      <c r="BR66" s="8" t="s">
        <v>193</v>
      </c>
    </row>
    <row r="67" spans="1:70" x14ac:dyDescent="0.3">
      <c r="A67" s="11" t="s">
        <v>194</v>
      </c>
      <c r="B67" s="12">
        <v>188000</v>
      </c>
      <c r="C67" s="12">
        <v>654200</v>
      </c>
      <c r="D67" s="12">
        <v>0.06</v>
      </c>
      <c r="E67" s="12">
        <v>0.15</v>
      </c>
      <c r="F67" s="12">
        <v>0.04</v>
      </c>
      <c r="G67" s="12">
        <v>7.0000000000000007E-2</v>
      </c>
      <c r="H67" s="12">
        <v>0.18</v>
      </c>
      <c r="I67" s="12">
        <v>0.05</v>
      </c>
      <c r="J67" s="12">
        <v>0.09</v>
      </c>
      <c r="K67" s="12">
        <v>0.24</v>
      </c>
      <c r="L67" s="12">
        <v>7.0000000000000007E-2</v>
      </c>
      <c r="M67" s="8">
        <v>8</v>
      </c>
      <c r="N67">
        <v>10</v>
      </c>
      <c r="O67" s="12">
        <v>12</v>
      </c>
      <c r="BF67" s="9">
        <v>0.66</v>
      </c>
      <c r="BG67" s="9">
        <f t="shared" ref="BG67:BG130" si="3">IF(BF67&lt;AY$33,AY$32*(AY$30/AY$29+(1-AY$30/AY$29)*BF67/AY$33),IF(BF67&lt;AY$34,AY$32,IF(BF67&lt;AY$35,AY$31/BF67,AY$31*AY$35/(BF67^2))))*$BC$29</f>
        <v>0.31818181818181818</v>
      </c>
      <c r="BH67" s="9">
        <f t="shared" si="2"/>
        <v>0.41309523809523813</v>
      </c>
      <c r="BQ67" s="8">
        <v>8</v>
      </c>
      <c r="BR67" s="8" t="s">
        <v>195</v>
      </c>
    </row>
    <row r="68" spans="1:70" ht="15" customHeight="1" x14ac:dyDescent="0.3">
      <c r="A68" s="11" t="s">
        <v>196</v>
      </c>
      <c r="B68" s="12">
        <v>194000</v>
      </c>
      <c r="C68" s="12">
        <v>575200</v>
      </c>
      <c r="D68" s="12">
        <v>7.0000000000000007E-2</v>
      </c>
      <c r="E68" s="12">
        <v>0.17</v>
      </c>
      <c r="F68" s="12">
        <v>0.04</v>
      </c>
      <c r="G68" s="12">
        <v>0.09</v>
      </c>
      <c r="H68" s="12">
        <v>0.22</v>
      </c>
      <c r="I68" s="12">
        <v>0.06</v>
      </c>
      <c r="J68" s="12">
        <v>0.12</v>
      </c>
      <c r="K68" s="12">
        <v>0.28999999999999998</v>
      </c>
      <c r="L68" s="12">
        <v>0.08</v>
      </c>
      <c r="M68" s="8">
        <v>7</v>
      </c>
      <c r="N68">
        <v>9</v>
      </c>
      <c r="O68" s="12">
        <v>11</v>
      </c>
      <c r="BF68" s="9">
        <v>0.67</v>
      </c>
      <c r="BG68" s="9">
        <f t="shared" si="3"/>
        <v>0.31343283582089548</v>
      </c>
      <c r="BH68" s="9">
        <f t="shared" si="2"/>
        <v>0.40692963752665251</v>
      </c>
      <c r="BQ68" s="8">
        <v>8</v>
      </c>
      <c r="BR68" s="8" t="s">
        <v>197</v>
      </c>
    </row>
    <row r="69" spans="1:70" ht="15" customHeight="1" x14ac:dyDescent="0.3">
      <c r="A69" s="11" t="s">
        <v>198</v>
      </c>
      <c r="B69" s="12">
        <v>163000</v>
      </c>
      <c r="C69" s="12">
        <v>604700</v>
      </c>
      <c r="D69" s="12">
        <v>0.06</v>
      </c>
      <c r="E69" s="12">
        <v>0.14000000000000001</v>
      </c>
      <c r="F69" s="12">
        <v>0.04</v>
      </c>
      <c r="G69" s="12">
        <v>0.08</v>
      </c>
      <c r="H69" s="12">
        <v>0.19</v>
      </c>
      <c r="I69" s="12">
        <v>0.05</v>
      </c>
      <c r="J69" s="12">
        <v>0.11</v>
      </c>
      <c r="K69" s="12">
        <v>0.26</v>
      </c>
      <c r="L69" s="12">
        <v>0.06</v>
      </c>
      <c r="M69" s="8">
        <v>8</v>
      </c>
      <c r="N69">
        <v>10</v>
      </c>
      <c r="O69" s="12">
        <v>12</v>
      </c>
      <c r="BF69" s="9">
        <v>0.68</v>
      </c>
      <c r="BG69" s="9">
        <f t="shared" si="3"/>
        <v>0.30882352941176466</v>
      </c>
      <c r="BH69" s="9">
        <f t="shared" si="2"/>
        <v>0.40094537815126052</v>
      </c>
      <c r="BQ69" s="8">
        <v>5</v>
      </c>
      <c r="BR69" s="8" t="s">
        <v>199</v>
      </c>
    </row>
    <row r="70" spans="1:70" x14ac:dyDescent="0.3">
      <c r="A70" s="11" t="s">
        <v>200</v>
      </c>
      <c r="B70" s="12">
        <v>198200</v>
      </c>
      <c r="C70" s="12">
        <v>679700</v>
      </c>
      <c r="D70" s="12">
        <v>7.0000000000000007E-2</v>
      </c>
      <c r="E70" s="12">
        <v>0.17</v>
      </c>
      <c r="F70" s="12">
        <v>0.05</v>
      </c>
      <c r="G70" s="12">
        <v>0.09</v>
      </c>
      <c r="H70" s="12">
        <v>0.22</v>
      </c>
      <c r="I70" s="12">
        <v>0.06</v>
      </c>
      <c r="J70" s="12">
        <v>0.11</v>
      </c>
      <c r="K70" s="12">
        <v>0.28000000000000003</v>
      </c>
      <c r="L70" s="12">
        <v>0.08</v>
      </c>
      <c r="M70" s="8">
        <v>8</v>
      </c>
      <c r="N70">
        <v>9</v>
      </c>
      <c r="O70" s="12">
        <v>11</v>
      </c>
      <c r="BF70" s="9">
        <v>0.69</v>
      </c>
      <c r="BG70" s="9">
        <f t="shared" si="3"/>
        <v>0.30434782608695654</v>
      </c>
      <c r="BH70" s="9">
        <f t="shared" si="2"/>
        <v>0.39513457556935827</v>
      </c>
      <c r="BQ70" s="8">
        <v>7</v>
      </c>
      <c r="BR70" s="8" t="s">
        <v>201</v>
      </c>
    </row>
    <row r="71" spans="1:70" x14ac:dyDescent="0.3">
      <c r="A71" s="11" t="s">
        <v>202</v>
      </c>
      <c r="B71" s="12">
        <v>254300</v>
      </c>
      <c r="C71" s="12">
        <v>769800</v>
      </c>
      <c r="D71" s="12">
        <v>0.27</v>
      </c>
      <c r="E71" s="12">
        <v>0.67</v>
      </c>
      <c r="F71" s="12">
        <v>0.13</v>
      </c>
      <c r="G71" s="12">
        <v>0.36</v>
      </c>
      <c r="H71" s="12">
        <v>0.89</v>
      </c>
      <c r="I71" s="12">
        <v>0.18</v>
      </c>
      <c r="J71" s="12">
        <v>0.48</v>
      </c>
      <c r="K71" s="12">
        <v>1.22</v>
      </c>
      <c r="L71" s="12">
        <v>0.26</v>
      </c>
      <c r="M71" s="8">
        <v>5</v>
      </c>
      <c r="N71">
        <v>5</v>
      </c>
      <c r="O71" s="12">
        <v>6</v>
      </c>
      <c r="BF71" s="9">
        <v>0.7</v>
      </c>
      <c r="BG71" s="9">
        <f t="shared" si="3"/>
        <v>0.3</v>
      </c>
      <c r="BH71" s="9">
        <f t="shared" si="2"/>
        <v>0.38948979591836741</v>
      </c>
      <c r="BQ71" s="8">
        <v>6</v>
      </c>
      <c r="BR71" s="8" t="s">
        <v>203</v>
      </c>
    </row>
    <row r="72" spans="1:70" x14ac:dyDescent="0.3">
      <c r="A72" s="11" t="s">
        <v>204</v>
      </c>
      <c r="B72" s="12">
        <v>220900</v>
      </c>
      <c r="C72" s="12">
        <v>774300</v>
      </c>
      <c r="D72" s="12">
        <v>0.12</v>
      </c>
      <c r="E72" s="12">
        <v>0.3</v>
      </c>
      <c r="F72" s="12">
        <v>0.06</v>
      </c>
      <c r="G72" s="12">
        <v>0.15</v>
      </c>
      <c r="H72" s="12">
        <v>0.38</v>
      </c>
      <c r="I72" s="12">
        <v>0.08</v>
      </c>
      <c r="J72" s="12">
        <v>0.19</v>
      </c>
      <c r="K72" s="12">
        <v>0.5</v>
      </c>
      <c r="L72" s="12">
        <v>0.11</v>
      </c>
      <c r="M72" s="8">
        <v>7</v>
      </c>
      <c r="N72">
        <v>8</v>
      </c>
      <c r="O72" s="12">
        <v>10</v>
      </c>
      <c r="BF72" s="9">
        <v>0.71</v>
      </c>
      <c r="BG72" s="9">
        <f t="shared" si="3"/>
        <v>0.29577464788732394</v>
      </c>
      <c r="BH72" s="9">
        <f t="shared" si="2"/>
        <v>0.38400402414486928</v>
      </c>
      <c r="BQ72" s="8">
        <v>4</v>
      </c>
      <c r="BR72" s="8" t="s">
        <v>205</v>
      </c>
    </row>
    <row r="73" spans="1:70" x14ac:dyDescent="0.3">
      <c r="A73" s="11" t="s">
        <v>206</v>
      </c>
      <c r="B73" s="12">
        <v>233800</v>
      </c>
      <c r="C73" s="12">
        <v>727200</v>
      </c>
      <c r="D73" s="12">
        <v>0.16</v>
      </c>
      <c r="E73" s="12">
        <v>0.41</v>
      </c>
      <c r="F73" s="12">
        <v>0.08</v>
      </c>
      <c r="G73" s="12">
        <v>0.21</v>
      </c>
      <c r="H73" s="12">
        <v>0.53</v>
      </c>
      <c r="I73" s="12">
        <v>0.11</v>
      </c>
      <c r="J73" s="12">
        <v>0.28000000000000003</v>
      </c>
      <c r="K73" s="12">
        <v>0.72</v>
      </c>
      <c r="L73" s="12">
        <v>0.15</v>
      </c>
      <c r="M73" s="8">
        <v>6</v>
      </c>
      <c r="N73">
        <v>7</v>
      </c>
      <c r="O73" s="12">
        <v>8</v>
      </c>
      <c r="BF73" s="9">
        <v>0.72</v>
      </c>
      <c r="BG73" s="9">
        <f t="shared" si="3"/>
        <v>0.29166666666666669</v>
      </c>
      <c r="BH73" s="9">
        <f t="shared" si="2"/>
        <v>0.37867063492063502</v>
      </c>
      <c r="BQ73" s="8">
        <v>6</v>
      </c>
      <c r="BR73" s="8" t="s">
        <v>207</v>
      </c>
    </row>
    <row r="74" spans="1:70" x14ac:dyDescent="0.3">
      <c r="A74" s="11" t="s">
        <v>208</v>
      </c>
      <c r="B74" s="12">
        <v>196100</v>
      </c>
      <c r="C74" s="12">
        <v>388200</v>
      </c>
      <c r="D74" s="12">
        <v>0.2</v>
      </c>
      <c r="E74" s="12">
        <v>0.5</v>
      </c>
      <c r="F74" s="12">
        <v>0.09</v>
      </c>
      <c r="G74" s="12">
        <v>0.27</v>
      </c>
      <c r="H74" s="12">
        <v>0.68</v>
      </c>
      <c r="I74" s="12">
        <v>0.13</v>
      </c>
      <c r="J74" s="12">
        <v>0.38</v>
      </c>
      <c r="K74" s="12">
        <v>0.96</v>
      </c>
      <c r="L74" s="12">
        <v>0.2</v>
      </c>
      <c r="M74" s="8">
        <v>4</v>
      </c>
      <c r="N74">
        <v>5</v>
      </c>
      <c r="O74" s="12">
        <v>6</v>
      </c>
      <c r="BF74" s="9">
        <v>0.73</v>
      </c>
      <c r="BG74" s="9">
        <f t="shared" si="3"/>
        <v>0.28767123287671231</v>
      </c>
      <c r="BH74" s="9">
        <f t="shared" si="2"/>
        <v>0.37348336594911946</v>
      </c>
      <c r="BQ74" s="8">
        <v>4</v>
      </c>
      <c r="BR74" s="8" t="s">
        <v>209</v>
      </c>
    </row>
    <row r="75" spans="1:70" x14ac:dyDescent="0.3">
      <c r="A75" s="11" t="s">
        <v>210</v>
      </c>
      <c r="B75" s="12">
        <v>238600</v>
      </c>
      <c r="C75" s="12">
        <v>740100</v>
      </c>
      <c r="D75" s="12">
        <v>0.17</v>
      </c>
      <c r="E75" s="12">
        <v>0.43</v>
      </c>
      <c r="F75" s="12">
        <v>0.08</v>
      </c>
      <c r="G75" s="12">
        <v>0.21</v>
      </c>
      <c r="H75" s="12">
        <v>0.55000000000000004</v>
      </c>
      <c r="I75" s="12">
        <v>0.11</v>
      </c>
      <c r="J75" s="12">
        <v>0.27</v>
      </c>
      <c r="K75" s="12">
        <v>0.72</v>
      </c>
      <c r="L75" s="12">
        <v>0.15</v>
      </c>
      <c r="M75" s="8">
        <v>6</v>
      </c>
      <c r="N75">
        <v>7</v>
      </c>
      <c r="O75" s="12">
        <v>8</v>
      </c>
      <c r="BF75" s="9">
        <v>0.74</v>
      </c>
      <c r="BG75" s="9">
        <f t="shared" si="3"/>
        <v>0.28378378378378377</v>
      </c>
      <c r="BH75" s="9">
        <f t="shared" si="2"/>
        <v>0.36843629343629353</v>
      </c>
      <c r="BQ75" s="8">
        <v>6</v>
      </c>
      <c r="BR75" s="8" t="s">
        <v>211</v>
      </c>
    </row>
    <row r="76" spans="1:70" x14ac:dyDescent="0.3">
      <c r="A76" s="11" t="s">
        <v>212</v>
      </c>
      <c r="B76" s="12">
        <v>194900</v>
      </c>
      <c r="C76" s="12">
        <v>385300</v>
      </c>
      <c r="D76" s="12">
        <v>0.21</v>
      </c>
      <c r="E76" s="12">
        <v>0.51</v>
      </c>
      <c r="F76" s="12">
        <v>0.09</v>
      </c>
      <c r="G76" s="12">
        <v>0.28000000000000003</v>
      </c>
      <c r="H76" s="12">
        <v>0.69</v>
      </c>
      <c r="I76" s="12">
        <v>0.13</v>
      </c>
      <c r="J76" s="12">
        <v>0.38</v>
      </c>
      <c r="K76" s="12">
        <v>0.97</v>
      </c>
      <c r="L76" s="12">
        <v>0.2</v>
      </c>
      <c r="M76" s="8">
        <v>4</v>
      </c>
      <c r="N76">
        <v>5</v>
      </c>
      <c r="O76" s="12">
        <v>6</v>
      </c>
      <c r="BF76" s="9">
        <v>0.75</v>
      </c>
      <c r="BG76" s="9">
        <f t="shared" si="3"/>
        <v>0.27999999999999997</v>
      </c>
      <c r="BH76" s="9">
        <f t="shared" si="2"/>
        <v>0.36352380952380958</v>
      </c>
      <c r="BQ76" s="8">
        <v>8</v>
      </c>
      <c r="BR76" s="8" t="s">
        <v>213</v>
      </c>
    </row>
    <row r="77" spans="1:70" x14ac:dyDescent="0.3">
      <c r="A77" s="11" t="s">
        <v>214</v>
      </c>
      <c r="B77" s="12">
        <v>229200</v>
      </c>
      <c r="C77" s="12">
        <v>675300</v>
      </c>
      <c r="D77" s="12">
        <v>0.15</v>
      </c>
      <c r="E77" s="12">
        <v>0.37</v>
      </c>
      <c r="F77" s="12">
        <v>0.08</v>
      </c>
      <c r="G77" s="12">
        <v>0.19</v>
      </c>
      <c r="H77" s="12">
        <v>0.5</v>
      </c>
      <c r="I77" s="12">
        <v>0.1</v>
      </c>
      <c r="J77" s="12">
        <v>0.26</v>
      </c>
      <c r="K77" s="12">
        <v>0.68</v>
      </c>
      <c r="L77" s="12">
        <v>0.15</v>
      </c>
      <c r="M77" s="8">
        <v>6</v>
      </c>
      <c r="N77">
        <v>7</v>
      </c>
      <c r="O77" s="12">
        <v>8</v>
      </c>
      <c r="BF77" s="9">
        <v>0.76</v>
      </c>
      <c r="BG77" s="9">
        <f t="shared" si="3"/>
        <v>0.27631578947368418</v>
      </c>
      <c r="BH77" s="9">
        <f t="shared" si="2"/>
        <v>0.35874060150375947</v>
      </c>
      <c r="BQ77" s="8">
        <v>7</v>
      </c>
      <c r="BR77" s="8" t="s">
        <v>215</v>
      </c>
    </row>
    <row r="78" spans="1:70" x14ac:dyDescent="0.3">
      <c r="A78" s="11" t="s">
        <v>216</v>
      </c>
      <c r="B78" s="12">
        <v>176200</v>
      </c>
      <c r="C78" s="12">
        <v>609000</v>
      </c>
      <c r="D78" s="12">
        <v>7.0000000000000007E-2</v>
      </c>
      <c r="E78" s="12">
        <v>0.17</v>
      </c>
      <c r="F78" s="12">
        <v>0.04</v>
      </c>
      <c r="G78" s="12">
        <v>0.09</v>
      </c>
      <c r="H78" s="12">
        <v>0.22</v>
      </c>
      <c r="I78" s="12">
        <v>0.05</v>
      </c>
      <c r="J78" s="12">
        <v>0.12</v>
      </c>
      <c r="K78" s="12">
        <v>0.31</v>
      </c>
      <c r="L78" s="12">
        <v>7.0000000000000007E-2</v>
      </c>
      <c r="M78" s="8">
        <v>8</v>
      </c>
      <c r="N78">
        <v>10</v>
      </c>
      <c r="O78" s="12">
        <v>12</v>
      </c>
      <c r="BF78" s="9">
        <v>0.77</v>
      </c>
      <c r="BG78" s="9">
        <f t="shared" si="3"/>
        <v>0.27272727272727271</v>
      </c>
      <c r="BH78" s="9">
        <f t="shared" si="2"/>
        <v>0.35408163265306125</v>
      </c>
      <c r="BQ78" s="8">
        <v>6</v>
      </c>
      <c r="BR78" s="8" t="s">
        <v>217</v>
      </c>
    </row>
    <row r="79" spans="1:70" x14ac:dyDescent="0.3">
      <c r="A79" s="11" t="s">
        <v>218</v>
      </c>
      <c r="B79" s="12">
        <v>209100</v>
      </c>
      <c r="C79" s="12">
        <v>631800</v>
      </c>
      <c r="D79" s="12">
        <v>0.08</v>
      </c>
      <c r="E79" s="12">
        <v>0.19</v>
      </c>
      <c r="F79" s="12">
        <v>0.05</v>
      </c>
      <c r="G79" s="12">
        <v>0.1</v>
      </c>
      <c r="H79" s="12">
        <v>0.24</v>
      </c>
      <c r="I79" s="12">
        <v>7.0000000000000007E-2</v>
      </c>
      <c r="J79" s="12">
        <v>0.12</v>
      </c>
      <c r="K79" s="12">
        <v>0.32</v>
      </c>
      <c r="L79" s="12">
        <v>0.09</v>
      </c>
      <c r="M79" s="8">
        <v>7</v>
      </c>
      <c r="N79">
        <v>9</v>
      </c>
      <c r="O79" s="12">
        <v>11</v>
      </c>
      <c r="BF79" s="9">
        <v>0.78</v>
      </c>
      <c r="BG79" s="9">
        <f t="shared" si="3"/>
        <v>0.26923076923076922</v>
      </c>
      <c r="BH79" s="9">
        <f t="shared" si="2"/>
        <v>0.34954212454212458</v>
      </c>
      <c r="BQ79" s="8">
        <v>8</v>
      </c>
      <c r="BR79" s="8" t="s">
        <v>219</v>
      </c>
    </row>
    <row r="80" spans="1:70" x14ac:dyDescent="0.3">
      <c r="A80" s="11" t="s">
        <v>220</v>
      </c>
      <c r="B80" s="12">
        <v>230700</v>
      </c>
      <c r="C80" s="12">
        <v>732000</v>
      </c>
      <c r="D80" s="12">
        <v>0.16</v>
      </c>
      <c r="E80" s="12">
        <v>0.39</v>
      </c>
      <c r="F80" s="12">
        <v>0.08</v>
      </c>
      <c r="G80" s="12">
        <v>0.2</v>
      </c>
      <c r="H80" s="12">
        <v>0.51</v>
      </c>
      <c r="I80" s="12">
        <v>0.1</v>
      </c>
      <c r="J80" s="12">
        <v>0.27</v>
      </c>
      <c r="K80" s="12">
        <v>0.69</v>
      </c>
      <c r="L80" s="12">
        <v>0.14000000000000001</v>
      </c>
      <c r="M80" s="8">
        <v>6</v>
      </c>
      <c r="N80">
        <v>7</v>
      </c>
      <c r="O80" s="12">
        <v>8</v>
      </c>
      <c r="BF80" s="9">
        <v>0.79</v>
      </c>
      <c r="BG80" s="9">
        <f t="shared" si="3"/>
        <v>0.26582278481012656</v>
      </c>
      <c r="BH80" s="9">
        <f t="shared" si="2"/>
        <v>0.345117540687161</v>
      </c>
      <c r="BQ80" s="8">
        <v>7</v>
      </c>
      <c r="BR80" s="8" t="s">
        <v>221</v>
      </c>
    </row>
    <row r="81" spans="1:70" x14ac:dyDescent="0.3">
      <c r="A81" s="11" t="s">
        <v>222</v>
      </c>
      <c r="B81" s="12">
        <v>182000</v>
      </c>
      <c r="C81" s="12">
        <v>625400</v>
      </c>
      <c r="D81" s="12">
        <v>7.0000000000000007E-2</v>
      </c>
      <c r="E81" s="12">
        <v>0.16</v>
      </c>
      <c r="F81" s="12">
        <v>0.04</v>
      </c>
      <c r="G81" s="12">
        <v>0.08</v>
      </c>
      <c r="H81" s="12">
        <v>0.21</v>
      </c>
      <c r="I81" s="12">
        <v>0.05</v>
      </c>
      <c r="J81" s="12">
        <v>0.11</v>
      </c>
      <c r="K81" s="12">
        <v>0.28000000000000003</v>
      </c>
      <c r="L81" s="12">
        <v>7.0000000000000007E-2</v>
      </c>
      <c r="M81" s="8">
        <v>8</v>
      </c>
      <c r="N81">
        <v>10</v>
      </c>
      <c r="O81" s="12">
        <v>12</v>
      </c>
      <c r="BF81" s="9">
        <v>0.8</v>
      </c>
      <c r="BG81" s="9">
        <f t="shared" si="3"/>
        <v>0.26249999999999996</v>
      </c>
      <c r="BH81" s="9">
        <f t="shared" si="2"/>
        <v>0.34080357142857148</v>
      </c>
      <c r="BQ81" s="8">
        <v>6</v>
      </c>
      <c r="BR81" s="8" t="s">
        <v>223</v>
      </c>
    </row>
    <row r="82" spans="1:70" x14ac:dyDescent="0.3">
      <c r="A82" s="11" t="s">
        <v>224</v>
      </c>
      <c r="B82" s="12">
        <v>212100</v>
      </c>
      <c r="C82" s="12">
        <v>711500</v>
      </c>
      <c r="D82" s="12">
        <v>0.11</v>
      </c>
      <c r="E82" s="12">
        <v>0.28000000000000003</v>
      </c>
      <c r="F82" s="12">
        <v>0.06</v>
      </c>
      <c r="G82" s="12">
        <v>0.15</v>
      </c>
      <c r="H82" s="12">
        <v>0.37</v>
      </c>
      <c r="I82" s="12">
        <v>0.08</v>
      </c>
      <c r="J82" s="12">
        <v>0.2</v>
      </c>
      <c r="K82" s="12">
        <v>0.52</v>
      </c>
      <c r="L82" s="12">
        <v>0.11</v>
      </c>
      <c r="M82" s="8">
        <v>7</v>
      </c>
      <c r="N82">
        <v>8</v>
      </c>
      <c r="O82" s="12">
        <v>9</v>
      </c>
      <c r="BF82" s="9">
        <v>0.81</v>
      </c>
      <c r="BG82" s="9">
        <f t="shared" si="3"/>
        <v>0.25925925925925924</v>
      </c>
      <c r="BH82" s="9">
        <f t="shared" si="2"/>
        <v>0.33659611992945332</v>
      </c>
      <c r="BQ82" s="8">
        <v>8</v>
      </c>
      <c r="BR82" s="8" t="s">
        <v>225</v>
      </c>
    </row>
    <row r="83" spans="1:70" x14ac:dyDescent="0.3">
      <c r="A83" s="11" t="s">
        <v>226</v>
      </c>
      <c r="B83" s="12">
        <v>272300</v>
      </c>
      <c r="C83" s="12">
        <v>787300</v>
      </c>
      <c r="D83" s="12">
        <v>0.19</v>
      </c>
      <c r="E83" s="12">
        <v>0.47</v>
      </c>
      <c r="F83" s="12">
        <v>0.09</v>
      </c>
      <c r="G83" s="12">
        <v>0.24</v>
      </c>
      <c r="H83" s="12">
        <v>0.62</v>
      </c>
      <c r="I83" s="12">
        <v>0.13</v>
      </c>
      <c r="J83" s="12">
        <v>0.32</v>
      </c>
      <c r="K83" s="12">
        <v>0.84</v>
      </c>
      <c r="L83" s="12">
        <v>0.18</v>
      </c>
      <c r="M83" s="8">
        <v>6</v>
      </c>
      <c r="N83">
        <v>7</v>
      </c>
      <c r="O83" s="12">
        <v>8</v>
      </c>
      <c r="BF83" s="9">
        <v>0.82</v>
      </c>
      <c r="BG83" s="9">
        <f t="shared" si="3"/>
        <v>0.25609756097560976</v>
      </c>
      <c r="BH83" s="9">
        <f t="shared" si="2"/>
        <v>0.33249128919860632</v>
      </c>
      <c r="BQ83" s="8">
        <v>8</v>
      </c>
      <c r="BR83" s="8" t="s">
        <v>227</v>
      </c>
    </row>
    <row r="84" spans="1:70" x14ac:dyDescent="0.3">
      <c r="A84" s="11" t="s">
        <v>228</v>
      </c>
      <c r="B84" s="12">
        <v>192000</v>
      </c>
      <c r="C84" s="12">
        <v>577000</v>
      </c>
      <c r="D84" s="12">
        <v>7.0000000000000007E-2</v>
      </c>
      <c r="E84" s="12">
        <v>0.17</v>
      </c>
      <c r="F84" s="12">
        <v>0.04</v>
      </c>
      <c r="G84" s="12">
        <v>0.09</v>
      </c>
      <c r="H84" s="12">
        <v>0.22</v>
      </c>
      <c r="I84" s="12">
        <v>0.06</v>
      </c>
      <c r="J84" s="12">
        <v>0.11</v>
      </c>
      <c r="K84" s="12">
        <v>0.28999999999999998</v>
      </c>
      <c r="L84" s="12">
        <v>0.08</v>
      </c>
      <c r="M84" s="8">
        <v>8</v>
      </c>
      <c r="N84">
        <v>9</v>
      </c>
      <c r="O84" s="12">
        <v>11</v>
      </c>
      <c r="BF84" s="9">
        <v>0.83</v>
      </c>
      <c r="BG84" s="9">
        <f t="shared" si="3"/>
        <v>0.25301204819277107</v>
      </c>
      <c r="BH84" s="9">
        <f t="shared" si="2"/>
        <v>0.32848537005163519</v>
      </c>
      <c r="BQ84" s="8">
        <v>5</v>
      </c>
      <c r="BR84" s="8" t="s">
        <v>229</v>
      </c>
    </row>
    <row r="85" spans="1:70" x14ac:dyDescent="0.3">
      <c r="A85" s="11" t="s">
        <v>230</v>
      </c>
      <c r="B85" s="12">
        <v>175900</v>
      </c>
      <c r="C85" s="12">
        <v>617800</v>
      </c>
      <c r="D85" s="12">
        <v>7.0000000000000007E-2</v>
      </c>
      <c r="E85" s="12">
        <v>0.16</v>
      </c>
      <c r="F85" s="12">
        <v>0.04</v>
      </c>
      <c r="G85" s="12">
        <v>0.09</v>
      </c>
      <c r="H85" s="12">
        <v>0.22</v>
      </c>
      <c r="I85" s="12">
        <v>0.05</v>
      </c>
      <c r="J85" s="12">
        <v>0.12</v>
      </c>
      <c r="K85" s="12">
        <v>0.3</v>
      </c>
      <c r="L85" s="12">
        <v>7.0000000000000007E-2</v>
      </c>
      <c r="M85" s="8">
        <v>8</v>
      </c>
      <c r="N85">
        <v>10</v>
      </c>
      <c r="O85" s="12">
        <v>12</v>
      </c>
      <c r="BF85" s="9">
        <v>0.84</v>
      </c>
      <c r="BG85" s="9">
        <f t="shared" si="3"/>
        <v>0.25</v>
      </c>
      <c r="BH85" s="9">
        <f t="shared" si="2"/>
        <v>0.32457482993197284</v>
      </c>
      <c r="BQ85" s="8">
        <v>6</v>
      </c>
      <c r="BR85" s="8" t="s">
        <v>231</v>
      </c>
    </row>
    <row r="86" spans="1:70" x14ac:dyDescent="0.3">
      <c r="A86" s="11" t="s">
        <v>232</v>
      </c>
      <c r="B86" s="12">
        <v>251500</v>
      </c>
      <c r="C86" s="12">
        <v>734800</v>
      </c>
      <c r="D86" s="12">
        <v>0.25</v>
      </c>
      <c r="E86" s="12">
        <v>0.63</v>
      </c>
      <c r="F86" s="12">
        <v>0.12</v>
      </c>
      <c r="G86" s="12">
        <v>0.33</v>
      </c>
      <c r="H86" s="12">
        <v>0.83</v>
      </c>
      <c r="I86" s="12">
        <v>0.16</v>
      </c>
      <c r="J86" s="12">
        <v>0.45</v>
      </c>
      <c r="K86" s="12">
        <v>1.1399999999999999</v>
      </c>
      <c r="L86" s="12">
        <v>0.24</v>
      </c>
      <c r="M86" s="8">
        <v>5</v>
      </c>
      <c r="N86">
        <v>5</v>
      </c>
      <c r="O86" s="12">
        <v>6</v>
      </c>
      <c r="BF86" s="9">
        <v>0.85</v>
      </c>
      <c r="BG86" s="9">
        <f t="shared" si="3"/>
        <v>0.24705882352941178</v>
      </c>
      <c r="BH86" s="9">
        <f t="shared" si="2"/>
        <v>0.32075630252100845</v>
      </c>
      <c r="BQ86" s="8">
        <v>6</v>
      </c>
      <c r="BR86" s="8" t="s">
        <v>233</v>
      </c>
    </row>
    <row r="87" spans="1:70" x14ac:dyDescent="0.3">
      <c r="A87" s="11" t="s">
        <v>234</v>
      </c>
      <c r="B87" s="12">
        <v>220500</v>
      </c>
      <c r="C87" s="12">
        <v>740200</v>
      </c>
      <c r="D87" s="12">
        <v>0.14000000000000001</v>
      </c>
      <c r="E87" s="12">
        <v>0.36</v>
      </c>
      <c r="F87" s="12">
        <v>7.0000000000000007E-2</v>
      </c>
      <c r="G87" s="12">
        <v>0.19</v>
      </c>
      <c r="H87" s="12">
        <v>0.48</v>
      </c>
      <c r="I87" s="12">
        <v>0.1</v>
      </c>
      <c r="J87" s="12">
        <v>0.27</v>
      </c>
      <c r="K87" s="12">
        <v>0.67</v>
      </c>
      <c r="L87" s="12">
        <v>0.14000000000000001</v>
      </c>
      <c r="M87" s="8">
        <v>6</v>
      </c>
      <c r="N87">
        <v>7</v>
      </c>
      <c r="O87" s="12">
        <v>8</v>
      </c>
      <c r="BF87" s="9">
        <v>0.86</v>
      </c>
      <c r="BG87" s="9">
        <f t="shared" si="3"/>
        <v>0.2441860465116279</v>
      </c>
      <c r="BH87" s="9">
        <f t="shared" si="2"/>
        <v>0.31702657807308976</v>
      </c>
      <c r="BQ87" s="8">
        <v>7</v>
      </c>
      <c r="BR87" s="8" t="s">
        <v>235</v>
      </c>
    </row>
    <row r="88" spans="1:70" x14ac:dyDescent="0.3">
      <c r="A88" s="11" t="s">
        <v>236</v>
      </c>
      <c r="B88" s="12">
        <v>231100</v>
      </c>
      <c r="C88" s="12">
        <v>681800</v>
      </c>
      <c r="D88" s="12">
        <v>0.16</v>
      </c>
      <c r="E88" s="12">
        <v>0.4</v>
      </c>
      <c r="F88" s="12">
        <v>0.08</v>
      </c>
      <c r="G88" s="12">
        <v>0.21</v>
      </c>
      <c r="H88" s="12">
        <v>0.52</v>
      </c>
      <c r="I88" s="12">
        <v>0.11</v>
      </c>
      <c r="J88" s="12">
        <v>0.28000000000000003</v>
      </c>
      <c r="K88" s="12">
        <v>0.72</v>
      </c>
      <c r="L88" s="12">
        <v>0.15</v>
      </c>
      <c r="M88" s="8">
        <v>6</v>
      </c>
      <c r="N88">
        <v>7</v>
      </c>
      <c r="O88" s="12">
        <v>8</v>
      </c>
      <c r="BF88" s="9">
        <v>0.87</v>
      </c>
      <c r="BG88" s="9">
        <f t="shared" si="3"/>
        <v>0.24137931034482757</v>
      </c>
      <c r="BH88" s="9">
        <f t="shared" si="2"/>
        <v>0.31338259441707722</v>
      </c>
      <c r="BQ88" s="8">
        <v>6</v>
      </c>
      <c r="BR88" s="8" t="s">
        <v>237</v>
      </c>
    </row>
    <row r="89" spans="1:70" x14ac:dyDescent="0.3">
      <c r="A89" s="11" t="s">
        <v>238</v>
      </c>
      <c r="B89" s="12">
        <v>212000</v>
      </c>
      <c r="C89" s="12">
        <v>618200</v>
      </c>
      <c r="D89" s="12">
        <v>0.08</v>
      </c>
      <c r="E89" s="12">
        <v>0.21</v>
      </c>
      <c r="F89" s="12">
        <v>0.05</v>
      </c>
      <c r="G89" s="12">
        <v>0.1</v>
      </c>
      <c r="H89" s="12">
        <v>0.26</v>
      </c>
      <c r="I89" s="12">
        <v>7.0000000000000007E-2</v>
      </c>
      <c r="J89" s="12">
        <v>0.13</v>
      </c>
      <c r="K89" s="12">
        <v>0.35</v>
      </c>
      <c r="L89" s="12">
        <v>0.09</v>
      </c>
      <c r="M89" s="8">
        <v>7</v>
      </c>
      <c r="N89">
        <v>8</v>
      </c>
      <c r="O89" s="12">
        <v>10</v>
      </c>
      <c r="BF89" s="9">
        <v>0.88</v>
      </c>
      <c r="BG89" s="9">
        <f t="shared" si="3"/>
        <v>0.23863636363636362</v>
      </c>
      <c r="BH89" s="9">
        <f t="shared" si="2"/>
        <v>0.30982142857142864</v>
      </c>
      <c r="BQ89" s="8">
        <v>6</v>
      </c>
      <c r="BR89" s="8" t="s">
        <v>239</v>
      </c>
    </row>
    <row r="90" spans="1:70" x14ac:dyDescent="0.3">
      <c r="A90" s="11" t="s">
        <v>240</v>
      </c>
      <c r="B90" s="12">
        <v>216300</v>
      </c>
      <c r="C90" s="12">
        <v>737400</v>
      </c>
      <c r="D90" s="12">
        <v>0.14000000000000001</v>
      </c>
      <c r="E90" s="12">
        <v>0.35</v>
      </c>
      <c r="F90" s="12">
        <v>7.0000000000000007E-2</v>
      </c>
      <c r="G90" s="12">
        <v>0.2</v>
      </c>
      <c r="H90" s="12">
        <v>0.49</v>
      </c>
      <c r="I90" s="12">
        <v>0.1</v>
      </c>
      <c r="J90" s="12">
        <v>0.28000000000000003</v>
      </c>
      <c r="K90" s="12">
        <v>0.7</v>
      </c>
      <c r="L90" s="12">
        <v>0.14000000000000001</v>
      </c>
      <c r="M90" s="8">
        <v>6</v>
      </c>
      <c r="N90">
        <v>7</v>
      </c>
      <c r="O90" s="12">
        <v>8</v>
      </c>
      <c r="BF90" s="9">
        <v>0.89</v>
      </c>
      <c r="BG90" s="9">
        <f t="shared" si="3"/>
        <v>0.23595505617977527</v>
      </c>
      <c r="BH90" s="9">
        <f t="shared" si="2"/>
        <v>0.30634028892455861</v>
      </c>
      <c r="BQ90" s="8">
        <v>7</v>
      </c>
      <c r="BR90" s="8" t="s">
        <v>241</v>
      </c>
    </row>
    <row r="91" spans="1:70" x14ac:dyDescent="0.3">
      <c r="A91" s="11" t="s">
        <v>242</v>
      </c>
      <c r="B91" s="12">
        <v>278600</v>
      </c>
      <c r="C91" s="12">
        <v>772100</v>
      </c>
      <c r="D91" s="12">
        <v>0.14000000000000001</v>
      </c>
      <c r="E91" s="12">
        <v>0.37</v>
      </c>
      <c r="F91" s="12">
        <v>0.08</v>
      </c>
      <c r="G91" s="12">
        <v>0.18</v>
      </c>
      <c r="H91" s="12">
        <v>0.47</v>
      </c>
      <c r="I91" s="12">
        <v>0.1</v>
      </c>
      <c r="J91" s="12">
        <v>0.23</v>
      </c>
      <c r="K91" s="12">
        <v>0.62</v>
      </c>
      <c r="L91" s="12">
        <v>0.14000000000000001</v>
      </c>
      <c r="M91" s="8">
        <v>6</v>
      </c>
      <c r="N91">
        <v>8</v>
      </c>
      <c r="O91" s="12">
        <v>9</v>
      </c>
      <c r="BF91" s="9">
        <v>0.9</v>
      </c>
      <c r="BG91" s="9">
        <f t="shared" si="3"/>
        <v>0.23333333333333331</v>
      </c>
      <c r="BH91" s="9">
        <f t="shared" si="2"/>
        <v>0.302936507936508</v>
      </c>
      <c r="BQ91" s="8">
        <v>6</v>
      </c>
      <c r="BR91" s="8" t="s">
        <v>243</v>
      </c>
    </row>
    <row r="92" spans="1:70" x14ac:dyDescent="0.3">
      <c r="A92" s="11" t="s">
        <v>244</v>
      </c>
      <c r="B92" s="12">
        <v>200500</v>
      </c>
      <c r="C92" s="12">
        <v>712900</v>
      </c>
      <c r="D92" s="12">
        <v>0.09</v>
      </c>
      <c r="E92" s="12">
        <v>0.22</v>
      </c>
      <c r="F92" s="12">
        <v>0.05</v>
      </c>
      <c r="G92" s="12">
        <v>0.11</v>
      </c>
      <c r="H92" s="12">
        <v>0.28000000000000003</v>
      </c>
      <c r="I92" s="12">
        <v>7.0000000000000007E-2</v>
      </c>
      <c r="J92" s="12">
        <v>0.15</v>
      </c>
      <c r="K92" s="12">
        <v>0.39</v>
      </c>
      <c r="L92" s="12">
        <v>0.09</v>
      </c>
      <c r="M92" s="8">
        <v>7</v>
      </c>
      <c r="N92">
        <v>9</v>
      </c>
      <c r="O92" s="12">
        <v>11</v>
      </c>
      <c r="BF92" s="9">
        <v>0.91</v>
      </c>
      <c r="BG92" s="9">
        <f t="shared" si="3"/>
        <v>0.23076923076923075</v>
      </c>
      <c r="BH92" s="9">
        <f t="shared" si="2"/>
        <v>0.29960753532182105</v>
      </c>
      <c r="BQ92" s="8">
        <v>5</v>
      </c>
      <c r="BR92" s="8" t="s">
        <v>245</v>
      </c>
    </row>
    <row r="93" spans="1:70" x14ac:dyDescent="0.3">
      <c r="A93" s="11" t="s">
        <v>246</v>
      </c>
      <c r="B93" s="12">
        <v>213800</v>
      </c>
      <c r="C93" s="12">
        <v>736200</v>
      </c>
      <c r="D93" s="12">
        <v>0.14000000000000001</v>
      </c>
      <c r="E93" s="12">
        <v>0.35</v>
      </c>
      <c r="F93" s="12">
        <v>7.0000000000000007E-2</v>
      </c>
      <c r="G93" s="12">
        <v>0.2</v>
      </c>
      <c r="H93" s="12">
        <v>0.48</v>
      </c>
      <c r="I93" s="12">
        <v>0.1</v>
      </c>
      <c r="J93" s="12">
        <v>0.28000000000000003</v>
      </c>
      <c r="K93" s="12">
        <v>0.7</v>
      </c>
      <c r="L93" s="12">
        <v>0.14000000000000001</v>
      </c>
      <c r="M93" s="8">
        <v>6</v>
      </c>
      <c r="N93">
        <v>7</v>
      </c>
      <c r="O93" s="12">
        <v>8</v>
      </c>
      <c r="BF93" s="9">
        <v>0.92</v>
      </c>
      <c r="BG93" s="9">
        <f t="shared" si="3"/>
        <v>0.22826086956521738</v>
      </c>
      <c r="BH93" s="9">
        <f t="shared" si="2"/>
        <v>0.29635093167701865</v>
      </c>
      <c r="BQ93" s="8">
        <v>7</v>
      </c>
      <c r="BR93" s="8" t="s">
        <v>247</v>
      </c>
    </row>
    <row r="94" spans="1:70" x14ac:dyDescent="0.3">
      <c r="A94" s="11" t="s">
        <v>248</v>
      </c>
      <c r="B94" s="12">
        <v>269000</v>
      </c>
      <c r="C94" s="12">
        <v>745900</v>
      </c>
      <c r="D94" s="12">
        <v>0.21</v>
      </c>
      <c r="E94" s="12">
        <v>0.54</v>
      </c>
      <c r="F94" s="12">
        <v>0.1</v>
      </c>
      <c r="G94" s="12">
        <v>0.28000000000000003</v>
      </c>
      <c r="H94" s="12">
        <v>0.71</v>
      </c>
      <c r="I94" s="12">
        <v>0.14000000000000001</v>
      </c>
      <c r="J94" s="12">
        <v>0.37</v>
      </c>
      <c r="K94" s="12">
        <v>0.97</v>
      </c>
      <c r="L94" s="12">
        <v>0.2</v>
      </c>
      <c r="M94" s="8">
        <v>5</v>
      </c>
      <c r="N94">
        <v>6</v>
      </c>
      <c r="O94" s="12">
        <v>7</v>
      </c>
      <c r="BF94" s="9">
        <v>0.93</v>
      </c>
      <c r="BG94" s="9">
        <f t="shared" si="3"/>
        <v>0.22580645161290319</v>
      </c>
      <c r="BH94" s="9">
        <f t="shared" si="2"/>
        <v>0.29316436251920125</v>
      </c>
      <c r="BQ94" s="8">
        <v>5</v>
      </c>
      <c r="BR94" s="8" t="s">
        <v>249</v>
      </c>
    </row>
    <row r="95" spans="1:70" x14ac:dyDescent="0.3">
      <c r="A95" s="11" t="s">
        <v>250</v>
      </c>
      <c r="B95" s="12">
        <v>193300</v>
      </c>
      <c r="C95" s="12">
        <v>701600</v>
      </c>
      <c r="D95" s="12">
        <v>7.0000000000000007E-2</v>
      </c>
      <c r="E95" s="12">
        <v>0.18</v>
      </c>
      <c r="F95" s="12">
        <v>0.05</v>
      </c>
      <c r="G95" s="12">
        <v>0.09</v>
      </c>
      <c r="H95" s="12">
        <v>0.23</v>
      </c>
      <c r="I95" s="12">
        <v>0.06</v>
      </c>
      <c r="J95" s="12">
        <v>0.12</v>
      </c>
      <c r="K95" s="12">
        <v>0.3</v>
      </c>
      <c r="L95" s="12">
        <v>0.08</v>
      </c>
      <c r="M95" s="8">
        <v>7</v>
      </c>
      <c r="N95">
        <v>9</v>
      </c>
      <c r="O95" s="12">
        <v>11</v>
      </c>
      <c r="BF95" s="9">
        <v>0.94</v>
      </c>
      <c r="BG95" s="9">
        <f t="shared" si="3"/>
        <v>0.22340425531914895</v>
      </c>
      <c r="BH95" s="9">
        <f t="shared" si="2"/>
        <v>0.29004559270516722</v>
      </c>
      <c r="BQ95" s="8">
        <v>5</v>
      </c>
      <c r="BR95" s="8" t="s">
        <v>251</v>
      </c>
    </row>
    <row r="96" spans="1:70" x14ac:dyDescent="0.3">
      <c r="A96" s="11" t="s">
        <v>252</v>
      </c>
      <c r="B96" s="12">
        <v>200900</v>
      </c>
      <c r="C96" s="12">
        <v>412100</v>
      </c>
      <c r="D96" s="12">
        <v>0.18</v>
      </c>
      <c r="E96" s="12">
        <v>0.45</v>
      </c>
      <c r="F96" s="12">
        <v>0.08</v>
      </c>
      <c r="G96" s="12">
        <v>0.26</v>
      </c>
      <c r="H96" s="12">
        <v>0.63</v>
      </c>
      <c r="I96" s="12">
        <v>0.12</v>
      </c>
      <c r="J96" s="12">
        <v>0.36</v>
      </c>
      <c r="K96" s="12">
        <v>0.91</v>
      </c>
      <c r="L96" s="12">
        <v>0.18</v>
      </c>
      <c r="M96" s="8">
        <v>5</v>
      </c>
      <c r="N96">
        <v>5</v>
      </c>
      <c r="O96" s="12">
        <v>6</v>
      </c>
      <c r="BF96" s="9">
        <v>0.95</v>
      </c>
      <c r="BG96" s="9">
        <f t="shared" si="3"/>
        <v>0.22105263157894736</v>
      </c>
      <c r="BH96" s="9">
        <f t="shared" si="2"/>
        <v>0.28699248120300758</v>
      </c>
      <c r="BQ96" s="8">
        <v>6</v>
      </c>
      <c r="BR96" s="8" t="s">
        <v>253</v>
      </c>
    </row>
    <row r="97" spans="1:70" x14ac:dyDescent="0.3">
      <c r="A97" s="11" t="s">
        <v>254</v>
      </c>
      <c r="B97" s="12">
        <v>251500</v>
      </c>
      <c r="C97" s="12">
        <v>761500</v>
      </c>
      <c r="D97" s="12">
        <v>0.26</v>
      </c>
      <c r="E97" s="12">
        <v>0.65</v>
      </c>
      <c r="F97" s="12">
        <v>0.12</v>
      </c>
      <c r="G97" s="12">
        <v>0.34</v>
      </c>
      <c r="H97" s="12">
        <v>0.85</v>
      </c>
      <c r="I97" s="12">
        <v>0.17</v>
      </c>
      <c r="J97" s="12">
        <v>0.45</v>
      </c>
      <c r="K97" s="12">
        <v>1.17</v>
      </c>
      <c r="L97" s="12">
        <v>0.25</v>
      </c>
      <c r="M97" s="8">
        <v>5</v>
      </c>
      <c r="N97">
        <v>6</v>
      </c>
      <c r="O97" s="12">
        <v>6</v>
      </c>
      <c r="BF97" s="9">
        <v>0.96</v>
      </c>
      <c r="BG97" s="9">
        <f t="shared" si="3"/>
        <v>0.21875</v>
      </c>
      <c r="BH97" s="9">
        <f t="shared" si="2"/>
        <v>0.28400297619047626</v>
      </c>
      <c r="BQ97" s="8">
        <v>8</v>
      </c>
      <c r="BR97" s="8" t="s">
        <v>255</v>
      </c>
    </row>
    <row r="98" spans="1:70" x14ac:dyDescent="0.3">
      <c r="A98" s="11" t="s">
        <v>256</v>
      </c>
      <c r="B98" s="12">
        <v>206600</v>
      </c>
      <c r="C98" s="12">
        <v>726600</v>
      </c>
      <c r="D98" s="12">
        <v>0.12</v>
      </c>
      <c r="E98" s="12">
        <v>0.28999999999999998</v>
      </c>
      <c r="F98" s="12">
        <v>0.06</v>
      </c>
      <c r="G98" s="12">
        <v>0.16</v>
      </c>
      <c r="H98" s="12">
        <v>0.41</v>
      </c>
      <c r="I98" s="12">
        <v>0.09</v>
      </c>
      <c r="J98" s="12">
        <v>0.24</v>
      </c>
      <c r="K98" s="12">
        <v>0.6</v>
      </c>
      <c r="L98" s="12">
        <v>0.12</v>
      </c>
      <c r="M98" s="8">
        <v>6</v>
      </c>
      <c r="N98">
        <v>8</v>
      </c>
      <c r="O98" s="12">
        <v>9</v>
      </c>
      <c r="BF98" s="9">
        <v>0.97</v>
      </c>
      <c r="BG98" s="9">
        <f t="shared" si="3"/>
        <v>0.21649484536082475</v>
      </c>
      <c r="BH98" s="9">
        <f t="shared" si="2"/>
        <v>0.28107511045655381</v>
      </c>
      <c r="BQ98" s="8">
        <v>8</v>
      </c>
      <c r="BR98" s="8" t="s">
        <v>257</v>
      </c>
    </row>
    <row r="99" spans="1:70" x14ac:dyDescent="0.3">
      <c r="A99" s="11" t="s">
        <v>258</v>
      </c>
      <c r="B99" s="12">
        <v>191700</v>
      </c>
      <c r="C99" s="12">
        <v>698400</v>
      </c>
      <c r="D99" s="12">
        <v>7.0000000000000007E-2</v>
      </c>
      <c r="E99" s="12">
        <v>0.17</v>
      </c>
      <c r="F99" s="12">
        <v>0.05</v>
      </c>
      <c r="G99" s="12">
        <v>0.09</v>
      </c>
      <c r="H99" s="12">
        <v>0.22</v>
      </c>
      <c r="I99" s="12">
        <v>0.06</v>
      </c>
      <c r="J99" s="12">
        <v>0.11</v>
      </c>
      <c r="K99" s="12">
        <v>0.28999999999999998</v>
      </c>
      <c r="L99" s="12">
        <v>0.08</v>
      </c>
      <c r="M99" s="8">
        <v>8</v>
      </c>
      <c r="N99">
        <v>9</v>
      </c>
      <c r="O99" s="12">
        <v>12</v>
      </c>
      <c r="BF99" s="9">
        <v>0.98</v>
      </c>
      <c r="BG99" s="9">
        <f t="shared" si="3"/>
        <v>0.21428571428571427</v>
      </c>
      <c r="BH99" s="9">
        <f t="shared" si="2"/>
        <v>0.27820699708454816</v>
      </c>
      <c r="BQ99" s="8">
        <v>5</v>
      </c>
      <c r="BR99" s="8" t="s">
        <v>259</v>
      </c>
    </row>
    <row r="100" spans="1:70" x14ac:dyDescent="0.3">
      <c r="A100" s="11" t="s">
        <v>260</v>
      </c>
      <c r="B100" s="12">
        <v>193300</v>
      </c>
      <c r="C100" s="12">
        <v>673200</v>
      </c>
      <c r="D100" s="12">
        <v>7.0000000000000007E-2</v>
      </c>
      <c r="E100" s="12">
        <v>0.16</v>
      </c>
      <c r="F100" s="12">
        <v>0.05</v>
      </c>
      <c r="G100" s="12">
        <v>0.08</v>
      </c>
      <c r="H100" s="12">
        <v>0.2</v>
      </c>
      <c r="I100" s="12">
        <v>0.06</v>
      </c>
      <c r="J100" s="12">
        <v>0.1</v>
      </c>
      <c r="K100" s="12">
        <v>0.26</v>
      </c>
      <c r="L100" s="12">
        <v>0.08</v>
      </c>
      <c r="M100" s="8">
        <v>8</v>
      </c>
      <c r="N100">
        <v>9</v>
      </c>
      <c r="O100" s="12">
        <v>12</v>
      </c>
      <c r="BF100" s="9">
        <v>0.99</v>
      </c>
      <c r="BG100" s="9">
        <f t="shared" si="3"/>
        <v>0.21212121212121213</v>
      </c>
      <c r="BH100" s="9">
        <f t="shared" si="2"/>
        <v>0.27539682539682542</v>
      </c>
      <c r="BQ100" s="8">
        <v>5</v>
      </c>
      <c r="BR100" s="8" t="s">
        <v>261</v>
      </c>
    </row>
    <row r="101" spans="1:70" x14ac:dyDescent="0.3">
      <c r="A101" s="11" t="s">
        <v>262</v>
      </c>
      <c r="B101" s="12">
        <v>256600</v>
      </c>
      <c r="C101" s="12">
        <v>757500</v>
      </c>
      <c r="D101" s="12">
        <v>0.28000000000000003</v>
      </c>
      <c r="E101" s="12">
        <v>0.7</v>
      </c>
      <c r="F101" s="12">
        <v>0.13</v>
      </c>
      <c r="G101" s="12">
        <v>0.37</v>
      </c>
      <c r="H101" s="12">
        <v>0.92</v>
      </c>
      <c r="I101" s="12">
        <v>0.18</v>
      </c>
      <c r="J101" s="12">
        <v>0.49</v>
      </c>
      <c r="K101" s="12">
        <v>1.26</v>
      </c>
      <c r="L101" s="12">
        <v>0.27</v>
      </c>
      <c r="M101" s="8">
        <v>5</v>
      </c>
      <c r="N101">
        <v>5</v>
      </c>
      <c r="O101" s="12">
        <v>6</v>
      </c>
      <c r="BF101" s="9">
        <v>1</v>
      </c>
      <c r="BG101" s="9">
        <f t="shared" si="3"/>
        <v>0.21</v>
      </c>
      <c r="BH101" s="9">
        <f t="shared" si="2"/>
        <v>0.27264285714285719</v>
      </c>
      <c r="BQ101" s="8">
        <v>8</v>
      </c>
      <c r="BR101" s="8" t="s">
        <v>263</v>
      </c>
    </row>
    <row r="102" spans="1:70" x14ac:dyDescent="0.3">
      <c r="A102" s="11" t="s">
        <v>264</v>
      </c>
      <c r="B102" s="12">
        <v>243700</v>
      </c>
      <c r="C102" s="12">
        <v>633000</v>
      </c>
      <c r="D102" s="12">
        <v>0.21</v>
      </c>
      <c r="E102" s="12">
        <v>0.53</v>
      </c>
      <c r="F102" s="12">
        <v>0.1</v>
      </c>
      <c r="G102" s="12">
        <v>0.28000000000000003</v>
      </c>
      <c r="H102" s="12">
        <v>0.71</v>
      </c>
      <c r="I102" s="12">
        <v>0.14000000000000001</v>
      </c>
      <c r="J102" s="12">
        <v>0.39</v>
      </c>
      <c r="K102" s="12">
        <v>0.99</v>
      </c>
      <c r="L102" s="12">
        <v>0.21</v>
      </c>
      <c r="M102" s="8">
        <v>5</v>
      </c>
      <c r="N102">
        <v>6</v>
      </c>
      <c r="O102" s="12">
        <v>6</v>
      </c>
      <c r="BF102" s="9">
        <v>1.01</v>
      </c>
      <c r="BG102" s="9">
        <f t="shared" si="3"/>
        <v>0.20792079207920791</v>
      </c>
      <c r="BH102" s="9">
        <f t="shared" si="2"/>
        <v>0.26994342291371998</v>
      </c>
      <c r="BQ102" s="8">
        <v>7</v>
      </c>
      <c r="BR102" s="8" t="s">
        <v>265</v>
      </c>
    </row>
    <row r="103" spans="1:70" x14ac:dyDescent="0.3">
      <c r="A103" s="11" t="s">
        <v>266</v>
      </c>
      <c r="B103" s="12">
        <v>195300</v>
      </c>
      <c r="C103" s="12">
        <v>661800</v>
      </c>
      <c r="D103" s="12">
        <v>7.0000000000000007E-2</v>
      </c>
      <c r="E103" s="12">
        <v>0.16</v>
      </c>
      <c r="F103" s="12">
        <v>0.05</v>
      </c>
      <c r="G103" s="12">
        <v>0.08</v>
      </c>
      <c r="H103" s="12">
        <v>0.2</v>
      </c>
      <c r="I103" s="12">
        <v>0.06</v>
      </c>
      <c r="J103" s="12">
        <v>0.1</v>
      </c>
      <c r="K103" s="12">
        <v>0.26</v>
      </c>
      <c r="L103" s="12">
        <v>0.08</v>
      </c>
      <c r="M103" s="8">
        <v>8</v>
      </c>
      <c r="N103">
        <v>9</v>
      </c>
      <c r="O103" s="12">
        <v>12</v>
      </c>
      <c r="BF103" s="9">
        <v>1.02</v>
      </c>
      <c r="BG103" s="9">
        <f t="shared" si="3"/>
        <v>0.20588235294117646</v>
      </c>
      <c r="BH103" s="9">
        <f t="shared" si="2"/>
        <v>0.26729691876750705</v>
      </c>
      <c r="BQ103" s="8">
        <v>7</v>
      </c>
      <c r="BR103" s="8" t="s">
        <v>267</v>
      </c>
    </row>
    <row r="104" spans="1:70" x14ac:dyDescent="0.3">
      <c r="A104" s="11" t="s">
        <v>268</v>
      </c>
      <c r="B104" s="12">
        <v>213800</v>
      </c>
      <c r="C104" s="12">
        <v>618500</v>
      </c>
      <c r="D104" s="12">
        <v>0.09</v>
      </c>
      <c r="E104" s="12">
        <v>0.21</v>
      </c>
      <c r="F104" s="12">
        <v>0.05</v>
      </c>
      <c r="G104" s="12">
        <v>0.11</v>
      </c>
      <c r="H104" s="12">
        <v>0.27</v>
      </c>
      <c r="I104" s="12">
        <v>7.0000000000000007E-2</v>
      </c>
      <c r="J104" s="12">
        <v>0.14000000000000001</v>
      </c>
      <c r="K104" s="12">
        <v>0.36</v>
      </c>
      <c r="L104" s="12">
        <v>0.09</v>
      </c>
      <c r="M104" s="8">
        <v>7</v>
      </c>
      <c r="N104">
        <v>8</v>
      </c>
      <c r="O104" s="12">
        <v>10</v>
      </c>
      <c r="BF104" s="9">
        <v>1.03</v>
      </c>
      <c r="BG104" s="9">
        <f t="shared" si="3"/>
        <v>0.20388349514563106</v>
      </c>
      <c r="BH104" s="9">
        <f t="shared" si="2"/>
        <v>0.26470180305131763</v>
      </c>
      <c r="BQ104" s="8">
        <v>6</v>
      </c>
      <c r="BR104" s="8" t="s">
        <v>269</v>
      </c>
    </row>
    <row r="105" spans="1:70" x14ac:dyDescent="0.3">
      <c r="A105" s="11" t="s">
        <v>270</v>
      </c>
      <c r="B105" s="12">
        <v>201200</v>
      </c>
      <c r="C105" s="12">
        <v>675300</v>
      </c>
      <c r="D105" s="12">
        <v>7.0000000000000007E-2</v>
      </c>
      <c r="E105" s="12">
        <v>0.18</v>
      </c>
      <c r="F105" s="12">
        <v>0.05</v>
      </c>
      <c r="G105" s="12">
        <v>0.09</v>
      </c>
      <c r="H105" s="12">
        <v>0.23</v>
      </c>
      <c r="I105" s="12">
        <v>0.06</v>
      </c>
      <c r="J105" s="12">
        <v>0.11</v>
      </c>
      <c r="K105" s="12">
        <v>0.28999999999999998</v>
      </c>
      <c r="L105" s="12">
        <v>0.08</v>
      </c>
      <c r="M105" s="8">
        <v>7</v>
      </c>
      <c r="N105">
        <v>9</v>
      </c>
      <c r="O105" s="12">
        <v>11</v>
      </c>
      <c r="BF105" s="9">
        <v>1.04</v>
      </c>
      <c r="BG105" s="9">
        <f t="shared" si="3"/>
        <v>0.2019230769230769</v>
      </c>
      <c r="BH105" s="9">
        <f t="shared" si="2"/>
        <v>0.26215659340659342</v>
      </c>
      <c r="BQ105" s="8">
        <v>7</v>
      </c>
      <c r="BR105" s="8" t="s">
        <v>271</v>
      </c>
    </row>
    <row r="106" spans="1:70" x14ac:dyDescent="0.3">
      <c r="A106" s="11" t="s">
        <v>272</v>
      </c>
      <c r="B106" s="12">
        <v>230500</v>
      </c>
      <c r="C106" s="12">
        <v>770900</v>
      </c>
      <c r="D106" s="12">
        <v>0.14000000000000001</v>
      </c>
      <c r="E106" s="12">
        <v>0.34</v>
      </c>
      <c r="F106" s="12">
        <v>7.0000000000000007E-2</v>
      </c>
      <c r="G106" s="12">
        <v>0.17</v>
      </c>
      <c r="H106" s="12">
        <v>0.43</v>
      </c>
      <c r="I106" s="12">
        <v>0.09</v>
      </c>
      <c r="J106" s="12">
        <v>0.22</v>
      </c>
      <c r="K106" s="12">
        <v>0.56999999999999995</v>
      </c>
      <c r="L106" s="12">
        <v>0.13</v>
      </c>
      <c r="M106" s="8">
        <v>6</v>
      </c>
      <c r="N106">
        <v>8</v>
      </c>
      <c r="O106" s="12">
        <v>10</v>
      </c>
      <c r="BF106" s="9">
        <v>1.05</v>
      </c>
      <c r="BG106" s="9">
        <f t="shared" si="3"/>
        <v>0.19999999999999998</v>
      </c>
      <c r="BH106" s="9">
        <f t="shared" si="2"/>
        <v>0.25965986394557827</v>
      </c>
      <c r="BQ106" s="8">
        <v>8</v>
      </c>
      <c r="BR106" s="8" t="s">
        <v>273</v>
      </c>
    </row>
    <row r="107" spans="1:70" x14ac:dyDescent="0.3">
      <c r="A107" s="11" t="s">
        <v>274</v>
      </c>
      <c r="B107" s="12">
        <v>203700</v>
      </c>
      <c r="C107" s="12">
        <v>668900</v>
      </c>
      <c r="D107" s="12">
        <v>0.08</v>
      </c>
      <c r="E107" s="12">
        <v>0.19</v>
      </c>
      <c r="F107" s="12">
        <v>0.05</v>
      </c>
      <c r="G107" s="12">
        <v>0.09</v>
      </c>
      <c r="H107" s="12">
        <v>0.23</v>
      </c>
      <c r="I107" s="12">
        <v>0.06</v>
      </c>
      <c r="J107" s="12">
        <v>0.12</v>
      </c>
      <c r="K107" s="12">
        <v>0.3</v>
      </c>
      <c r="L107" s="12">
        <v>0.09</v>
      </c>
      <c r="M107" s="8">
        <v>7</v>
      </c>
      <c r="N107">
        <v>9</v>
      </c>
      <c r="O107" s="12">
        <v>11</v>
      </c>
      <c r="BF107" s="9">
        <v>1.06</v>
      </c>
      <c r="BG107" s="9">
        <f t="shared" si="3"/>
        <v>0.1981132075471698</v>
      </c>
      <c r="BH107" s="9">
        <f t="shared" si="2"/>
        <v>0.25721024258760111</v>
      </c>
      <c r="BQ107" s="8">
        <v>6</v>
      </c>
      <c r="BR107" s="8" t="s">
        <v>275</v>
      </c>
    </row>
    <row r="108" spans="1:70" x14ac:dyDescent="0.3">
      <c r="A108" s="11" t="s">
        <v>276</v>
      </c>
      <c r="B108" s="12">
        <v>169700</v>
      </c>
      <c r="C108" s="12">
        <v>627500</v>
      </c>
      <c r="D108" s="12">
        <v>7.0000000000000007E-2</v>
      </c>
      <c r="E108" s="12">
        <v>0.16</v>
      </c>
      <c r="F108" s="12">
        <v>0.04</v>
      </c>
      <c r="G108" s="12">
        <v>0.09</v>
      </c>
      <c r="H108" s="12">
        <v>0.21</v>
      </c>
      <c r="I108" s="12">
        <v>0.05</v>
      </c>
      <c r="J108" s="12">
        <v>0.12</v>
      </c>
      <c r="K108" s="12">
        <v>0.3</v>
      </c>
      <c r="L108" s="12">
        <v>7.0000000000000007E-2</v>
      </c>
      <c r="M108" s="8">
        <v>8</v>
      </c>
      <c r="N108">
        <v>10</v>
      </c>
      <c r="O108" s="12">
        <v>12</v>
      </c>
      <c r="BF108" s="9">
        <v>1.07</v>
      </c>
      <c r="BG108" s="9">
        <f t="shared" si="3"/>
        <v>0.19626168224299065</v>
      </c>
      <c r="BH108" s="9">
        <f t="shared" si="2"/>
        <v>0.2548064085447263</v>
      </c>
      <c r="BQ108" s="8">
        <v>5</v>
      </c>
      <c r="BR108" s="8" t="s">
        <v>277</v>
      </c>
    </row>
    <row r="109" spans="1:70" x14ac:dyDescent="0.3">
      <c r="A109" s="11" t="s">
        <v>278</v>
      </c>
      <c r="B109" s="12">
        <v>242300</v>
      </c>
      <c r="C109" s="12">
        <v>760200</v>
      </c>
      <c r="D109" s="12">
        <v>0.19</v>
      </c>
      <c r="E109" s="12">
        <v>0.48</v>
      </c>
      <c r="F109" s="12">
        <v>0.09</v>
      </c>
      <c r="G109" s="12">
        <v>0.24</v>
      </c>
      <c r="H109" s="12">
        <v>0.61</v>
      </c>
      <c r="I109" s="12">
        <v>0.12</v>
      </c>
      <c r="J109" s="12">
        <v>0.31</v>
      </c>
      <c r="K109" s="12">
        <v>0.82</v>
      </c>
      <c r="L109" s="12">
        <v>0.17</v>
      </c>
      <c r="M109" s="8">
        <v>6</v>
      </c>
      <c r="N109">
        <v>7</v>
      </c>
      <c r="O109" s="12">
        <v>8</v>
      </c>
      <c r="BF109" s="9">
        <v>1.08</v>
      </c>
      <c r="BG109" s="9">
        <f t="shared" si="3"/>
        <v>0.19444444444444442</v>
      </c>
      <c r="BH109" s="9">
        <f t="shared" si="2"/>
        <v>0.25244708994708998</v>
      </c>
      <c r="BQ109" s="8">
        <v>8</v>
      </c>
      <c r="BR109" s="8" t="s">
        <v>279</v>
      </c>
    </row>
    <row r="110" spans="1:70" x14ac:dyDescent="0.3">
      <c r="A110" s="11" t="s">
        <v>280</v>
      </c>
      <c r="B110" s="12">
        <v>253900</v>
      </c>
      <c r="C110" s="12">
        <v>756800</v>
      </c>
      <c r="D110" s="12">
        <v>0.27</v>
      </c>
      <c r="E110" s="12">
        <v>0.68</v>
      </c>
      <c r="F110" s="12">
        <v>0.13</v>
      </c>
      <c r="G110" s="12">
        <v>0.36</v>
      </c>
      <c r="H110" s="12">
        <v>0.89</v>
      </c>
      <c r="I110" s="12">
        <v>0.18</v>
      </c>
      <c r="J110" s="12">
        <v>0.48</v>
      </c>
      <c r="K110" s="12">
        <v>1.22</v>
      </c>
      <c r="L110" s="12">
        <v>0.26</v>
      </c>
      <c r="M110" s="8">
        <v>5</v>
      </c>
      <c r="N110">
        <v>5</v>
      </c>
      <c r="O110" s="12">
        <v>6</v>
      </c>
      <c r="BF110" s="9">
        <v>1.0900000000000001</v>
      </c>
      <c r="BG110" s="9">
        <f t="shared" si="3"/>
        <v>0.19266055045871558</v>
      </c>
      <c r="BH110" s="9">
        <f t="shared" si="2"/>
        <v>0.25013106159895154</v>
      </c>
      <c r="BQ110" s="8">
        <v>5</v>
      </c>
      <c r="BR110" s="8" t="s">
        <v>281</v>
      </c>
    </row>
    <row r="111" spans="1:70" x14ac:dyDescent="0.3">
      <c r="A111" s="11" t="s">
        <v>282</v>
      </c>
      <c r="B111" s="12">
        <v>191900</v>
      </c>
      <c r="C111" s="12">
        <v>604500</v>
      </c>
      <c r="D111" s="12">
        <v>7.0000000000000007E-2</v>
      </c>
      <c r="E111" s="12">
        <v>0.18</v>
      </c>
      <c r="F111" s="12">
        <v>0.04</v>
      </c>
      <c r="G111" s="12">
        <v>0.1</v>
      </c>
      <c r="H111" s="12">
        <v>0.24</v>
      </c>
      <c r="I111" s="12">
        <v>0.06</v>
      </c>
      <c r="J111" s="12">
        <v>0.13</v>
      </c>
      <c r="K111" s="12">
        <v>0.32</v>
      </c>
      <c r="L111" s="12">
        <v>0.08</v>
      </c>
      <c r="M111" s="8">
        <v>8</v>
      </c>
      <c r="N111">
        <v>9</v>
      </c>
      <c r="O111" s="12">
        <v>11</v>
      </c>
      <c r="BF111" s="9">
        <v>1.1000000000000001</v>
      </c>
      <c r="BG111" s="9">
        <f t="shared" si="3"/>
        <v>0.19090909090909089</v>
      </c>
      <c r="BH111" s="9">
        <f t="shared" si="2"/>
        <v>0.24785714285714289</v>
      </c>
      <c r="BQ111" s="8">
        <v>8</v>
      </c>
      <c r="BR111" s="8" t="s">
        <v>283</v>
      </c>
    </row>
    <row r="112" spans="1:70" x14ac:dyDescent="0.3">
      <c r="A112" s="11" t="s">
        <v>284</v>
      </c>
      <c r="B112" s="12">
        <v>269500</v>
      </c>
      <c r="C112" s="12">
        <v>762500</v>
      </c>
      <c r="D112" s="12">
        <v>0.21</v>
      </c>
      <c r="E112" s="12">
        <v>0.53</v>
      </c>
      <c r="F112" s="12">
        <v>0.1</v>
      </c>
      <c r="G112" s="12">
        <v>0.27</v>
      </c>
      <c r="H112" s="12">
        <v>0.7</v>
      </c>
      <c r="I112" s="12">
        <v>0.14000000000000001</v>
      </c>
      <c r="J112" s="12">
        <v>0.37</v>
      </c>
      <c r="K112" s="12">
        <v>0.95</v>
      </c>
      <c r="L112" s="12">
        <v>0.2</v>
      </c>
      <c r="M112" s="8">
        <v>5</v>
      </c>
      <c r="N112">
        <v>6</v>
      </c>
      <c r="O112" s="12">
        <v>7</v>
      </c>
      <c r="BF112" s="9">
        <v>1.1100000000000001</v>
      </c>
      <c r="BG112" s="9">
        <f t="shared" si="3"/>
        <v>0.18918918918918917</v>
      </c>
      <c r="BH112" s="9">
        <f t="shared" si="2"/>
        <v>0.24562419562419563</v>
      </c>
      <c r="BQ112" s="8">
        <v>7</v>
      </c>
      <c r="BR112" s="8" t="s">
        <v>285</v>
      </c>
    </row>
    <row r="113" spans="1:70" x14ac:dyDescent="0.3">
      <c r="A113" s="11" t="s">
        <v>286</v>
      </c>
      <c r="B113" s="12">
        <v>188000</v>
      </c>
      <c r="C113" s="12">
        <v>581500</v>
      </c>
      <c r="D113" s="12">
        <v>7.0000000000000007E-2</v>
      </c>
      <c r="E113" s="12">
        <v>0.16</v>
      </c>
      <c r="F113" s="12">
        <v>0.04</v>
      </c>
      <c r="G113" s="12">
        <v>0.09</v>
      </c>
      <c r="H113" s="12">
        <v>0.21</v>
      </c>
      <c r="I113" s="12">
        <v>0.05</v>
      </c>
      <c r="J113" s="12">
        <v>0.11</v>
      </c>
      <c r="K113" s="12">
        <v>0.28000000000000003</v>
      </c>
      <c r="L113" s="12">
        <v>7.0000000000000007E-2</v>
      </c>
      <c r="M113" s="8">
        <v>8</v>
      </c>
      <c r="N113">
        <v>9</v>
      </c>
      <c r="O113" s="12">
        <v>11</v>
      </c>
      <c r="BF113" s="9">
        <v>1.1200000000000001</v>
      </c>
      <c r="BG113" s="9">
        <f t="shared" si="3"/>
        <v>0.18749999999999997</v>
      </c>
      <c r="BH113" s="9">
        <f t="shared" si="2"/>
        <v>0.2434311224489796</v>
      </c>
      <c r="BQ113" s="8">
        <v>6</v>
      </c>
      <c r="BR113" s="8" t="s">
        <v>287</v>
      </c>
    </row>
    <row r="114" spans="1:70" x14ac:dyDescent="0.3">
      <c r="A114" s="11" t="s">
        <v>288</v>
      </c>
      <c r="B114" s="12">
        <v>217600</v>
      </c>
      <c r="C114" s="12">
        <v>610400</v>
      </c>
      <c r="D114" s="12">
        <v>0.1</v>
      </c>
      <c r="E114" s="12">
        <v>0.24</v>
      </c>
      <c r="F114" s="12">
        <v>0.06</v>
      </c>
      <c r="G114" s="12">
        <v>0.12</v>
      </c>
      <c r="H114" s="12">
        <v>0.31</v>
      </c>
      <c r="I114" s="12">
        <v>7.0000000000000007E-2</v>
      </c>
      <c r="J114" s="12">
        <v>0.16</v>
      </c>
      <c r="K114" s="12">
        <v>0.41</v>
      </c>
      <c r="L114" s="12">
        <v>0.1</v>
      </c>
      <c r="M114" s="8">
        <v>7</v>
      </c>
      <c r="N114">
        <v>8</v>
      </c>
      <c r="O114" s="12">
        <v>10</v>
      </c>
      <c r="BF114" s="9">
        <v>1.1299999999999999</v>
      </c>
      <c r="BG114" s="9">
        <f t="shared" si="3"/>
        <v>0.18584070796460178</v>
      </c>
      <c r="BH114" s="9">
        <f t="shared" si="2"/>
        <v>0.24127686472819224</v>
      </c>
      <c r="BQ114" s="8">
        <v>8</v>
      </c>
      <c r="BR114" s="8" t="s">
        <v>289</v>
      </c>
    </row>
    <row r="115" spans="1:70" x14ac:dyDescent="0.3">
      <c r="A115" s="11" t="s">
        <v>290</v>
      </c>
      <c r="B115" s="12">
        <v>218400</v>
      </c>
      <c r="C115" s="12">
        <v>747500</v>
      </c>
      <c r="D115" s="12">
        <v>0.14000000000000001</v>
      </c>
      <c r="E115" s="12">
        <v>0.34</v>
      </c>
      <c r="F115" s="12">
        <v>7.0000000000000007E-2</v>
      </c>
      <c r="G115" s="12">
        <v>0.18</v>
      </c>
      <c r="H115" s="12">
        <v>0.45</v>
      </c>
      <c r="I115" s="12">
        <v>0.09</v>
      </c>
      <c r="J115" s="12">
        <v>0.25</v>
      </c>
      <c r="K115" s="12">
        <v>0.63</v>
      </c>
      <c r="L115" s="12">
        <v>0.13</v>
      </c>
      <c r="M115" s="8">
        <v>6</v>
      </c>
      <c r="N115">
        <v>7</v>
      </c>
      <c r="O115" s="12">
        <v>9</v>
      </c>
      <c r="BF115" s="9">
        <v>1.1399999999999999</v>
      </c>
      <c r="BG115" s="9">
        <f t="shared" si="3"/>
        <v>0.18421052631578949</v>
      </c>
      <c r="BH115" s="9">
        <f t="shared" si="2"/>
        <v>0.23916040100250632</v>
      </c>
      <c r="BQ115" s="8">
        <v>7</v>
      </c>
      <c r="BR115" s="8" t="s">
        <v>291</v>
      </c>
    </row>
    <row r="116" spans="1:70" x14ac:dyDescent="0.3">
      <c r="A116" s="11" t="s">
        <v>292</v>
      </c>
      <c r="B116" s="12">
        <v>191000</v>
      </c>
      <c r="C116" s="12">
        <v>561000</v>
      </c>
      <c r="D116" s="12">
        <v>0.06</v>
      </c>
      <c r="E116" s="12">
        <v>0.15</v>
      </c>
      <c r="F116" s="12">
        <v>0.04</v>
      </c>
      <c r="G116" s="12">
        <v>0.08</v>
      </c>
      <c r="H116" s="12">
        <v>0.2</v>
      </c>
      <c r="I116" s="12">
        <v>0.05</v>
      </c>
      <c r="J116" s="12">
        <v>0.1</v>
      </c>
      <c r="K116" s="12">
        <v>0.26</v>
      </c>
      <c r="L116" s="12">
        <v>0.08</v>
      </c>
      <c r="M116" s="8">
        <v>8</v>
      </c>
      <c r="N116">
        <v>9</v>
      </c>
      <c r="O116" s="12">
        <v>11</v>
      </c>
      <c r="BF116" s="9">
        <v>1.1499999999999999</v>
      </c>
      <c r="BG116" s="9">
        <f t="shared" si="3"/>
        <v>0.18260869565217391</v>
      </c>
      <c r="BH116" s="9">
        <f t="shared" si="2"/>
        <v>0.23708074534161497</v>
      </c>
      <c r="BQ116" s="8">
        <v>5</v>
      </c>
      <c r="BR116" s="8" t="s">
        <v>293</v>
      </c>
    </row>
    <row r="117" spans="1:70" x14ac:dyDescent="0.3">
      <c r="A117" s="11" t="s">
        <v>294</v>
      </c>
      <c r="B117" s="12">
        <v>199000</v>
      </c>
      <c r="C117" s="12">
        <v>580000</v>
      </c>
      <c r="D117" s="12">
        <v>0.08</v>
      </c>
      <c r="E117" s="12">
        <v>0.19</v>
      </c>
      <c r="F117" s="12">
        <v>0.05</v>
      </c>
      <c r="G117" s="12">
        <v>0.1</v>
      </c>
      <c r="H117" s="12">
        <v>0.25</v>
      </c>
      <c r="I117" s="12">
        <v>0.06</v>
      </c>
      <c r="J117" s="12">
        <v>0.13</v>
      </c>
      <c r="K117" s="12">
        <v>0.34</v>
      </c>
      <c r="L117" s="12">
        <v>0.08</v>
      </c>
      <c r="M117" s="8">
        <v>7</v>
      </c>
      <c r="N117">
        <v>9</v>
      </c>
      <c r="O117" s="12">
        <v>11</v>
      </c>
      <c r="BF117" s="9">
        <v>1.1599999999999999</v>
      </c>
      <c r="BG117" s="9">
        <f t="shared" si="3"/>
        <v>0.18103448275862069</v>
      </c>
      <c r="BH117" s="9">
        <f t="shared" si="2"/>
        <v>0.23503694581280793</v>
      </c>
      <c r="BQ117" s="8">
        <v>5</v>
      </c>
      <c r="BR117" s="8" t="s">
        <v>295</v>
      </c>
    </row>
    <row r="118" spans="1:70" x14ac:dyDescent="0.3">
      <c r="A118" s="11" t="s">
        <v>296</v>
      </c>
      <c r="B118" s="12">
        <v>265900</v>
      </c>
      <c r="C118" s="12">
        <v>742600</v>
      </c>
      <c r="D118" s="12">
        <v>0.24</v>
      </c>
      <c r="E118" s="12">
        <v>0.59</v>
      </c>
      <c r="F118" s="12">
        <v>0.11</v>
      </c>
      <c r="G118" s="12">
        <v>0.31</v>
      </c>
      <c r="H118" s="12">
        <v>0.79</v>
      </c>
      <c r="I118" s="12">
        <v>0.15</v>
      </c>
      <c r="J118" s="12">
        <v>0.42</v>
      </c>
      <c r="K118" s="12">
        <v>1.08</v>
      </c>
      <c r="L118" s="12">
        <v>0.23</v>
      </c>
      <c r="M118" s="8">
        <v>5</v>
      </c>
      <c r="N118">
        <v>6</v>
      </c>
      <c r="O118" s="12">
        <v>7</v>
      </c>
      <c r="BF118" s="9">
        <v>1.17</v>
      </c>
      <c r="BG118" s="9">
        <f t="shared" si="3"/>
        <v>0.17948717948717949</v>
      </c>
      <c r="BH118" s="9">
        <f t="shared" si="2"/>
        <v>0.23302808302808309</v>
      </c>
      <c r="BQ118" s="8">
        <v>6</v>
      </c>
      <c r="BR118" s="8" t="s">
        <v>297</v>
      </c>
    </row>
    <row r="119" spans="1:70" x14ac:dyDescent="0.3">
      <c r="A119" s="11" t="s">
        <v>298</v>
      </c>
      <c r="B119" s="12">
        <v>254500</v>
      </c>
      <c r="C119" s="12">
        <v>731700</v>
      </c>
      <c r="D119" s="12">
        <v>0.26</v>
      </c>
      <c r="E119" s="12">
        <v>0.64</v>
      </c>
      <c r="F119" s="12">
        <v>0.12</v>
      </c>
      <c r="G119" s="12">
        <v>0.34</v>
      </c>
      <c r="H119" s="12">
        <v>0.86</v>
      </c>
      <c r="I119" s="12">
        <v>0.17</v>
      </c>
      <c r="J119" s="12">
        <v>0.46</v>
      </c>
      <c r="K119" s="12">
        <v>1.18</v>
      </c>
      <c r="L119" s="12">
        <v>0.25</v>
      </c>
      <c r="M119" s="8">
        <v>5</v>
      </c>
      <c r="N119">
        <v>5</v>
      </c>
      <c r="O119" s="12">
        <v>6</v>
      </c>
      <c r="BF119" s="9">
        <v>1.18</v>
      </c>
      <c r="BG119" s="9">
        <f t="shared" si="3"/>
        <v>0.17796610169491525</v>
      </c>
      <c r="BH119" s="9">
        <f t="shared" si="2"/>
        <v>0.23105326876513321</v>
      </c>
      <c r="BQ119" s="8">
        <v>7</v>
      </c>
      <c r="BR119" s="8" t="s">
        <v>299</v>
      </c>
    </row>
    <row r="120" spans="1:70" x14ac:dyDescent="0.3">
      <c r="A120" s="11" t="s">
        <v>300</v>
      </c>
      <c r="B120" s="12">
        <v>212300</v>
      </c>
      <c r="C120" s="12">
        <v>749300</v>
      </c>
      <c r="D120" s="12">
        <v>0.14000000000000001</v>
      </c>
      <c r="E120" s="12">
        <v>0.34</v>
      </c>
      <c r="F120" s="12">
        <v>7.0000000000000007E-2</v>
      </c>
      <c r="G120" s="12">
        <v>0.19</v>
      </c>
      <c r="H120" s="12">
        <v>0.46</v>
      </c>
      <c r="I120" s="12">
        <v>0.09</v>
      </c>
      <c r="J120" s="12">
        <v>0.27</v>
      </c>
      <c r="K120" s="12">
        <v>0.67</v>
      </c>
      <c r="L120" s="12">
        <v>0.13</v>
      </c>
      <c r="M120" s="8">
        <v>6</v>
      </c>
      <c r="N120">
        <v>7</v>
      </c>
      <c r="O120" s="12">
        <v>8</v>
      </c>
      <c r="BF120" s="9">
        <v>1.19</v>
      </c>
      <c r="BG120" s="9">
        <f t="shared" si="3"/>
        <v>0.17647058823529413</v>
      </c>
      <c r="BH120" s="9">
        <f t="shared" si="2"/>
        <v>0.22911164465786318</v>
      </c>
      <c r="BQ120" s="8">
        <v>5</v>
      </c>
      <c r="BR120" s="8" t="s">
        <v>301</v>
      </c>
    </row>
    <row r="121" spans="1:70" x14ac:dyDescent="0.3">
      <c r="A121" s="11" t="s">
        <v>302</v>
      </c>
      <c r="B121" s="12">
        <v>214200</v>
      </c>
      <c r="C121" s="12">
        <v>617500</v>
      </c>
      <c r="D121" s="12">
        <v>0.09</v>
      </c>
      <c r="E121" s="12">
        <v>0.22</v>
      </c>
      <c r="F121" s="12">
        <v>0.05</v>
      </c>
      <c r="G121" s="12">
        <v>0.11</v>
      </c>
      <c r="H121" s="12">
        <v>0.27</v>
      </c>
      <c r="I121" s="12">
        <v>7.0000000000000007E-2</v>
      </c>
      <c r="J121" s="12">
        <v>0.14000000000000001</v>
      </c>
      <c r="K121" s="12">
        <v>0.36</v>
      </c>
      <c r="L121" s="12">
        <v>0.1</v>
      </c>
      <c r="M121" s="8">
        <v>7</v>
      </c>
      <c r="N121">
        <v>8</v>
      </c>
      <c r="O121" s="12">
        <v>10</v>
      </c>
      <c r="BF121" s="9">
        <v>1.2</v>
      </c>
      <c r="BG121" s="9">
        <f t="shared" si="3"/>
        <v>0.17499999999999999</v>
      </c>
      <c r="BH121" s="9">
        <f t="shared" si="2"/>
        <v>0.22720238095238099</v>
      </c>
      <c r="BQ121" s="8">
        <v>4</v>
      </c>
      <c r="BR121" s="8" t="s">
        <v>303</v>
      </c>
    </row>
    <row r="122" spans="1:70" x14ac:dyDescent="0.3">
      <c r="A122" s="11" t="s">
        <v>304</v>
      </c>
      <c r="B122" s="12">
        <v>245900</v>
      </c>
      <c r="C122" s="12">
        <v>746500</v>
      </c>
      <c r="D122" s="12">
        <v>0.21</v>
      </c>
      <c r="E122" s="12">
        <v>0.54</v>
      </c>
      <c r="F122" s="12">
        <v>0.1</v>
      </c>
      <c r="G122" s="12">
        <v>0.27</v>
      </c>
      <c r="H122" s="12">
        <v>0.7</v>
      </c>
      <c r="I122" s="12">
        <v>0.14000000000000001</v>
      </c>
      <c r="J122" s="12">
        <v>0.36</v>
      </c>
      <c r="K122" s="12">
        <v>0.95</v>
      </c>
      <c r="L122" s="12">
        <v>0.2</v>
      </c>
      <c r="M122" s="8">
        <v>5</v>
      </c>
      <c r="N122">
        <v>6</v>
      </c>
      <c r="O122" s="12">
        <v>7</v>
      </c>
      <c r="BF122" s="9">
        <v>1.21</v>
      </c>
      <c r="BG122" s="9">
        <f t="shared" si="3"/>
        <v>0.17355371900826447</v>
      </c>
      <c r="BH122" s="9">
        <f t="shared" si="2"/>
        <v>0.22532467532467537</v>
      </c>
      <c r="BQ122" s="8">
        <v>8</v>
      </c>
      <c r="BR122" s="8" t="s">
        <v>305</v>
      </c>
    </row>
    <row r="123" spans="1:70" x14ac:dyDescent="0.3">
      <c r="A123" s="11" t="s">
        <v>306</v>
      </c>
      <c r="B123" s="12">
        <v>249600</v>
      </c>
      <c r="C123" s="12">
        <v>675400</v>
      </c>
      <c r="D123" s="12">
        <v>0.26</v>
      </c>
      <c r="E123" s="12">
        <v>0.65</v>
      </c>
      <c r="F123" s="12">
        <v>0.12</v>
      </c>
      <c r="G123" s="12">
        <v>0.34</v>
      </c>
      <c r="H123" s="12">
        <v>0.86</v>
      </c>
      <c r="I123" s="12">
        <v>0.17</v>
      </c>
      <c r="J123" s="12">
        <v>0.46</v>
      </c>
      <c r="K123" s="12">
        <v>1.18</v>
      </c>
      <c r="L123" s="12">
        <v>0.25</v>
      </c>
      <c r="M123" s="8">
        <v>4</v>
      </c>
      <c r="N123">
        <v>5</v>
      </c>
      <c r="O123" s="12">
        <v>6</v>
      </c>
      <c r="BF123" s="9">
        <v>1.22</v>
      </c>
      <c r="BG123" s="9">
        <f t="shared" si="3"/>
        <v>0.1721311475409836</v>
      </c>
      <c r="BH123" s="9">
        <f t="shared" si="2"/>
        <v>0.22347775175644033</v>
      </c>
      <c r="BQ123" s="8">
        <v>7</v>
      </c>
      <c r="BR123" s="8" t="s">
        <v>307</v>
      </c>
    </row>
    <row r="124" spans="1:70" x14ac:dyDescent="0.3">
      <c r="A124" s="11" t="s">
        <v>308</v>
      </c>
      <c r="B124" s="12">
        <v>159100</v>
      </c>
      <c r="C124" s="12">
        <v>607800</v>
      </c>
      <c r="D124" s="12">
        <v>0.06</v>
      </c>
      <c r="E124" s="12">
        <v>0.14000000000000001</v>
      </c>
      <c r="F124" s="12">
        <v>0.04</v>
      </c>
      <c r="G124" s="12">
        <v>0.08</v>
      </c>
      <c r="H124" s="12">
        <v>0.19</v>
      </c>
      <c r="I124" s="12">
        <v>0.05</v>
      </c>
      <c r="J124" s="12">
        <v>0.11</v>
      </c>
      <c r="K124" s="12">
        <v>0.26</v>
      </c>
      <c r="L124" s="12">
        <v>0.06</v>
      </c>
      <c r="M124" s="8">
        <v>8</v>
      </c>
      <c r="N124">
        <v>10</v>
      </c>
      <c r="O124" s="12">
        <v>13</v>
      </c>
      <c r="BF124" s="9">
        <v>1.23</v>
      </c>
      <c r="BG124" s="9">
        <f t="shared" si="3"/>
        <v>0.17073170731707316</v>
      </c>
      <c r="BH124" s="9">
        <f t="shared" si="2"/>
        <v>0.22166085946573755</v>
      </c>
      <c r="BQ124" s="8">
        <v>8</v>
      </c>
      <c r="BR124" s="8" t="s">
        <v>309</v>
      </c>
    </row>
    <row r="125" spans="1:70" x14ac:dyDescent="0.3">
      <c r="A125" s="11" t="s">
        <v>310</v>
      </c>
      <c r="B125" s="12">
        <v>216300</v>
      </c>
      <c r="C125" s="12">
        <v>667900</v>
      </c>
      <c r="D125" s="12">
        <v>0.1</v>
      </c>
      <c r="E125" s="12">
        <v>0.25</v>
      </c>
      <c r="F125" s="12">
        <v>0.06</v>
      </c>
      <c r="G125" s="12">
        <v>0.12</v>
      </c>
      <c r="H125" s="12">
        <v>0.32</v>
      </c>
      <c r="I125" s="12">
        <v>0.08</v>
      </c>
      <c r="J125" s="12">
        <v>0.16</v>
      </c>
      <c r="K125" s="12">
        <v>0.42</v>
      </c>
      <c r="L125" s="12">
        <v>0.1</v>
      </c>
      <c r="M125" s="8">
        <v>7</v>
      </c>
      <c r="N125">
        <v>8</v>
      </c>
      <c r="O125" s="12">
        <v>10</v>
      </c>
      <c r="BF125" s="9">
        <v>1.24</v>
      </c>
      <c r="BG125" s="9">
        <f t="shared" si="3"/>
        <v>0.16935483870967741</v>
      </c>
      <c r="BH125" s="9">
        <f t="shared" si="2"/>
        <v>0.21987327188940095</v>
      </c>
      <c r="BQ125" s="8">
        <v>8</v>
      </c>
      <c r="BR125" s="8" t="s">
        <v>311</v>
      </c>
    </row>
    <row r="126" spans="1:70" x14ac:dyDescent="0.3">
      <c r="A126" s="11" t="s">
        <v>312</v>
      </c>
      <c r="B126" s="12">
        <v>182800</v>
      </c>
      <c r="C126" s="12">
        <v>680000</v>
      </c>
      <c r="D126" s="12">
        <v>0.06</v>
      </c>
      <c r="E126" s="12">
        <v>0.15</v>
      </c>
      <c r="F126" s="12">
        <v>0.04</v>
      </c>
      <c r="G126" s="12">
        <v>0.08</v>
      </c>
      <c r="H126" s="12">
        <v>0.19</v>
      </c>
      <c r="I126" s="12">
        <v>0.06</v>
      </c>
      <c r="J126" s="12">
        <v>0.1</v>
      </c>
      <c r="K126" s="12">
        <v>0.26</v>
      </c>
      <c r="L126" s="12">
        <v>0.08</v>
      </c>
      <c r="M126" s="8">
        <v>8</v>
      </c>
      <c r="N126">
        <v>10</v>
      </c>
      <c r="O126" s="12">
        <v>12</v>
      </c>
      <c r="BF126" s="9">
        <v>1.25</v>
      </c>
      <c r="BG126" s="9">
        <f t="shared" si="3"/>
        <v>0.16799999999999998</v>
      </c>
      <c r="BH126" s="9">
        <f t="shared" si="2"/>
        <v>0.21811428571428576</v>
      </c>
      <c r="BQ126" s="8">
        <v>6</v>
      </c>
      <c r="BR126" s="8" t="s">
        <v>313</v>
      </c>
    </row>
    <row r="127" spans="1:70" x14ac:dyDescent="0.3">
      <c r="A127" s="11" t="s">
        <v>314</v>
      </c>
      <c r="B127" s="12">
        <v>168300</v>
      </c>
      <c r="C127" s="12">
        <v>595000</v>
      </c>
      <c r="D127" s="12">
        <v>0.06</v>
      </c>
      <c r="E127" s="12">
        <v>0.14000000000000001</v>
      </c>
      <c r="F127" s="12">
        <v>0.04</v>
      </c>
      <c r="G127" s="12">
        <v>0.08</v>
      </c>
      <c r="H127" s="12">
        <v>0.18</v>
      </c>
      <c r="I127" s="12">
        <v>0.05</v>
      </c>
      <c r="J127" s="12">
        <v>0.1</v>
      </c>
      <c r="K127" s="12">
        <v>0.25</v>
      </c>
      <c r="L127" s="12">
        <v>7.0000000000000007E-2</v>
      </c>
      <c r="M127" s="8">
        <v>8</v>
      </c>
      <c r="N127">
        <v>10</v>
      </c>
      <c r="O127" s="12">
        <v>12</v>
      </c>
      <c r="BF127" s="9">
        <v>1.26</v>
      </c>
      <c r="BG127" s="9">
        <f t="shared" si="3"/>
        <v>0.16666666666666666</v>
      </c>
      <c r="BH127" s="9">
        <f t="shared" si="2"/>
        <v>0.21638321995464857</v>
      </c>
      <c r="BQ127" s="8">
        <v>8</v>
      </c>
      <c r="BR127" s="8" t="s">
        <v>315</v>
      </c>
    </row>
    <row r="128" spans="1:70" x14ac:dyDescent="0.3">
      <c r="A128" s="11" t="s">
        <v>316</v>
      </c>
      <c r="B128" s="12">
        <v>228900</v>
      </c>
      <c r="C128" s="12">
        <v>753500</v>
      </c>
      <c r="D128" s="12">
        <v>0.14000000000000001</v>
      </c>
      <c r="E128" s="12">
        <v>0.35</v>
      </c>
      <c r="F128" s="12">
        <v>7.0000000000000007E-2</v>
      </c>
      <c r="G128" s="12">
        <v>0.17</v>
      </c>
      <c r="H128" s="12">
        <v>0.45</v>
      </c>
      <c r="I128" s="12">
        <v>0.09</v>
      </c>
      <c r="J128" s="12">
        <v>0.22</v>
      </c>
      <c r="K128" s="12">
        <v>0.59</v>
      </c>
      <c r="L128" s="12">
        <v>0.13</v>
      </c>
      <c r="M128" s="8">
        <v>6</v>
      </c>
      <c r="N128">
        <v>8</v>
      </c>
      <c r="O128" s="12">
        <v>10</v>
      </c>
      <c r="BF128" s="9">
        <v>1.27</v>
      </c>
      <c r="BG128" s="9">
        <f t="shared" si="3"/>
        <v>0.1653543307086614</v>
      </c>
      <c r="BH128" s="9">
        <f t="shared" si="2"/>
        <v>0.21467941507311589</v>
      </c>
      <c r="BQ128" s="8">
        <v>5</v>
      </c>
      <c r="BR128" s="8" t="s">
        <v>317</v>
      </c>
    </row>
    <row r="129" spans="1:70" x14ac:dyDescent="0.3">
      <c r="A129" s="11" t="s">
        <v>318</v>
      </c>
      <c r="B129" s="12">
        <v>166100</v>
      </c>
      <c r="C129" s="12">
        <v>634400</v>
      </c>
      <c r="D129" s="12">
        <v>0.06</v>
      </c>
      <c r="E129" s="12">
        <v>0.15</v>
      </c>
      <c r="F129" s="12">
        <v>0.04</v>
      </c>
      <c r="G129" s="12">
        <v>0.08</v>
      </c>
      <c r="H129" s="12">
        <v>0.2</v>
      </c>
      <c r="I129" s="12">
        <v>0.05</v>
      </c>
      <c r="J129" s="12">
        <v>0.11</v>
      </c>
      <c r="K129" s="12">
        <v>0.28000000000000003</v>
      </c>
      <c r="L129" s="12">
        <v>7.0000000000000007E-2</v>
      </c>
      <c r="M129" s="8">
        <v>8</v>
      </c>
      <c r="N129">
        <v>10</v>
      </c>
      <c r="O129" s="12">
        <v>12</v>
      </c>
      <c r="BF129" s="9">
        <v>1.28</v>
      </c>
      <c r="BG129" s="9">
        <f t="shared" si="3"/>
        <v>0.1640625</v>
      </c>
      <c r="BH129" s="9">
        <f t="shared" si="2"/>
        <v>0.21300223214285718</v>
      </c>
      <c r="BQ129" s="8">
        <v>5</v>
      </c>
      <c r="BR129" s="8" t="s">
        <v>319</v>
      </c>
    </row>
    <row r="130" spans="1:70" x14ac:dyDescent="0.3">
      <c r="A130" s="11" t="s">
        <v>320</v>
      </c>
      <c r="B130" s="12">
        <v>254800</v>
      </c>
      <c r="C130" s="12">
        <v>729300</v>
      </c>
      <c r="D130" s="12">
        <v>0.26</v>
      </c>
      <c r="E130" s="12">
        <v>0.64</v>
      </c>
      <c r="F130" s="12">
        <v>0.12</v>
      </c>
      <c r="G130" s="12">
        <v>0.34</v>
      </c>
      <c r="H130" s="12">
        <v>0.85</v>
      </c>
      <c r="I130" s="12">
        <v>0.17</v>
      </c>
      <c r="J130" s="12">
        <v>0.46</v>
      </c>
      <c r="K130" s="12">
        <v>1.17</v>
      </c>
      <c r="L130" s="12">
        <v>0.24</v>
      </c>
      <c r="M130" s="8">
        <v>5</v>
      </c>
      <c r="N130">
        <v>5</v>
      </c>
      <c r="O130" s="12">
        <v>6</v>
      </c>
      <c r="BF130" s="9">
        <v>1.29</v>
      </c>
      <c r="BG130" s="9">
        <f t="shared" si="3"/>
        <v>0.16279069767441859</v>
      </c>
      <c r="BH130" s="9">
        <f t="shared" ref="BH130:BH193" si="4">IFERROR(IF($BF130&lt;AZ$33,AZ$32*(AZ$30/AZ$29+(1-AZ$30/AZ$29)*$BF130/AZ$33),IF($BF130&lt;AZ$34,AZ$32,IF($BF130&lt;AZ$35,AZ$31/$BF130,AZ$31*AZ$35/($BF130^2))))*$BC$29,"")</f>
        <v>0.21135105204872651</v>
      </c>
      <c r="BQ130" s="8">
        <v>6</v>
      </c>
      <c r="BR130" s="8" t="s">
        <v>321</v>
      </c>
    </row>
    <row r="131" spans="1:70" x14ac:dyDescent="0.3">
      <c r="A131" s="11" t="s">
        <v>322</v>
      </c>
      <c r="B131" s="12">
        <v>254900</v>
      </c>
      <c r="C131" s="12">
        <v>729900</v>
      </c>
      <c r="D131" s="12">
        <v>0.26</v>
      </c>
      <c r="E131" s="12">
        <v>0.64</v>
      </c>
      <c r="F131" s="12">
        <v>0.12</v>
      </c>
      <c r="G131" s="12">
        <v>0.34</v>
      </c>
      <c r="H131" s="12">
        <v>0.85</v>
      </c>
      <c r="I131" s="12">
        <v>0.17</v>
      </c>
      <c r="J131" s="12">
        <v>0.46</v>
      </c>
      <c r="K131" s="12">
        <v>1.17</v>
      </c>
      <c r="L131" s="12">
        <v>0.25</v>
      </c>
      <c r="M131" s="8">
        <v>5</v>
      </c>
      <c r="N131">
        <v>5</v>
      </c>
      <c r="O131" s="12">
        <v>6</v>
      </c>
      <c r="BF131" s="9">
        <v>1.3</v>
      </c>
      <c r="BG131" s="9">
        <f t="shared" ref="BG131:BG194" si="5">IF(BF131&lt;AY$33,AY$32*(AY$30/AY$29+(1-AY$30/AY$29)*BF131/AY$33),IF(BF131&lt;AY$34,AY$32,IF(BF131&lt;AY$35,AY$31/BF131,AY$31*AY$35/(BF131^2))))*$BC$29</f>
        <v>0.16153846153846152</v>
      </c>
      <c r="BH131" s="9">
        <f t="shared" si="4"/>
        <v>0.20972527472527475</v>
      </c>
      <c r="BQ131" s="8">
        <v>8</v>
      </c>
      <c r="BR131" s="8" t="s">
        <v>323</v>
      </c>
    </row>
    <row r="132" spans="1:70" x14ac:dyDescent="0.3">
      <c r="A132" s="11" t="s">
        <v>324</v>
      </c>
      <c r="B132" s="12">
        <v>228500</v>
      </c>
      <c r="C132" s="12">
        <v>754500</v>
      </c>
      <c r="D132" s="12">
        <v>0.14000000000000001</v>
      </c>
      <c r="E132" s="12">
        <v>0.35</v>
      </c>
      <c r="F132" s="12">
        <v>7.0000000000000007E-2</v>
      </c>
      <c r="G132" s="12">
        <v>0.17</v>
      </c>
      <c r="H132" s="12">
        <v>0.44</v>
      </c>
      <c r="I132" s="12">
        <v>0.09</v>
      </c>
      <c r="J132" s="12">
        <v>0.22</v>
      </c>
      <c r="K132" s="12">
        <v>0.57999999999999996</v>
      </c>
      <c r="L132" s="12">
        <v>0.13</v>
      </c>
      <c r="M132" s="8">
        <v>6</v>
      </c>
      <c r="N132">
        <v>8</v>
      </c>
      <c r="O132" s="12">
        <v>10</v>
      </c>
      <c r="BF132" s="9">
        <v>1.31</v>
      </c>
      <c r="BG132" s="9">
        <f t="shared" si="5"/>
        <v>0.16030534351145037</v>
      </c>
      <c r="BH132" s="9">
        <f t="shared" si="4"/>
        <v>0.20812431842966198</v>
      </c>
      <c r="BQ132" s="8">
        <v>8</v>
      </c>
      <c r="BR132" s="8" t="s">
        <v>325</v>
      </c>
    </row>
    <row r="133" spans="1:70" x14ac:dyDescent="0.3">
      <c r="A133" s="11" t="s">
        <v>326</v>
      </c>
      <c r="B133" s="12">
        <v>190800</v>
      </c>
      <c r="C133" s="12">
        <v>588700</v>
      </c>
      <c r="D133" s="12">
        <v>7.0000000000000007E-2</v>
      </c>
      <c r="E133" s="12">
        <v>0.18</v>
      </c>
      <c r="F133" s="12">
        <v>0.04</v>
      </c>
      <c r="G133" s="12">
        <v>0.09</v>
      </c>
      <c r="H133" s="12">
        <v>0.23</v>
      </c>
      <c r="I133" s="12">
        <v>0.06</v>
      </c>
      <c r="J133" s="12">
        <v>0.13</v>
      </c>
      <c r="K133" s="12">
        <v>0.32</v>
      </c>
      <c r="L133" s="12">
        <v>0.08</v>
      </c>
      <c r="M133" s="8">
        <v>8</v>
      </c>
      <c r="N133">
        <v>9</v>
      </c>
      <c r="O133" s="12">
        <v>11</v>
      </c>
      <c r="BF133" s="9">
        <v>1.32</v>
      </c>
      <c r="BG133" s="9">
        <f t="shared" si="5"/>
        <v>0.15909090909090909</v>
      </c>
      <c r="BH133" s="9">
        <f t="shared" si="4"/>
        <v>0.20654761904761906</v>
      </c>
      <c r="BQ133" s="8">
        <v>8</v>
      </c>
      <c r="BR133" s="8" t="s">
        <v>327</v>
      </c>
    </row>
    <row r="134" spans="1:70" x14ac:dyDescent="0.3">
      <c r="A134" s="11" t="s">
        <v>328</v>
      </c>
      <c r="B134" s="12">
        <v>171200</v>
      </c>
      <c r="C134" s="12">
        <v>581600</v>
      </c>
      <c r="D134" s="12">
        <v>0.05</v>
      </c>
      <c r="E134" s="12">
        <v>0.13</v>
      </c>
      <c r="F134" s="12">
        <v>0.04</v>
      </c>
      <c r="G134" s="12">
        <v>7.0000000000000007E-2</v>
      </c>
      <c r="H134" s="12">
        <v>0.16</v>
      </c>
      <c r="I134" s="12">
        <v>0.05</v>
      </c>
      <c r="J134" s="12">
        <v>0.09</v>
      </c>
      <c r="K134" s="12">
        <v>0.22</v>
      </c>
      <c r="L134" s="12">
        <v>0.06</v>
      </c>
      <c r="M134" s="8">
        <v>8</v>
      </c>
      <c r="N134">
        <v>10</v>
      </c>
      <c r="O134" s="12">
        <v>12</v>
      </c>
      <c r="BF134" s="9">
        <v>1.33</v>
      </c>
      <c r="BG134" s="9">
        <f t="shared" si="5"/>
        <v>0.15789473684210525</v>
      </c>
      <c r="BH134" s="9">
        <f t="shared" si="4"/>
        <v>0.20499462943071967</v>
      </c>
      <c r="BQ134" s="8">
        <v>8</v>
      </c>
      <c r="BR134" s="8" t="s">
        <v>329</v>
      </c>
    </row>
    <row r="135" spans="1:70" x14ac:dyDescent="0.3">
      <c r="A135" s="11" t="s">
        <v>330</v>
      </c>
      <c r="B135" s="12">
        <v>171200</v>
      </c>
      <c r="C135" s="12">
        <v>541500</v>
      </c>
      <c r="D135" s="12">
        <v>0.05</v>
      </c>
      <c r="E135" s="12">
        <v>0.12</v>
      </c>
      <c r="F135" s="12">
        <v>0.04</v>
      </c>
      <c r="G135" s="12">
        <v>0.06</v>
      </c>
      <c r="H135" s="12">
        <v>0.15</v>
      </c>
      <c r="I135" s="12">
        <v>0.05</v>
      </c>
      <c r="J135" s="12">
        <v>0.08</v>
      </c>
      <c r="K135" s="12">
        <v>0.19</v>
      </c>
      <c r="L135" s="12">
        <v>0.06</v>
      </c>
      <c r="M135" s="8">
        <v>8</v>
      </c>
      <c r="N135">
        <v>10</v>
      </c>
      <c r="O135" s="12">
        <v>12</v>
      </c>
      <c r="BF135" s="9">
        <v>1.34</v>
      </c>
      <c r="BG135" s="9">
        <f t="shared" si="5"/>
        <v>0.15671641791044774</v>
      </c>
      <c r="BH135" s="9">
        <f t="shared" si="4"/>
        <v>0.20346481876332626</v>
      </c>
      <c r="BQ135" s="8">
        <v>7</v>
      </c>
      <c r="BR135" s="8" t="s">
        <v>331</v>
      </c>
    </row>
    <row r="136" spans="1:70" x14ac:dyDescent="0.3">
      <c r="A136" s="11" t="s">
        <v>332</v>
      </c>
      <c r="B136" s="12">
        <v>158700</v>
      </c>
      <c r="C136" s="12">
        <v>619400</v>
      </c>
      <c r="D136" s="12">
        <v>0.06</v>
      </c>
      <c r="E136" s="12">
        <v>0.15</v>
      </c>
      <c r="F136" s="12">
        <v>0.04</v>
      </c>
      <c r="G136" s="12">
        <v>0.08</v>
      </c>
      <c r="H136" s="12">
        <v>0.21</v>
      </c>
      <c r="I136" s="12">
        <v>0.05</v>
      </c>
      <c r="J136" s="12">
        <v>0.12</v>
      </c>
      <c r="K136" s="12">
        <v>0.3</v>
      </c>
      <c r="L136" s="12">
        <v>0.06</v>
      </c>
      <c r="M136" s="8">
        <v>8</v>
      </c>
      <c r="N136">
        <v>10</v>
      </c>
      <c r="O136" s="12">
        <v>12</v>
      </c>
      <c r="BF136" s="9">
        <v>1.35</v>
      </c>
      <c r="BG136" s="9">
        <f t="shared" si="5"/>
        <v>0.15555555555555553</v>
      </c>
      <c r="BH136" s="9">
        <f t="shared" si="4"/>
        <v>0.20195767195767197</v>
      </c>
      <c r="BQ136" s="8">
        <v>8</v>
      </c>
      <c r="BR136" s="8" t="s">
        <v>333</v>
      </c>
    </row>
    <row r="137" spans="1:70" x14ac:dyDescent="0.3">
      <c r="A137" s="11" t="s">
        <v>334</v>
      </c>
      <c r="B137" s="12">
        <v>214800</v>
      </c>
      <c r="C137" s="12">
        <v>764000</v>
      </c>
      <c r="D137" s="12">
        <v>0.12</v>
      </c>
      <c r="E137" s="12">
        <v>0.31</v>
      </c>
      <c r="F137" s="12">
        <v>0.06</v>
      </c>
      <c r="G137" s="12">
        <v>0.16</v>
      </c>
      <c r="H137" s="12">
        <v>0.4</v>
      </c>
      <c r="I137" s="12">
        <v>0.08</v>
      </c>
      <c r="J137" s="12">
        <v>0.21</v>
      </c>
      <c r="K137" s="12">
        <v>0.54</v>
      </c>
      <c r="L137" s="12">
        <v>0.11</v>
      </c>
      <c r="M137" s="8">
        <v>7</v>
      </c>
      <c r="N137">
        <v>8</v>
      </c>
      <c r="O137" s="12">
        <v>10</v>
      </c>
      <c r="BF137" s="9">
        <v>1.36</v>
      </c>
      <c r="BG137" s="9">
        <f t="shared" si="5"/>
        <v>0.15441176470588233</v>
      </c>
      <c r="BH137" s="9">
        <f t="shared" si="4"/>
        <v>0.20047268907563026</v>
      </c>
      <c r="BQ137" s="8">
        <v>7</v>
      </c>
      <c r="BR137" s="8" t="s">
        <v>335</v>
      </c>
    </row>
    <row r="138" spans="1:70" x14ac:dyDescent="0.3">
      <c r="A138" s="11" t="s">
        <v>336</v>
      </c>
      <c r="B138" s="12">
        <v>201000</v>
      </c>
      <c r="C138" s="12">
        <v>632000</v>
      </c>
      <c r="D138" s="12">
        <v>7.0000000000000007E-2</v>
      </c>
      <c r="E138" s="12">
        <v>0.17</v>
      </c>
      <c r="F138" s="12">
        <v>0.05</v>
      </c>
      <c r="G138" s="12">
        <v>0.09</v>
      </c>
      <c r="H138" s="12">
        <v>0.21</v>
      </c>
      <c r="I138" s="12">
        <v>0.06</v>
      </c>
      <c r="J138" s="12">
        <v>0.11</v>
      </c>
      <c r="K138" s="12">
        <v>0.28000000000000003</v>
      </c>
      <c r="L138" s="12">
        <v>0.08</v>
      </c>
      <c r="M138" s="8">
        <v>8</v>
      </c>
      <c r="N138">
        <v>9</v>
      </c>
      <c r="O138" s="12">
        <v>11</v>
      </c>
      <c r="BF138" s="9">
        <v>1.37</v>
      </c>
      <c r="BG138" s="9">
        <f t="shared" si="5"/>
        <v>0.15328467153284669</v>
      </c>
      <c r="BH138" s="9">
        <f t="shared" si="4"/>
        <v>0.19900938477580815</v>
      </c>
      <c r="BQ138" s="8">
        <v>5</v>
      </c>
      <c r="BR138" s="8" t="s">
        <v>337</v>
      </c>
    </row>
    <row r="139" spans="1:70" x14ac:dyDescent="0.3">
      <c r="A139" s="11" t="s">
        <v>338</v>
      </c>
      <c r="B139" s="12">
        <v>203800</v>
      </c>
      <c r="C139" s="12">
        <v>702000</v>
      </c>
      <c r="D139" s="12">
        <v>0.09</v>
      </c>
      <c r="E139" s="12">
        <v>0.21</v>
      </c>
      <c r="F139" s="12">
        <v>0.05</v>
      </c>
      <c r="G139" s="12">
        <v>0.11</v>
      </c>
      <c r="H139" s="12">
        <v>0.27</v>
      </c>
      <c r="I139" s="12">
        <v>7.0000000000000007E-2</v>
      </c>
      <c r="J139" s="12">
        <v>0.14000000000000001</v>
      </c>
      <c r="K139" s="12">
        <v>0.36</v>
      </c>
      <c r="L139" s="12">
        <v>0.09</v>
      </c>
      <c r="M139" s="8">
        <v>7</v>
      </c>
      <c r="N139">
        <v>9</v>
      </c>
      <c r="O139" s="12">
        <v>11</v>
      </c>
      <c r="BF139" s="9">
        <v>1.38</v>
      </c>
      <c r="BG139" s="9">
        <f t="shared" si="5"/>
        <v>0.15217391304347827</v>
      </c>
      <c r="BH139" s="9">
        <f t="shared" si="4"/>
        <v>0.19756728778467914</v>
      </c>
      <c r="BQ139" s="8">
        <v>8</v>
      </c>
      <c r="BR139" s="8" t="s">
        <v>339</v>
      </c>
    </row>
    <row r="140" spans="1:70" x14ac:dyDescent="0.3">
      <c r="A140" s="11" t="s">
        <v>340</v>
      </c>
      <c r="B140" s="12">
        <v>197600</v>
      </c>
      <c r="C140" s="12">
        <v>402500</v>
      </c>
      <c r="D140" s="12">
        <v>0.19</v>
      </c>
      <c r="E140" s="12">
        <v>0.46</v>
      </c>
      <c r="F140" s="12">
        <v>0.08</v>
      </c>
      <c r="G140" s="12">
        <v>0.26</v>
      </c>
      <c r="H140" s="12">
        <v>0.64</v>
      </c>
      <c r="I140" s="12">
        <v>0.12</v>
      </c>
      <c r="J140" s="12">
        <v>0.37</v>
      </c>
      <c r="K140" s="12">
        <v>0.92</v>
      </c>
      <c r="L140" s="12">
        <v>0.18</v>
      </c>
      <c r="M140" s="8">
        <v>5</v>
      </c>
      <c r="N140">
        <v>5</v>
      </c>
      <c r="O140" s="12">
        <v>6</v>
      </c>
      <c r="BF140" s="9">
        <v>1.39</v>
      </c>
      <c r="BG140" s="9">
        <f t="shared" si="5"/>
        <v>0.15107913669064749</v>
      </c>
      <c r="BH140" s="9">
        <f t="shared" si="4"/>
        <v>0.19614594039054475</v>
      </c>
      <c r="BQ140" s="8">
        <v>8</v>
      </c>
      <c r="BR140" s="8" t="s">
        <v>341</v>
      </c>
    </row>
    <row r="141" spans="1:70" x14ac:dyDescent="0.3">
      <c r="A141" s="11" t="s">
        <v>342</v>
      </c>
      <c r="B141" s="12">
        <v>173900</v>
      </c>
      <c r="C141" s="12">
        <v>627300</v>
      </c>
      <c r="D141" s="12">
        <v>0.06</v>
      </c>
      <c r="E141" s="12">
        <v>0.16</v>
      </c>
      <c r="F141" s="12">
        <v>0.04</v>
      </c>
      <c r="G141" s="12">
        <v>0.08</v>
      </c>
      <c r="H141" s="12">
        <v>0.21</v>
      </c>
      <c r="I141" s="12">
        <v>0.05</v>
      </c>
      <c r="J141" s="12">
        <v>0.12</v>
      </c>
      <c r="K141" s="12">
        <v>0.28999999999999998</v>
      </c>
      <c r="L141" s="12">
        <v>7.0000000000000007E-2</v>
      </c>
      <c r="M141" s="8">
        <v>8</v>
      </c>
      <c r="N141">
        <v>10</v>
      </c>
      <c r="O141" s="12">
        <v>12</v>
      </c>
      <c r="BF141" s="9">
        <v>1.4</v>
      </c>
      <c r="BG141" s="9">
        <f t="shared" si="5"/>
        <v>0.15</v>
      </c>
      <c r="BH141" s="9">
        <f t="shared" si="4"/>
        <v>0.1947448979591837</v>
      </c>
      <c r="BQ141" s="8">
        <v>9</v>
      </c>
      <c r="BR141" s="8" t="s">
        <v>343</v>
      </c>
    </row>
    <row r="142" spans="1:70" x14ac:dyDescent="0.3">
      <c r="A142" s="11" t="s">
        <v>344</v>
      </c>
      <c r="B142" s="12">
        <v>184400</v>
      </c>
      <c r="C142" s="12">
        <v>650000</v>
      </c>
      <c r="D142" s="12">
        <v>0.06</v>
      </c>
      <c r="E142" s="12">
        <v>0.14000000000000001</v>
      </c>
      <c r="F142" s="12">
        <v>0.04</v>
      </c>
      <c r="G142" s="12">
        <v>7.0000000000000007E-2</v>
      </c>
      <c r="H142" s="12">
        <v>0.18</v>
      </c>
      <c r="I142" s="12">
        <v>0.05</v>
      </c>
      <c r="J142" s="12">
        <v>0.09</v>
      </c>
      <c r="K142" s="12">
        <v>0.23</v>
      </c>
      <c r="L142" s="12">
        <v>7.0000000000000007E-2</v>
      </c>
      <c r="M142" s="8">
        <v>8</v>
      </c>
      <c r="N142">
        <v>10</v>
      </c>
      <c r="O142" s="12">
        <v>12</v>
      </c>
      <c r="BF142" s="9">
        <v>1.41</v>
      </c>
      <c r="BG142" s="9">
        <f t="shared" si="5"/>
        <v>0.14893617021276595</v>
      </c>
      <c r="BH142" s="9">
        <f t="shared" si="4"/>
        <v>0.19336372847011149</v>
      </c>
      <c r="BQ142" s="8">
        <v>8</v>
      </c>
      <c r="BR142" s="8" t="s">
        <v>345</v>
      </c>
    </row>
    <row r="143" spans="1:70" x14ac:dyDescent="0.3">
      <c r="A143" s="11" t="s">
        <v>346</v>
      </c>
      <c r="B143" s="12">
        <v>143300</v>
      </c>
      <c r="C143" s="12">
        <v>538200</v>
      </c>
      <c r="D143" s="12">
        <v>0.04</v>
      </c>
      <c r="E143" s="12">
        <v>0.09</v>
      </c>
      <c r="F143" s="12">
        <v>0.03</v>
      </c>
      <c r="G143" s="12">
        <v>0.05</v>
      </c>
      <c r="H143" s="12">
        <v>0.11</v>
      </c>
      <c r="I143" s="12">
        <v>0.04</v>
      </c>
      <c r="J143" s="12">
        <v>0.06</v>
      </c>
      <c r="K143" s="12">
        <v>0.15</v>
      </c>
      <c r="L143" s="12">
        <v>0.06</v>
      </c>
      <c r="M143" s="8">
        <v>9</v>
      </c>
      <c r="N143">
        <v>11</v>
      </c>
      <c r="O143" s="12">
        <v>13</v>
      </c>
      <c r="BF143" s="9">
        <v>1.42</v>
      </c>
      <c r="BG143" s="9">
        <f t="shared" si="5"/>
        <v>0.14788732394366197</v>
      </c>
      <c r="BH143" s="9">
        <f t="shared" si="4"/>
        <v>0.19200201207243464</v>
      </c>
      <c r="BQ143" s="8">
        <v>8</v>
      </c>
      <c r="BR143" s="8" t="s">
        <v>347</v>
      </c>
    </row>
    <row r="144" spans="1:70" x14ac:dyDescent="0.3">
      <c r="A144" s="11" t="s">
        <v>348</v>
      </c>
      <c r="B144" s="12">
        <v>180900</v>
      </c>
      <c r="C144" s="12">
        <v>573200</v>
      </c>
      <c r="D144" s="12">
        <v>0.06</v>
      </c>
      <c r="E144" s="12">
        <v>0.14000000000000001</v>
      </c>
      <c r="F144" s="12">
        <v>0.04</v>
      </c>
      <c r="G144" s="12">
        <v>7.0000000000000007E-2</v>
      </c>
      <c r="H144" s="12">
        <v>0.17</v>
      </c>
      <c r="I144" s="12">
        <v>0.05</v>
      </c>
      <c r="J144" s="12">
        <v>0.09</v>
      </c>
      <c r="K144" s="12">
        <v>0.23</v>
      </c>
      <c r="L144" s="12">
        <v>7.0000000000000007E-2</v>
      </c>
      <c r="M144" s="8">
        <v>8</v>
      </c>
      <c r="N144">
        <v>10</v>
      </c>
      <c r="O144" s="12">
        <v>12</v>
      </c>
      <c r="BF144" s="9">
        <v>1.43</v>
      </c>
      <c r="BG144" s="9">
        <f t="shared" si="5"/>
        <v>0.14685314685314685</v>
      </c>
      <c r="BH144" s="9">
        <f t="shared" si="4"/>
        <v>0.1906593406593407</v>
      </c>
      <c r="BQ144" s="8">
        <v>7</v>
      </c>
      <c r="BR144" s="8" t="s">
        <v>349</v>
      </c>
    </row>
    <row r="145" spans="1:70" x14ac:dyDescent="0.3">
      <c r="A145" s="11" t="s">
        <v>350</v>
      </c>
      <c r="B145" s="12">
        <v>191700</v>
      </c>
      <c r="C145" s="12">
        <v>660700</v>
      </c>
      <c r="D145" s="12">
        <v>0.06</v>
      </c>
      <c r="E145" s="12">
        <v>0.15</v>
      </c>
      <c r="F145" s="12">
        <v>0.04</v>
      </c>
      <c r="G145" s="12">
        <v>0.08</v>
      </c>
      <c r="H145" s="12">
        <v>0.19</v>
      </c>
      <c r="I145" s="12">
        <v>0.06</v>
      </c>
      <c r="J145" s="12">
        <v>0.1</v>
      </c>
      <c r="K145" s="12">
        <v>0.25</v>
      </c>
      <c r="L145" s="12">
        <v>0.08</v>
      </c>
      <c r="M145" s="8">
        <v>8</v>
      </c>
      <c r="N145">
        <v>10</v>
      </c>
      <c r="O145" s="12">
        <v>12</v>
      </c>
      <c r="BF145" s="9">
        <v>1.44</v>
      </c>
      <c r="BG145" s="9">
        <f t="shared" si="5"/>
        <v>0.14583333333333334</v>
      </c>
      <c r="BH145" s="9">
        <f t="shared" si="4"/>
        <v>0.18933531746031751</v>
      </c>
      <c r="BQ145" s="8">
        <v>9</v>
      </c>
      <c r="BR145" s="8" t="s">
        <v>351</v>
      </c>
    </row>
    <row r="146" spans="1:70" x14ac:dyDescent="0.3">
      <c r="A146" s="11" t="s">
        <v>352</v>
      </c>
      <c r="B146" s="12">
        <v>198600</v>
      </c>
      <c r="C146" s="12">
        <v>692000</v>
      </c>
      <c r="D146" s="12">
        <v>7.0000000000000007E-2</v>
      </c>
      <c r="E146" s="12">
        <v>0.18</v>
      </c>
      <c r="F146" s="12">
        <v>0.05</v>
      </c>
      <c r="G146" s="12">
        <v>0.09</v>
      </c>
      <c r="H146" s="12">
        <v>0.23</v>
      </c>
      <c r="I146" s="12">
        <v>0.06</v>
      </c>
      <c r="J146" s="12">
        <v>0.12</v>
      </c>
      <c r="K146" s="12">
        <v>0.3</v>
      </c>
      <c r="L146" s="12">
        <v>0.08</v>
      </c>
      <c r="M146" s="8">
        <v>7</v>
      </c>
      <c r="N146">
        <v>9</v>
      </c>
      <c r="O146" s="12">
        <v>11</v>
      </c>
      <c r="BF146" s="9">
        <v>1.45</v>
      </c>
      <c r="BG146" s="9">
        <f t="shared" si="5"/>
        <v>0.14482758620689656</v>
      </c>
      <c r="BH146" s="9">
        <f t="shared" si="4"/>
        <v>0.18802955665024634</v>
      </c>
      <c r="BQ146" s="8">
        <v>6</v>
      </c>
      <c r="BR146" s="8" t="s">
        <v>353</v>
      </c>
    </row>
    <row r="147" spans="1:70" x14ac:dyDescent="0.3">
      <c r="A147" s="11" t="s">
        <v>354</v>
      </c>
      <c r="B147" s="12">
        <v>151700</v>
      </c>
      <c r="C147" s="12">
        <v>592600</v>
      </c>
      <c r="D147" s="12">
        <v>0.05</v>
      </c>
      <c r="E147" s="12">
        <v>0.11</v>
      </c>
      <c r="F147" s="12">
        <v>0.03</v>
      </c>
      <c r="G147" s="12">
        <v>0.06</v>
      </c>
      <c r="H147" s="12">
        <v>0.13</v>
      </c>
      <c r="I147" s="12">
        <v>0.04</v>
      </c>
      <c r="J147" s="12">
        <v>7.0000000000000007E-2</v>
      </c>
      <c r="K147" s="12">
        <v>0.18</v>
      </c>
      <c r="L147" s="12">
        <v>0.06</v>
      </c>
      <c r="M147" s="8">
        <v>9</v>
      </c>
      <c r="N147">
        <v>11</v>
      </c>
      <c r="O147" s="12">
        <v>13</v>
      </c>
      <c r="BF147" s="9">
        <v>1.46</v>
      </c>
      <c r="BG147" s="9">
        <f t="shared" si="5"/>
        <v>0.14383561643835616</v>
      </c>
      <c r="BH147" s="9">
        <f t="shared" si="4"/>
        <v>0.18674168297455973</v>
      </c>
      <c r="BQ147" s="8">
        <v>6</v>
      </c>
      <c r="BR147" s="8" t="s">
        <v>355</v>
      </c>
    </row>
    <row r="148" spans="1:70" x14ac:dyDescent="0.3">
      <c r="A148" s="11" t="s">
        <v>356</v>
      </c>
      <c r="B148" s="12">
        <v>208000</v>
      </c>
      <c r="C148" s="12">
        <v>761800</v>
      </c>
      <c r="D148" s="12">
        <v>0.13</v>
      </c>
      <c r="E148" s="12">
        <v>0.31</v>
      </c>
      <c r="F148" s="12">
        <v>0.06</v>
      </c>
      <c r="G148" s="12">
        <v>0.17</v>
      </c>
      <c r="H148" s="12">
        <v>0.42</v>
      </c>
      <c r="I148" s="12">
        <v>0.09</v>
      </c>
      <c r="J148" s="12">
        <v>0.24</v>
      </c>
      <c r="K148" s="12">
        <v>0.6</v>
      </c>
      <c r="L148" s="12">
        <v>0.12</v>
      </c>
      <c r="M148" s="8">
        <v>6</v>
      </c>
      <c r="N148">
        <v>8</v>
      </c>
      <c r="O148" s="12">
        <v>9</v>
      </c>
      <c r="BF148" s="9">
        <v>1.47</v>
      </c>
      <c r="BG148" s="9">
        <f t="shared" si="5"/>
        <v>0.14285714285714285</v>
      </c>
      <c r="BH148" s="9">
        <f t="shared" si="4"/>
        <v>0.18547133138969876</v>
      </c>
      <c r="BQ148" s="8">
        <v>6</v>
      </c>
      <c r="BR148" s="8" t="s">
        <v>357</v>
      </c>
    </row>
    <row r="149" spans="1:70" x14ac:dyDescent="0.3">
      <c r="A149" s="11" t="s">
        <v>358</v>
      </c>
      <c r="B149" s="12">
        <v>234500</v>
      </c>
      <c r="C149" s="12">
        <v>745700</v>
      </c>
      <c r="D149" s="12">
        <v>0.15</v>
      </c>
      <c r="E149" s="12">
        <v>0.39</v>
      </c>
      <c r="F149" s="12">
        <v>0.08</v>
      </c>
      <c r="G149" s="12">
        <v>0.19</v>
      </c>
      <c r="H149" s="12">
        <v>0.49</v>
      </c>
      <c r="I149" s="12">
        <v>0.1</v>
      </c>
      <c r="J149" s="12">
        <v>0.24</v>
      </c>
      <c r="K149" s="12">
        <v>0.64</v>
      </c>
      <c r="L149" s="12">
        <v>0.14000000000000001</v>
      </c>
      <c r="M149" s="8">
        <v>6</v>
      </c>
      <c r="N149">
        <v>7</v>
      </c>
      <c r="O149" s="12">
        <v>9</v>
      </c>
      <c r="BF149" s="9">
        <v>1.48</v>
      </c>
      <c r="BG149" s="9">
        <f t="shared" si="5"/>
        <v>0.14189189189189189</v>
      </c>
      <c r="BH149" s="9">
        <f t="shared" si="4"/>
        <v>0.18421814671814676</v>
      </c>
      <c r="BQ149" s="8">
        <v>7</v>
      </c>
      <c r="BR149" s="8" t="s">
        <v>359</v>
      </c>
    </row>
    <row r="150" spans="1:70" x14ac:dyDescent="0.3">
      <c r="A150" s="11" t="s">
        <v>360</v>
      </c>
      <c r="B150" s="12">
        <v>273100</v>
      </c>
      <c r="C150" s="12">
        <v>789700</v>
      </c>
      <c r="D150" s="12">
        <v>0.18</v>
      </c>
      <c r="E150" s="12">
        <v>0.47</v>
      </c>
      <c r="F150" s="12">
        <v>0.09</v>
      </c>
      <c r="G150" s="12">
        <v>0.24</v>
      </c>
      <c r="H150" s="12">
        <v>0.61</v>
      </c>
      <c r="I150" s="12">
        <v>0.13</v>
      </c>
      <c r="J150" s="12">
        <v>0.31</v>
      </c>
      <c r="K150" s="12">
        <v>0.83</v>
      </c>
      <c r="L150" s="12">
        <v>0.18</v>
      </c>
      <c r="M150" s="8">
        <v>6</v>
      </c>
      <c r="N150">
        <v>7</v>
      </c>
      <c r="O150" s="12">
        <v>8</v>
      </c>
      <c r="BF150" s="9">
        <v>1.49</v>
      </c>
      <c r="BG150" s="9">
        <f t="shared" si="5"/>
        <v>0.14093959731543623</v>
      </c>
      <c r="BH150" s="9">
        <f t="shared" si="4"/>
        <v>0.18298178331735382</v>
      </c>
      <c r="BQ150" s="8">
        <v>7</v>
      </c>
      <c r="BR150" s="8" t="s">
        <v>361</v>
      </c>
    </row>
    <row r="151" spans="1:70" x14ac:dyDescent="0.3">
      <c r="A151" s="11" t="s">
        <v>362</v>
      </c>
      <c r="B151" s="12">
        <v>196700</v>
      </c>
      <c r="C151" s="12">
        <v>692600</v>
      </c>
      <c r="D151" s="12">
        <v>7.0000000000000007E-2</v>
      </c>
      <c r="E151" s="12">
        <v>0.18</v>
      </c>
      <c r="F151" s="12">
        <v>0.05</v>
      </c>
      <c r="G151" s="12">
        <v>0.09</v>
      </c>
      <c r="H151" s="12">
        <v>0.22</v>
      </c>
      <c r="I151" s="12">
        <v>0.06</v>
      </c>
      <c r="J151" s="12">
        <v>0.11</v>
      </c>
      <c r="K151" s="12">
        <v>0.28999999999999998</v>
      </c>
      <c r="L151" s="12">
        <v>0.08</v>
      </c>
      <c r="M151" s="8">
        <v>7</v>
      </c>
      <c r="N151">
        <v>9</v>
      </c>
      <c r="O151" s="12">
        <v>11</v>
      </c>
      <c r="BF151" s="9">
        <v>1.5</v>
      </c>
      <c r="BG151" s="9">
        <f t="shared" si="5"/>
        <v>0.13999999999999999</v>
      </c>
      <c r="BH151" s="9">
        <f t="shared" si="4"/>
        <v>0.18176190476190479</v>
      </c>
      <c r="BQ151" s="8">
        <v>8</v>
      </c>
      <c r="BR151" s="8" t="s">
        <v>363</v>
      </c>
    </row>
    <row r="152" spans="1:70" x14ac:dyDescent="0.3">
      <c r="A152" s="11" t="s">
        <v>364</v>
      </c>
      <c r="B152" s="12">
        <v>201900</v>
      </c>
      <c r="C152" s="12">
        <v>695300</v>
      </c>
      <c r="D152" s="12">
        <v>0.08</v>
      </c>
      <c r="E152" s="12">
        <v>0.2</v>
      </c>
      <c r="F152" s="12">
        <v>0.05</v>
      </c>
      <c r="G152" s="12">
        <v>0.1</v>
      </c>
      <c r="H152" s="12">
        <v>0.25</v>
      </c>
      <c r="I152" s="12">
        <v>7.0000000000000007E-2</v>
      </c>
      <c r="J152" s="12">
        <v>0.13</v>
      </c>
      <c r="K152" s="12">
        <v>0.32</v>
      </c>
      <c r="L152" s="12">
        <v>0.09</v>
      </c>
      <c r="M152" s="8">
        <v>7</v>
      </c>
      <c r="N152">
        <v>9</v>
      </c>
      <c r="O152" s="12">
        <v>11</v>
      </c>
      <c r="BF152" s="9">
        <v>1.51</v>
      </c>
      <c r="BG152" s="9">
        <f t="shared" si="5"/>
        <v>0.13907284768211919</v>
      </c>
      <c r="BH152" s="9">
        <f t="shared" si="4"/>
        <v>0.18055818353831601</v>
      </c>
      <c r="BQ152" s="8">
        <v>7</v>
      </c>
      <c r="BR152" s="8" t="s">
        <v>365</v>
      </c>
    </row>
    <row r="153" spans="1:70" x14ac:dyDescent="0.3">
      <c r="A153" s="11" t="s">
        <v>366</v>
      </c>
      <c r="B153" s="12">
        <v>165000</v>
      </c>
      <c r="C153" s="12">
        <v>582500</v>
      </c>
      <c r="D153" s="12">
        <v>0.05</v>
      </c>
      <c r="E153" s="12">
        <v>0.12</v>
      </c>
      <c r="F153" s="12">
        <v>0.04</v>
      </c>
      <c r="G153" s="12">
        <v>0.06</v>
      </c>
      <c r="H153" s="12">
        <v>0.15</v>
      </c>
      <c r="I153" s="12">
        <v>0.05</v>
      </c>
      <c r="J153" s="12">
        <v>0.08</v>
      </c>
      <c r="K153" s="12">
        <v>0.2</v>
      </c>
      <c r="L153" s="12">
        <v>0.06</v>
      </c>
      <c r="M153" s="8">
        <v>8</v>
      </c>
      <c r="N153">
        <v>10</v>
      </c>
      <c r="O153" s="12">
        <v>13</v>
      </c>
      <c r="BF153" s="9">
        <v>1.52</v>
      </c>
      <c r="BG153" s="9">
        <f t="shared" si="5"/>
        <v>0.13815789473684209</v>
      </c>
      <c r="BH153" s="9">
        <f t="shared" si="4"/>
        <v>0.17937030075187974</v>
      </c>
      <c r="BQ153" s="8">
        <v>8</v>
      </c>
      <c r="BR153" s="8" t="s">
        <v>367</v>
      </c>
    </row>
    <row r="154" spans="1:70" x14ac:dyDescent="0.3">
      <c r="A154" s="11" t="s">
        <v>368</v>
      </c>
      <c r="B154" s="12">
        <v>213200</v>
      </c>
      <c r="C154" s="12">
        <v>769100</v>
      </c>
      <c r="D154" s="12">
        <v>0.12</v>
      </c>
      <c r="E154" s="12">
        <v>0.3</v>
      </c>
      <c r="F154" s="12">
        <v>0.06</v>
      </c>
      <c r="G154" s="12">
        <v>0.15</v>
      </c>
      <c r="H154" s="12">
        <v>0.39</v>
      </c>
      <c r="I154" s="12">
        <v>0.08</v>
      </c>
      <c r="J154" s="12">
        <v>0.2</v>
      </c>
      <c r="K154" s="12">
        <v>0.53</v>
      </c>
      <c r="L154" s="12">
        <v>0.11</v>
      </c>
      <c r="M154" s="8">
        <v>7</v>
      </c>
      <c r="N154">
        <v>8</v>
      </c>
      <c r="O154" s="12">
        <v>10</v>
      </c>
      <c r="BF154" s="9">
        <v>1.53</v>
      </c>
      <c r="BG154" s="9">
        <f t="shared" si="5"/>
        <v>0.1372549019607843</v>
      </c>
      <c r="BH154" s="9">
        <f t="shared" si="4"/>
        <v>0.1781979458450047</v>
      </c>
      <c r="BQ154" s="8">
        <v>6</v>
      </c>
      <c r="BR154" s="8" t="s">
        <v>369</v>
      </c>
    </row>
    <row r="155" spans="1:70" x14ac:dyDescent="0.3">
      <c r="A155" s="11" t="s">
        <v>370</v>
      </c>
      <c r="B155" s="12">
        <v>174300</v>
      </c>
      <c r="C155" s="12">
        <v>633500</v>
      </c>
      <c r="D155" s="12">
        <v>0.06</v>
      </c>
      <c r="E155" s="12">
        <v>0.15</v>
      </c>
      <c r="F155" s="12">
        <v>0.04</v>
      </c>
      <c r="G155" s="12">
        <v>0.08</v>
      </c>
      <c r="H155" s="12">
        <v>0.19</v>
      </c>
      <c r="I155" s="12">
        <v>0.05</v>
      </c>
      <c r="J155" s="12">
        <v>0.11</v>
      </c>
      <c r="K155" s="12">
        <v>0.27</v>
      </c>
      <c r="L155" s="12">
        <v>7.0000000000000007E-2</v>
      </c>
      <c r="M155" s="8">
        <v>8</v>
      </c>
      <c r="N155">
        <v>10</v>
      </c>
      <c r="O155" s="12">
        <v>12</v>
      </c>
      <c r="BF155" s="9">
        <v>1.54</v>
      </c>
      <c r="BG155" s="9">
        <f t="shared" si="5"/>
        <v>0.13636363636363635</v>
      </c>
      <c r="BH155" s="9">
        <f t="shared" si="4"/>
        <v>0.17704081632653063</v>
      </c>
      <c r="BQ155" s="8">
        <v>8</v>
      </c>
      <c r="BR155" s="8" t="s">
        <v>371</v>
      </c>
    </row>
    <row r="156" spans="1:70" x14ac:dyDescent="0.3">
      <c r="A156" s="11" t="s">
        <v>372</v>
      </c>
      <c r="B156" s="12">
        <v>221000</v>
      </c>
      <c r="C156" s="12">
        <v>742500</v>
      </c>
      <c r="D156" s="12">
        <v>0.14000000000000001</v>
      </c>
      <c r="E156" s="12">
        <v>0.36</v>
      </c>
      <c r="F156" s="12">
        <v>7.0000000000000007E-2</v>
      </c>
      <c r="G156" s="12">
        <v>0.19</v>
      </c>
      <c r="H156" s="12">
        <v>0.47</v>
      </c>
      <c r="I156" s="12">
        <v>0.09</v>
      </c>
      <c r="J156" s="12">
        <v>0.26</v>
      </c>
      <c r="K156" s="12">
        <v>0.66</v>
      </c>
      <c r="L156" s="12">
        <v>0.13</v>
      </c>
      <c r="M156" s="8">
        <v>6</v>
      </c>
      <c r="N156">
        <v>7</v>
      </c>
      <c r="O156" s="12">
        <v>9</v>
      </c>
      <c r="BF156" s="9">
        <v>1.55</v>
      </c>
      <c r="BG156" s="9">
        <f t="shared" si="5"/>
        <v>0.13548387096774192</v>
      </c>
      <c r="BH156" s="9">
        <f t="shared" si="4"/>
        <v>0.17589861751152075</v>
      </c>
      <c r="BQ156" s="8">
        <v>5</v>
      </c>
      <c r="BR156" s="8" t="s">
        <v>373</v>
      </c>
    </row>
    <row r="157" spans="1:70" x14ac:dyDescent="0.3">
      <c r="A157" s="11" t="s">
        <v>374</v>
      </c>
      <c r="B157" s="12">
        <v>172000</v>
      </c>
      <c r="C157" s="12">
        <v>548000</v>
      </c>
      <c r="D157" s="12">
        <v>0.05</v>
      </c>
      <c r="E157" s="12">
        <v>0.12</v>
      </c>
      <c r="F157" s="12">
        <v>0.04</v>
      </c>
      <c r="G157" s="12">
        <v>0.06</v>
      </c>
      <c r="H157" s="12">
        <v>0.15</v>
      </c>
      <c r="I157" s="12">
        <v>0.05</v>
      </c>
      <c r="J157" s="12">
        <v>0.08</v>
      </c>
      <c r="K157" s="12">
        <v>0.19</v>
      </c>
      <c r="L157" s="12">
        <v>0.06</v>
      </c>
      <c r="M157" s="8">
        <v>8</v>
      </c>
      <c r="N157">
        <v>10</v>
      </c>
      <c r="O157" s="12">
        <v>12</v>
      </c>
      <c r="BF157" s="9">
        <v>1.56</v>
      </c>
      <c r="BG157" s="9">
        <f t="shared" si="5"/>
        <v>0.13461538461538461</v>
      </c>
      <c r="BH157" s="9">
        <f t="shared" si="4"/>
        <v>0.17477106227106229</v>
      </c>
      <c r="BQ157" s="8">
        <v>6</v>
      </c>
      <c r="BR157" s="8" t="s">
        <v>375</v>
      </c>
    </row>
    <row r="158" spans="1:70" x14ac:dyDescent="0.3">
      <c r="A158" s="11" t="s">
        <v>376</v>
      </c>
      <c r="B158" s="12">
        <v>246900</v>
      </c>
      <c r="C158" s="12">
        <v>765000</v>
      </c>
      <c r="D158" s="12">
        <v>0.22</v>
      </c>
      <c r="E158" s="12">
        <v>0.56000000000000005</v>
      </c>
      <c r="F158" s="12">
        <v>0.1</v>
      </c>
      <c r="G158" s="12">
        <v>0.28999999999999998</v>
      </c>
      <c r="H158" s="12">
        <v>0.73</v>
      </c>
      <c r="I158" s="12">
        <v>0.14000000000000001</v>
      </c>
      <c r="J158" s="12">
        <v>0.38</v>
      </c>
      <c r="K158" s="12">
        <v>0.99</v>
      </c>
      <c r="L158" s="12">
        <v>0.21</v>
      </c>
      <c r="M158" s="8">
        <v>5</v>
      </c>
      <c r="N158">
        <v>6</v>
      </c>
      <c r="O158" s="12">
        <v>7</v>
      </c>
      <c r="BF158" s="9">
        <v>1.57</v>
      </c>
      <c r="BG158" s="9">
        <f t="shared" si="5"/>
        <v>0.13375796178343949</v>
      </c>
      <c r="BH158" s="9">
        <f t="shared" si="4"/>
        <v>0.17365787079162878</v>
      </c>
      <c r="BQ158" s="8">
        <v>6</v>
      </c>
      <c r="BR158" s="8" t="s">
        <v>377</v>
      </c>
    </row>
    <row r="159" spans="1:70" x14ac:dyDescent="0.3">
      <c r="A159" s="11" t="s">
        <v>378</v>
      </c>
      <c r="B159" s="12">
        <v>200900</v>
      </c>
      <c r="C159" s="12">
        <v>737300</v>
      </c>
      <c r="D159" s="12">
        <v>0.12</v>
      </c>
      <c r="E159" s="12">
        <v>0.3</v>
      </c>
      <c r="F159" s="12">
        <v>0.06</v>
      </c>
      <c r="G159" s="12">
        <v>0.17</v>
      </c>
      <c r="H159" s="12">
        <v>0.43</v>
      </c>
      <c r="I159" s="12">
        <v>0.09</v>
      </c>
      <c r="J159" s="12">
        <v>0.25</v>
      </c>
      <c r="K159" s="12">
        <v>0.63</v>
      </c>
      <c r="L159" s="12">
        <v>0.12</v>
      </c>
      <c r="M159" s="8">
        <v>6</v>
      </c>
      <c r="N159">
        <v>7</v>
      </c>
      <c r="O159" s="12">
        <v>9</v>
      </c>
      <c r="BF159" s="9">
        <v>1.58</v>
      </c>
      <c r="BG159" s="9">
        <f t="shared" si="5"/>
        <v>0.13291139240506328</v>
      </c>
      <c r="BH159" s="9">
        <f t="shared" si="4"/>
        <v>0.1725587703435805</v>
      </c>
      <c r="BQ159" s="8">
        <v>8</v>
      </c>
      <c r="BR159" s="8" t="s">
        <v>379</v>
      </c>
    </row>
    <row r="160" spans="1:70" x14ac:dyDescent="0.3">
      <c r="A160" s="11" t="s">
        <v>380</v>
      </c>
      <c r="B160" s="12">
        <v>221200</v>
      </c>
      <c r="C160" s="12">
        <v>649400</v>
      </c>
      <c r="D160" s="12">
        <v>0.11</v>
      </c>
      <c r="E160" s="12">
        <v>0.27</v>
      </c>
      <c r="F160" s="12">
        <v>0.06</v>
      </c>
      <c r="G160" s="12">
        <v>0.14000000000000001</v>
      </c>
      <c r="H160" s="12">
        <v>0.35</v>
      </c>
      <c r="I160" s="12">
        <v>0.08</v>
      </c>
      <c r="J160" s="12">
        <v>0.18</v>
      </c>
      <c r="K160" s="12">
        <v>0.48</v>
      </c>
      <c r="L160" s="12">
        <v>0.11</v>
      </c>
      <c r="M160" s="8">
        <v>6</v>
      </c>
      <c r="N160">
        <v>8</v>
      </c>
      <c r="O160" s="12">
        <v>9</v>
      </c>
      <c r="BF160" s="9">
        <v>1.59</v>
      </c>
      <c r="BG160" s="9">
        <f t="shared" si="5"/>
        <v>0.13207547169811321</v>
      </c>
      <c r="BH160" s="9">
        <f t="shared" si="4"/>
        <v>0.17147349505840073</v>
      </c>
      <c r="BQ160" s="8">
        <v>5</v>
      </c>
      <c r="BR160" s="8" t="s">
        <v>381</v>
      </c>
    </row>
    <row r="161" spans="1:70" x14ac:dyDescent="0.3">
      <c r="A161" s="11" t="s">
        <v>382</v>
      </c>
      <c r="B161" s="12">
        <v>181500</v>
      </c>
      <c r="C161" s="12">
        <v>639000</v>
      </c>
      <c r="D161" s="12">
        <v>0.06</v>
      </c>
      <c r="E161" s="12">
        <v>0.14000000000000001</v>
      </c>
      <c r="F161" s="12">
        <v>0.04</v>
      </c>
      <c r="G161" s="12">
        <v>7.0000000000000007E-2</v>
      </c>
      <c r="H161" s="12">
        <v>0.18</v>
      </c>
      <c r="I161" s="12">
        <v>0.05</v>
      </c>
      <c r="J161" s="12">
        <v>0.1</v>
      </c>
      <c r="K161" s="12">
        <v>0.24</v>
      </c>
      <c r="L161" s="12">
        <v>7.0000000000000007E-2</v>
      </c>
      <c r="M161" s="8">
        <v>8</v>
      </c>
      <c r="N161">
        <v>10</v>
      </c>
      <c r="O161" s="12">
        <v>12</v>
      </c>
      <c r="BF161" s="9">
        <v>1.6</v>
      </c>
      <c r="BG161" s="9">
        <f t="shared" si="5"/>
        <v>0.13124999999999998</v>
      </c>
      <c r="BH161" s="9">
        <f t="shared" si="4"/>
        <v>0.17040178571428574</v>
      </c>
      <c r="BQ161" s="8">
        <v>7</v>
      </c>
      <c r="BR161" s="8" t="s">
        <v>383</v>
      </c>
    </row>
    <row r="162" spans="1:70" x14ac:dyDescent="0.3">
      <c r="A162" s="11" t="s">
        <v>384</v>
      </c>
      <c r="B162" s="12">
        <v>240800</v>
      </c>
      <c r="C162" s="12">
        <v>713600</v>
      </c>
      <c r="D162" s="12">
        <v>0.2</v>
      </c>
      <c r="E162" s="12">
        <v>0.49</v>
      </c>
      <c r="F162" s="12">
        <v>0.09</v>
      </c>
      <c r="G162" s="12">
        <v>0.25</v>
      </c>
      <c r="H162" s="12">
        <v>0.65</v>
      </c>
      <c r="I162" s="12">
        <v>0.13</v>
      </c>
      <c r="J162" s="12">
        <v>0.34</v>
      </c>
      <c r="K162" s="12">
        <v>0.88</v>
      </c>
      <c r="L162" s="12">
        <v>0.18</v>
      </c>
      <c r="M162" s="8">
        <v>5</v>
      </c>
      <c r="N162">
        <v>6</v>
      </c>
      <c r="O162" s="12">
        <v>7</v>
      </c>
      <c r="BF162" s="9">
        <v>1.61</v>
      </c>
      <c r="BG162" s="9">
        <f t="shared" si="5"/>
        <v>0.13043478260869565</v>
      </c>
      <c r="BH162" s="9">
        <f t="shared" si="4"/>
        <v>0.16934338952972494</v>
      </c>
      <c r="BQ162" s="8">
        <v>8</v>
      </c>
      <c r="BR162" s="8" t="s">
        <v>385</v>
      </c>
    </row>
    <row r="163" spans="1:70" x14ac:dyDescent="0.3">
      <c r="A163" s="11" t="s">
        <v>386</v>
      </c>
      <c r="B163" s="12">
        <v>204900</v>
      </c>
      <c r="C163" s="12">
        <v>660700</v>
      </c>
      <c r="D163" s="12">
        <v>0.08</v>
      </c>
      <c r="E163" s="12">
        <v>0.19</v>
      </c>
      <c r="F163" s="12">
        <v>0.05</v>
      </c>
      <c r="G163" s="12">
        <v>0.09</v>
      </c>
      <c r="H163" s="12">
        <v>0.24</v>
      </c>
      <c r="I163" s="12">
        <v>0.06</v>
      </c>
      <c r="J163" s="12">
        <v>0.12</v>
      </c>
      <c r="K163" s="12">
        <v>0.31</v>
      </c>
      <c r="L163" s="12">
        <v>0.09</v>
      </c>
      <c r="M163" s="8">
        <v>7</v>
      </c>
      <c r="N163">
        <v>9</v>
      </c>
      <c r="O163" s="12">
        <v>11</v>
      </c>
      <c r="BF163" s="9">
        <v>1.62</v>
      </c>
      <c r="BG163" s="9">
        <f t="shared" si="5"/>
        <v>0.12962962962962962</v>
      </c>
      <c r="BH163" s="9">
        <f t="shared" si="4"/>
        <v>0.16829805996472666</v>
      </c>
      <c r="BQ163" s="8">
        <v>6</v>
      </c>
      <c r="BR163" s="8" t="s">
        <v>387</v>
      </c>
    </row>
    <row r="164" spans="1:70" x14ac:dyDescent="0.3">
      <c r="A164" s="11" t="s">
        <v>388</v>
      </c>
      <c r="B164" s="12">
        <v>193200</v>
      </c>
      <c r="C164" s="12">
        <v>678500</v>
      </c>
      <c r="D164" s="12">
        <v>7.0000000000000007E-2</v>
      </c>
      <c r="E164" s="12">
        <v>0.16</v>
      </c>
      <c r="F164" s="12">
        <v>0.05</v>
      </c>
      <c r="G164" s="12">
        <v>0.08</v>
      </c>
      <c r="H164" s="12">
        <v>0.2</v>
      </c>
      <c r="I164" s="12">
        <v>0.06</v>
      </c>
      <c r="J164" s="12">
        <v>0.1</v>
      </c>
      <c r="K164" s="12">
        <v>0.27</v>
      </c>
      <c r="L164" s="12">
        <v>0.08</v>
      </c>
      <c r="M164" s="8">
        <v>8</v>
      </c>
      <c r="N164">
        <v>9</v>
      </c>
      <c r="O164" s="12">
        <v>12</v>
      </c>
      <c r="BF164" s="9">
        <v>1.63</v>
      </c>
      <c r="BG164" s="9">
        <f t="shared" si="5"/>
        <v>0.12883435582822086</v>
      </c>
      <c r="BH164" s="9">
        <f t="shared" si="4"/>
        <v>0.16726555652936026</v>
      </c>
      <c r="BQ164" s="8">
        <v>8</v>
      </c>
      <c r="BR164" s="8" t="s">
        <v>389</v>
      </c>
    </row>
    <row r="165" spans="1:70" x14ac:dyDescent="0.3">
      <c r="A165" s="11" t="s">
        <v>390</v>
      </c>
      <c r="B165" s="12">
        <v>235800</v>
      </c>
      <c r="C165" s="12">
        <v>763400</v>
      </c>
      <c r="D165" s="12">
        <v>0.15</v>
      </c>
      <c r="E165" s="12">
        <v>0.39</v>
      </c>
      <c r="F165" s="12">
        <v>0.08</v>
      </c>
      <c r="G165" s="12">
        <v>0.19</v>
      </c>
      <c r="H165" s="12">
        <v>0.49</v>
      </c>
      <c r="I165" s="12">
        <v>0.1</v>
      </c>
      <c r="J165" s="12">
        <v>0.24</v>
      </c>
      <c r="K165" s="12">
        <v>0.65</v>
      </c>
      <c r="L165" s="12">
        <v>0.14000000000000001</v>
      </c>
      <c r="M165" s="8">
        <v>6</v>
      </c>
      <c r="N165">
        <v>7</v>
      </c>
      <c r="O165" s="12">
        <v>9</v>
      </c>
      <c r="BF165" s="9">
        <v>1.64</v>
      </c>
      <c r="BG165" s="9">
        <f t="shared" si="5"/>
        <v>0.12804878048780488</v>
      </c>
      <c r="BH165" s="9">
        <f t="shared" si="4"/>
        <v>0.16624564459930316</v>
      </c>
      <c r="BQ165" s="8">
        <v>8</v>
      </c>
      <c r="BR165" s="8" t="s">
        <v>391</v>
      </c>
    </row>
    <row r="166" spans="1:70" x14ac:dyDescent="0.3">
      <c r="A166" s="11" t="s">
        <v>392</v>
      </c>
      <c r="B166" s="12">
        <v>190200</v>
      </c>
      <c r="C166" s="12">
        <v>613300</v>
      </c>
      <c r="D166" s="12">
        <v>7.0000000000000007E-2</v>
      </c>
      <c r="E166" s="12">
        <v>0.17</v>
      </c>
      <c r="F166" s="12">
        <v>0.04</v>
      </c>
      <c r="G166" s="12">
        <v>0.09</v>
      </c>
      <c r="H166" s="12">
        <v>0.23</v>
      </c>
      <c r="I166" s="12">
        <v>0.06</v>
      </c>
      <c r="J166" s="12">
        <v>0.12</v>
      </c>
      <c r="K166" s="12">
        <v>0.31</v>
      </c>
      <c r="L166" s="12">
        <v>0.08</v>
      </c>
      <c r="M166" s="8">
        <v>8</v>
      </c>
      <c r="N166">
        <v>9</v>
      </c>
      <c r="O166" s="12">
        <v>11</v>
      </c>
      <c r="BF166" s="9">
        <v>1.65</v>
      </c>
      <c r="BG166" s="9">
        <f t="shared" si="5"/>
        <v>0.12727272727272729</v>
      </c>
      <c r="BH166" s="9">
        <f t="shared" si="4"/>
        <v>0.16523809523809527</v>
      </c>
      <c r="BQ166" s="8">
        <v>8</v>
      </c>
      <c r="BR166" s="8" t="s">
        <v>393</v>
      </c>
    </row>
    <row r="167" spans="1:70" x14ac:dyDescent="0.3">
      <c r="A167" s="11" t="s">
        <v>394</v>
      </c>
      <c r="B167" s="12">
        <v>177300</v>
      </c>
      <c r="C167" s="12">
        <v>640400</v>
      </c>
      <c r="D167" s="12">
        <v>0.06</v>
      </c>
      <c r="E167" s="12">
        <v>0.14000000000000001</v>
      </c>
      <c r="F167" s="12">
        <v>0.04</v>
      </c>
      <c r="G167" s="12">
        <v>7.0000000000000007E-2</v>
      </c>
      <c r="H167" s="12">
        <v>0.18</v>
      </c>
      <c r="I167" s="12">
        <v>0.05</v>
      </c>
      <c r="J167" s="12">
        <v>0.1</v>
      </c>
      <c r="K167" s="12">
        <v>0.24</v>
      </c>
      <c r="L167" s="12">
        <v>7.0000000000000007E-2</v>
      </c>
      <c r="M167" s="8">
        <v>8</v>
      </c>
      <c r="N167">
        <v>10</v>
      </c>
      <c r="O167" s="12">
        <v>12</v>
      </c>
      <c r="BF167" s="9">
        <v>1.66</v>
      </c>
      <c r="BG167" s="9">
        <f t="shared" si="5"/>
        <v>0.12650602409638553</v>
      </c>
      <c r="BH167" s="9">
        <f t="shared" si="4"/>
        <v>0.1642426850258176</v>
      </c>
      <c r="BQ167" s="8">
        <v>8</v>
      </c>
      <c r="BR167" s="8" t="s">
        <v>395</v>
      </c>
    </row>
    <row r="168" spans="1:70" x14ac:dyDescent="0.3">
      <c r="A168" s="11" t="s">
        <v>396</v>
      </c>
      <c r="B168" s="12">
        <v>184100</v>
      </c>
      <c r="C168" s="12">
        <v>656300</v>
      </c>
      <c r="D168" s="12">
        <v>0.06</v>
      </c>
      <c r="E168" s="12">
        <v>0.14000000000000001</v>
      </c>
      <c r="F168" s="12">
        <v>0.04</v>
      </c>
      <c r="G168" s="12">
        <v>7.0000000000000007E-2</v>
      </c>
      <c r="H168" s="12">
        <v>0.18</v>
      </c>
      <c r="I168" s="12">
        <v>0.05</v>
      </c>
      <c r="J168" s="12">
        <v>0.09</v>
      </c>
      <c r="K168" s="12">
        <v>0.23</v>
      </c>
      <c r="L168" s="12">
        <v>7.0000000000000007E-2</v>
      </c>
      <c r="M168" s="8">
        <v>8</v>
      </c>
      <c r="N168">
        <v>10</v>
      </c>
      <c r="O168" s="12">
        <v>12</v>
      </c>
      <c r="BF168" s="9">
        <v>1.67</v>
      </c>
      <c r="BG168" s="9">
        <f t="shared" si="5"/>
        <v>0.12574850299401197</v>
      </c>
      <c r="BH168" s="9">
        <f t="shared" si="4"/>
        <v>0.16325919589392646</v>
      </c>
      <c r="BQ168" s="8">
        <v>8</v>
      </c>
      <c r="BR168" s="8" t="s">
        <v>397</v>
      </c>
    </row>
    <row r="169" spans="1:70" x14ac:dyDescent="0.3">
      <c r="A169" s="11" t="s">
        <v>398</v>
      </c>
      <c r="B169" s="12">
        <v>162500</v>
      </c>
      <c r="C169" s="12">
        <v>592600</v>
      </c>
      <c r="D169" s="12">
        <v>0.05</v>
      </c>
      <c r="E169" s="12">
        <v>0.12</v>
      </c>
      <c r="F169" s="12">
        <v>0.04</v>
      </c>
      <c r="G169" s="12">
        <v>7.0000000000000007E-2</v>
      </c>
      <c r="H169" s="12">
        <v>0.16</v>
      </c>
      <c r="I169" s="12">
        <v>0.05</v>
      </c>
      <c r="J169" s="12">
        <v>0.09</v>
      </c>
      <c r="K169" s="12">
        <v>0.22</v>
      </c>
      <c r="L169" s="12">
        <v>0.06</v>
      </c>
      <c r="M169" s="8">
        <v>8</v>
      </c>
      <c r="N169">
        <v>10</v>
      </c>
      <c r="O169" s="12">
        <v>13</v>
      </c>
      <c r="BF169" s="9">
        <v>1.68</v>
      </c>
      <c r="BG169" s="9">
        <f t="shared" si="5"/>
        <v>0.125</v>
      </c>
      <c r="BH169" s="9">
        <f t="shared" si="4"/>
        <v>0.16228741496598642</v>
      </c>
      <c r="BQ169" s="8">
        <v>5</v>
      </c>
      <c r="BR169" s="8" t="s">
        <v>399</v>
      </c>
    </row>
    <row r="170" spans="1:70" x14ac:dyDescent="0.3">
      <c r="A170" s="11" t="s">
        <v>400</v>
      </c>
      <c r="B170" s="12">
        <v>193400</v>
      </c>
      <c r="C170" s="12">
        <v>695300</v>
      </c>
      <c r="D170" s="12">
        <v>7.0000000000000007E-2</v>
      </c>
      <c r="E170" s="12">
        <v>0.17</v>
      </c>
      <c r="F170" s="12">
        <v>0.05</v>
      </c>
      <c r="G170" s="12">
        <v>0.09</v>
      </c>
      <c r="H170" s="12">
        <v>0.22</v>
      </c>
      <c r="I170" s="12">
        <v>0.06</v>
      </c>
      <c r="J170" s="12">
        <v>0.11</v>
      </c>
      <c r="K170" s="12">
        <v>0.28999999999999998</v>
      </c>
      <c r="L170" s="12">
        <v>0.08</v>
      </c>
      <c r="M170" s="8">
        <v>8</v>
      </c>
      <c r="N170">
        <v>9</v>
      </c>
      <c r="O170" s="12">
        <v>12</v>
      </c>
      <c r="BF170" s="9">
        <v>1.69</v>
      </c>
      <c r="BG170" s="9">
        <f t="shared" si="5"/>
        <v>0.1242603550295858</v>
      </c>
      <c r="BH170" s="9">
        <f t="shared" si="4"/>
        <v>0.16132713440405752</v>
      </c>
      <c r="BQ170" s="8">
        <v>7</v>
      </c>
      <c r="BR170" s="8" t="s">
        <v>401</v>
      </c>
    </row>
    <row r="171" spans="1:70" x14ac:dyDescent="0.3">
      <c r="A171" s="11" t="s">
        <v>402</v>
      </c>
      <c r="B171" s="12">
        <v>256600</v>
      </c>
      <c r="C171" s="12">
        <v>790300</v>
      </c>
      <c r="D171" s="12">
        <v>0.26</v>
      </c>
      <c r="E171" s="12">
        <v>0.63</v>
      </c>
      <c r="F171" s="12">
        <v>0.12</v>
      </c>
      <c r="G171" s="12">
        <v>0.34</v>
      </c>
      <c r="H171" s="12">
        <v>0.84</v>
      </c>
      <c r="I171" s="12">
        <v>0.17</v>
      </c>
      <c r="J171" s="12">
        <v>0.46</v>
      </c>
      <c r="K171" s="12">
        <v>1.17</v>
      </c>
      <c r="L171" s="12">
        <v>0.25</v>
      </c>
      <c r="M171" s="8">
        <v>5</v>
      </c>
      <c r="N171">
        <v>6</v>
      </c>
      <c r="O171" s="12">
        <v>7</v>
      </c>
      <c r="BF171" s="9">
        <v>1.7</v>
      </c>
      <c r="BG171" s="9">
        <f t="shared" si="5"/>
        <v>0.12352941176470589</v>
      </c>
      <c r="BH171" s="9">
        <f t="shared" si="4"/>
        <v>0.16037815126050423</v>
      </c>
      <c r="BQ171" s="8">
        <v>5</v>
      </c>
      <c r="BR171" s="8" t="s">
        <v>403</v>
      </c>
    </row>
    <row r="172" spans="1:70" x14ac:dyDescent="0.3">
      <c r="A172" s="11" t="s">
        <v>404</v>
      </c>
      <c r="B172" s="12">
        <v>213800</v>
      </c>
      <c r="C172" s="12">
        <v>763900</v>
      </c>
      <c r="D172" s="12">
        <v>0.12</v>
      </c>
      <c r="E172" s="12">
        <v>0.31</v>
      </c>
      <c r="F172" s="12">
        <v>0.06</v>
      </c>
      <c r="G172" s="12">
        <v>0.16</v>
      </c>
      <c r="H172" s="12">
        <v>0.4</v>
      </c>
      <c r="I172" s="12">
        <v>0.08</v>
      </c>
      <c r="J172" s="12">
        <v>0.21</v>
      </c>
      <c r="K172" s="12">
        <v>0.54</v>
      </c>
      <c r="L172" s="12">
        <v>0.11</v>
      </c>
      <c r="M172" s="8">
        <v>7</v>
      </c>
      <c r="N172">
        <v>8</v>
      </c>
      <c r="O172" s="12">
        <v>10</v>
      </c>
      <c r="BF172" s="9">
        <v>1.71</v>
      </c>
      <c r="BG172" s="9">
        <f t="shared" si="5"/>
        <v>0.12280701754385964</v>
      </c>
      <c r="BH172" s="9">
        <f t="shared" si="4"/>
        <v>0.15944026733500422</v>
      </c>
      <c r="BQ172" s="8">
        <v>5</v>
      </c>
      <c r="BR172" s="8" t="s">
        <v>405</v>
      </c>
    </row>
    <row r="173" spans="1:70" x14ac:dyDescent="0.3">
      <c r="A173" s="11" t="s">
        <v>406</v>
      </c>
      <c r="B173" s="12">
        <v>247300</v>
      </c>
      <c r="C173" s="12">
        <v>635000</v>
      </c>
      <c r="D173" s="12">
        <v>0.24</v>
      </c>
      <c r="E173" s="12">
        <v>0.59</v>
      </c>
      <c r="F173" s="12">
        <v>0.11</v>
      </c>
      <c r="G173" s="12">
        <v>0.31</v>
      </c>
      <c r="H173" s="12">
        <v>0.79</v>
      </c>
      <c r="I173" s="12">
        <v>0.15</v>
      </c>
      <c r="J173" s="12">
        <v>0.43</v>
      </c>
      <c r="K173" s="12">
        <v>1.0900000000000001</v>
      </c>
      <c r="L173" s="12">
        <v>0.23</v>
      </c>
      <c r="M173" s="8">
        <v>5</v>
      </c>
      <c r="N173">
        <v>5</v>
      </c>
      <c r="O173" s="12">
        <v>6</v>
      </c>
      <c r="BF173" s="9">
        <v>1.72</v>
      </c>
      <c r="BG173" s="9">
        <f t="shared" si="5"/>
        <v>0.12209302325581395</v>
      </c>
      <c r="BH173" s="9">
        <f t="shared" si="4"/>
        <v>0.15851328903654488</v>
      </c>
      <c r="BQ173" s="8">
        <v>6</v>
      </c>
      <c r="BR173" s="8" t="s">
        <v>407</v>
      </c>
    </row>
    <row r="174" spans="1:70" x14ac:dyDescent="0.3">
      <c r="A174" s="11" t="s">
        <v>408</v>
      </c>
      <c r="B174" s="12">
        <v>241400</v>
      </c>
      <c r="C174" s="12">
        <v>717300</v>
      </c>
      <c r="D174" s="12">
        <v>0.2</v>
      </c>
      <c r="E174" s="12">
        <v>0.49</v>
      </c>
      <c r="F174" s="12">
        <v>0.09</v>
      </c>
      <c r="G174" s="12">
        <v>0.25</v>
      </c>
      <c r="H174" s="12">
        <v>0.64</v>
      </c>
      <c r="I174" s="12">
        <v>0.13</v>
      </c>
      <c r="J174" s="12">
        <v>0.33</v>
      </c>
      <c r="K174" s="12">
        <v>0.87</v>
      </c>
      <c r="L174" s="12">
        <v>0.18</v>
      </c>
      <c r="M174" s="8">
        <v>5</v>
      </c>
      <c r="N174">
        <v>6</v>
      </c>
      <c r="O174" s="12">
        <v>7</v>
      </c>
      <c r="BF174" s="9">
        <v>1.73</v>
      </c>
      <c r="BG174" s="9">
        <f t="shared" si="5"/>
        <v>0.12138728323699421</v>
      </c>
      <c r="BH174" s="9">
        <f t="shared" si="4"/>
        <v>0.15759702725020647</v>
      </c>
      <c r="BQ174" s="8">
        <v>7</v>
      </c>
      <c r="BR174" s="8" t="s">
        <v>409</v>
      </c>
    </row>
    <row r="175" spans="1:70" x14ac:dyDescent="0.3">
      <c r="A175" s="11" t="s">
        <v>410</v>
      </c>
      <c r="B175" s="12">
        <v>211100</v>
      </c>
      <c r="C175" s="12">
        <v>734100</v>
      </c>
      <c r="D175" s="12">
        <v>0.14000000000000001</v>
      </c>
      <c r="E175" s="12">
        <v>0.34</v>
      </c>
      <c r="F175" s="12">
        <v>7.0000000000000007E-2</v>
      </c>
      <c r="G175" s="12">
        <v>0.19</v>
      </c>
      <c r="H175" s="12">
        <v>0.48</v>
      </c>
      <c r="I175" s="12">
        <v>0.09</v>
      </c>
      <c r="J175" s="12">
        <v>0.28000000000000003</v>
      </c>
      <c r="K175" s="12">
        <v>0.7</v>
      </c>
      <c r="L175" s="12">
        <v>0.14000000000000001</v>
      </c>
      <c r="M175" s="8">
        <v>6</v>
      </c>
      <c r="N175">
        <v>7</v>
      </c>
      <c r="O175" s="12">
        <v>8</v>
      </c>
      <c r="BF175" s="9">
        <v>1.74</v>
      </c>
      <c r="BG175" s="9">
        <f t="shared" si="5"/>
        <v>0.12068965517241378</v>
      </c>
      <c r="BH175" s="9">
        <f t="shared" si="4"/>
        <v>0.15669129720853861</v>
      </c>
      <c r="BQ175" s="8">
        <v>5</v>
      </c>
      <c r="BR175" s="8" t="s">
        <v>411</v>
      </c>
    </row>
    <row r="176" spans="1:70" x14ac:dyDescent="0.3">
      <c r="A176" s="11" t="s">
        <v>412</v>
      </c>
      <c r="B176" s="12">
        <v>215300</v>
      </c>
      <c r="C176" s="12">
        <v>632200</v>
      </c>
      <c r="D176" s="12">
        <v>0.09</v>
      </c>
      <c r="E176" s="12">
        <v>0.22</v>
      </c>
      <c r="F176" s="12">
        <v>0.05</v>
      </c>
      <c r="G176" s="12">
        <v>0.11</v>
      </c>
      <c r="H176" s="12">
        <v>0.28000000000000003</v>
      </c>
      <c r="I176" s="12">
        <v>7.0000000000000007E-2</v>
      </c>
      <c r="J176" s="12">
        <v>0.14000000000000001</v>
      </c>
      <c r="K176" s="12">
        <v>0.37</v>
      </c>
      <c r="L176" s="12">
        <v>0.1</v>
      </c>
      <c r="M176" s="8">
        <v>7</v>
      </c>
      <c r="N176">
        <v>8</v>
      </c>
      <c r="O176" s="12">
        <v>10</v>
      </c>
      <c r="BF176" s="9">
        <v>1.75</v>
      </c>
      <c r="BG176" s="9">
        <f t="shared" si="5"/>
        <v>0.12</v>
      </c>
      <c r="BH176" s="9">
        <f t="shared" si="4"/>
        <v>0.15579591836734696</v>
      </c>
      <c r="BQ176" s="8">
        <v>5</v>
      </c>
      <c r="BR176" s="8" t="s">
        <v>413</v>
      </c>
    </row>
    <row r="177" spans="1:70" x14ac:dyDescent="0.3">
      <c r="A177" s="11" t="s">
        <v>414</v>
      </c>
      <c r="B177" s="12">
        <v>254100</v>
      </c>
      <c r="C177" s="12">
        <v>732600</v>
      </c>
      <c r="D177" s="12">
        <v>0.26</v>
      </c>
      <c r="E177" s="12">
        <v>0.64</v>
      </c>
      <c r="F177" s="12">
        <v>0.12</v>
      </c>
      <c r="G177" s="12">
        <v>0.34</v>
      </c>
      <c r="H177" s="12">
        <v>0.86</v>
      </c>
      <c r="I177" s="12">
        <v>0.17</v>
      </c>
      <c r="J177" s="12">
        <v>0.46</v>
      </c>
      <c r="K177" s="12">
        <v>1.17</v>
      </c>
      <c r="L177" s="12">
        <v>0.25</v>
      </c>
      <c r="M177" s="8">
        <v>5</v>
      </c>
      <c r="N177">
        <v>5</v>
      </c>
      <c r="O177" s="12">
        <v>6</v>
      </c>
      <c r="BF177" s="9">
        <v>1.76</v>
      </c>
      <c r="BG177" s="9">
        <f t="shared" si="5"/>
        <v>0.11931818181818181</v>
      </c>
      <c r="BH177" s="9">
        <f t="shared" si="4"/>
        <v>0.15491071428571432</v>
      </c>
      <c r="BQ177" s="8">
        <v>7</v>
      </c>
      <c r="BR177" s="8" t="s">
        <v>415</v>
      </c>
    </row>
    <row r="178" spans="1:70" x14ac:dyDescent="0.3">
      <c r="A178" s="11" t="s">
        <v>416</v>
      </c>
      <c r="B178" s="12">
        <v>250900</v>
      </c>
      <c r="C178" s="12">
        <v>739800</v>
      </c>
      <c r="D178" s="12">
        <v>0.25</v>
      </c>
      <c r="E178" s="12">
        <v>0.63</v>
      </c>
      <c r="F178" s="12">
        <v>0.12</v>
      </c>
      <c r="G178" s="12">
        <v>0.33</v>
      </c>
      <c r="H178" s="12">
        <v>0.83</v>
      </c>
      <c r="I178" s="12">
        <v>0.16</v>
      </c>
      <c r="J178" s="12">
        <v>0.45</v>
      </c>
      <c r="K178" s="12">
        <v>1.1399999999999999</v>
      </c>
      <c r="L178" s="12">
        <v>0.24</v>
      </c>
      <c r="M178" s="8">
        <v>5</v>
      </c>
      <c r="N178">
        <v>5</v>
      </c>
      <c r="O178" s="12">
        <v>6</v>
      </c>
      <c r="BF178" s="9">
        <v>1.77</v>
      </c>
      <c r="BG178" s="9">
        <f t="shared" si="5"/>
        <v>0.11864406779661016</v>
      </c>
      <c r="BH178" s="9">
        <f t="shared" si="4"/>
        <v>0.15403551251008882</v>
      </c>
      <c r="BQ178" s="8">
        <v>8</v>
      </c>
      <c r="BR178" s="8" t="s">
        <v>417</v>
      </c>
    </row>
    <row r="179" spans="1:70" x14ac:dyDescent="0.3">
      <c r="A179" s="11" t="s">
        <v>418</v>
      </c>
      <c r="B179" s="12">
        <v>212600</v>
      </c>
      <c r="C179" s="12">
        <v>642400</v>
      </c>
      <c r="D179" s="12">
        <v>0.09</v>
      </c>
      <c r="E179" s="12">
        <v>0.21</v>
      </c>
      <c r="F179" s="12">
        <v>0.05</v>
      </c>
      <c r="G179" s="12">
        <v>0.11</v>
      </c>
      <c r="H179" s="12">
        <v>0.27</v>
      </c>
      <c r="I179" s="12">
        <v>7.0000000000000007E-2</v>
      </c>
      <c r="J179" s="12">
        <v>0.14000000000000001</v>
      </c>
      <c r="K179" s="12">
        <v>0.35</v>
      </c>
      <c r="L179" s="12">
        <v>0.09</v>
      </c>
      <c r="M179" s="8">
        <v>7</v>
      </c>
      <c r="N179">
        <v>8</v>
      </c>
      <c r="O179" s="12">
        <v>10</v>
      </c>
      <c r="BF179" s="9">
        <v>1.78</v>
      </c>
      <c r="BG179" s="9">
        <f t="shared" si="5"/>
        <v>0.11797752808988764</v>
      </c>
      <c r="BH179" s="9">
        <f t="shared" si="4"/>
        <v>0.15317014446227931</v>
      </c>
      <c r="BQ179" s="8">
        <v>8</v>
      </c>
      <c r="BR179" s="8" t="s">
        <v>419</v>
      </c>
    </row>
    <row r="180" spans="1:70" x14ac:dyDescent="0.3">
      <c r="A180" s="11" t="s">
        <v>420</v>
      </c>
      <c r="B180" s="12">
        <v>187900</v>
      </c>
      <c r="C180" s="12">
        <v>698300</v>
      </c>
      <c r="D180" s="12">
        <v>7.0000000000000007E-2</v>
      </c>
      <c r="E180" s="12">
        <v>0.17</v>
      </c>
      <c r="F180" s="12">
        <v>0.05</v>
      </c>
      <c r="G180" s="12">
        <v>0.09</v>
      </c>
      <c r="H180" s="12">
        <v>0.21</v>
      </c>
      <c r="I180" s="12">
        <v>0.06</v>
      </c>
      <c r="J180" s="12">
        <v>0.11</v>
      </c>
      <c r="K180" s="12">
        <v>0.28999999999999998</v>
      </c>
      <c r="L180" s="12">
        <v>0.08</v>
      </c>
      <c r="M180" s="8">
        <v>8</v>
      </c>
      <c r="N180">
        <v>9</v>
      </c>
      <c r="O180" s="12">
        <v>12</v>
      </c>
      <c r="BF180" s="9">
        <v>1.79</v>
      </c>
      <c r="BG180" s="9">
        <f t="shared" si="5"/>
        <v>0.11731843575418993</v>
      </c>
      <c r="BH180" s="9">
        <f t="shared" si="4"/>
        <v>0.15231444533120514</v>
      </c>
      <c r="BQ180" s="8">
        <v>8</v>
      </c>
      <c r="BR180" s="8" t="s">
        <v>421</v>
      </c>
    </row>
    <row r="181" spans="1:70" x14ac:dyDescent="0.3">
      <c r="A181" s="11" t="s">
        <v>422</v>
      </c>
      <c r="B181" s="12">
        <v>182100</v>
      </c>
      <c r="C181" s="12">
        <v>633400</v>
      </c>
      <c r="D181" s="12">
        <v>0.06</v>
      </c>
      <c r="E181" s="12">
        <v>0.15</v>
      </c>
      <c r="F181" s="12">
        <v>0.04</v>
      </c>
      <c r="G181" s="12">
        <v>0.08</v>
      </c>
      <c r="H181" s="12">
        <v>0.19</v>
      </c>
      <c r="I181" s="12">
        <v>0.05</v>
      </c>
      <c r="J181" s="12">
        <v>0.1</v>
      </c>
      <c r="K181" s="12">
        <v>0.26</v>
      </c>
      <c r="L181" s="12">
        <v>7.0000000000000007E-2</v>
      </c>
      <c r="M181" s="8">
        <v>8</v>
      </c>
      <c r="N181">
        <v>10</v>
      </c>
      <c r="O181" s="12">
        <v>12</v>
      </c>
      <c r="BF181" s="9">
        <v>1.8</v>
      </c>
      <c r="BG181" s="9">
        <f t="shared" si="5"/>
        <v>0.11666666666666665</v>
      </c>
      <c r="BH181" s="9">
        <f t="shared" si="4"/>
        <v>0.151468253968254</v>
      </c>
      <c r="BQ181" s="8">
        <v>7</v>
      </c>
      <c r="BR181" s="8" t="s">
        <v>423</v>
      </c>
    </row>
    <row r="182" spans="1:70" x14ac:dyDescent="0.3">
      <c r="A182" s="11" t="s">
        <v>424</v>
      </c>
      <c r="B182" s="12">
        <v>178800</v>
      </c>
      <c r="C182" s="12">
        <v>649000</v>
      </c>
      <c r="D182" s="12">
        <v>0.06</v>
      </c>
      <c r="E182" s="12">
        <v>0.14000000000000001</v>
      </c>
      <c r="F182" s="12">
        <v>0.04</v>
      </c>
      <c r="G182" s="12">
        <v>7.0000000000000007E-2</v>
      </c>
      <c r="H182" s="12">
        <v>0.17</v>
      </c>
      <c r="I182" s="12">
        <v>0.05</v>
      </c>
      <c r="J182" s="12">
        <v>0.09</v>
      </c>
      <c r="K182" s="12">
        <v>0.22</v>
      </c>
      <c r="L182" s="12">
        <v>7.0000000000000007E-2</v>
      </c>
      <c r="M182" s="8">
        <v>8</v>
      </c>
      <c r="N182">
        <v>10</v>
      </c>
      <c r="O182" s="12">
        <v>12</v>
      </c>
      <c r="BF182" s="9">
        <v>1.81</v>
      </c>
      <c r="BG182" s="9">
        <f t="shared" si="5"/>
        <v>0.11602209944751381</v>
      </c>
      <c r="BH182" s="9">
        <f t="shared" si="4"/>
        <v>0.15063141278610895</v>
      </c>
      <c r="BQ182" s="8">
        <v>8</v>
      </c>
      <c r="BR182" s="8" t="s">
        <v>425</v>
      </c>
    </row>
    <row r="183" spans="1:70" x14ac:dyDescent="0.3">
      <c r="A183" s="11" t="s">
        <v>426</v>
      </c>
      <c r="B183" s="12">
        <v>193200</v>
      </c>
      <c r="C183" s="12">
        <v>715000</v>
      </c>
      <c r="D183" s="12">
        <v>0.08</v>
      </c>
      <c r="E183" s="12">
        <v>0.2</v>
      </c>
      <c r="F183" s="12">
        <v>0.05</v>
      </c>
      <c r="G183" s="12">
        <v>0.1</v>
      </c>
      <c r="H183" s="12">
        <v>0.26</v>
      </c>
      <c r="I183" s="12">
        <v>7.0000000000000007E-2</v>
      </c>
      <c r="J183" s="12">
        <v>0.14000000000000001</v>
      </c>
      <c r="K183" s="12">
        <v>0.35</v>
      </c>
      <c r="L183" s="12">
        <v>0.09</v>
      </c>
      <c r="M183" s="8">
        <v>7</v>
      </c>
      <c r="N183">
        <v>9</v>
      </c>
      <c r="O183" s="12">
        <v>11</v>
      </c>
      <c r="BF183" s="9">
        <v>1.82</v>
      </c>
      <c r="BG183" s="9">
        <f t="shared" si="5"/>
        <v>0.11538461538461538</v>
      </c>
      <c r="BH183" s="9">
        <f t="shared" si="4"/>
        <v>0.14980376766091053</v>
      </c>
      <c r="BQ183" s="8">
        <v>8</v>
      </c>
      <c r="BR183" s="8" t="s">
        <v>427</v>
      </c>
    </row>
    <row r="184" spans="1:70" x14ac:dyDescent="0.3">
      <c r="A184" s="11" t="s">
        <v>428</v>
      </c>
      <c r="B184" s="12">
        <v>192300</v>
      </c>
      <c r="C184" s="12">
        <v>644000</v>
      </c>
      <c r="D184" s="12">
        <v>0.06</v>
      </c>
      <c r="E184" s="12">
        <v>0.15</v>
      </c>
      <c r="F184" s="12">
        <v>0.04</v>
      </c>
      <c r="G184" s="12">
        <v>0.08</v>
      </c>
      <c r="H184" s="12">
        <v>0.19</v>
      </c>
      <c r="I184" s="12">
        <v>0.06</v>
      </c>
      <c r="J184" s="12">
        <v>0.1</v>
      </c>
      <c r="K184" s="12">
        <v>0.25</v>
      </c>
      <c r="L184" s="12">
        <v>0.08</v>
      </c>
      <c r="M184" s="8">
        <v>8</v>
      </c>
      <c r="N184">
        <v>10</v>
      </c>
      <c r="O184" s="12">
        <v>12</v>
      </c>
      <c r="BF184" s="9">
        <v>1.83</v>
      </c>
      <c r="BG184" s="9">
        <f t="shared" si="5"/>
        <v>0.11475409836065573</v>
      </c>
      <c r="BH184" s="9">
        <f t="shared" si="4"/>
        <v>0.14898516783762686</v>
      </c>
      <c r="BQ184" s="8">
        <v>5</v>
      </c>
      <c r="BR184" s="8" t="s">
        <v>429</v>
      </c>
    </row>
    <row r="185" spans="1:70" x14ac:dyDescent="0.3">
      <c r="A185" s="11" t="s">
        <v>430</v>
      </c>
      <c r="B185" s="12">
        <v>187100</v>
      </c>
      <c r="C185" s="12">
        <v>684800</v>
      </c>
      <c r="D185" s="12">
        <v>0.06</v>
      </c>
      <c r="E185" s="12">
        <v>0.16</v>
      </c>
      <c r="F185" s="12">
        <v>0.04</v>
      </c>
      <c r="G185" s="12">
        <v>0.08</v>
      </c>
      <c r="H185" s="12">
        <v>0.2</v>
      </c>
      <c r="I185" s="12">
        <v>0.06</v>
      </c>
      <c r="J185" s="12">
        <v>0.1</v>
      </c>
      <c r="K185" s="12">
        <v>0.26</v>
      </c>
      <c r="L185" s="12">
        <v>0.08</v>
      </c>
      <c r="M185" s="8">
        <v>8</v>
      </c>
      <c r="N185">
        <v>10</v>
      </c>
      <c r="O185" s="12">
        <v>12</v>
      </c>
      <c r="BF185" s="9">
        <v>1.84</v>
      </c>
      <c r="BG185" s="9">
        <f t="shared" si="5"/>
        <v>0.11413043478260869</v>
      </c>
      <c r="BH185" s="9">
        <f t="shared" si="4"/>
        <v>0.14817546583850932</v>
      </c>
      <c r="BQ185" s="8">
        <v>8</v>
      </c>
      <c r="BR185" s="8" t="s">
        <v>431</v>
      </c>
    </row>
    <row r="186" spans="1:70" x14ac:dyDescent="0.3">
      <c r="A186" s="11" t="s">
        <v>432</v>
      </c>
      <c r="B186" s="12">
        <v>252100</v>
      </c>
      <c r="C186" s="12">
        <v>718300</v>
      </c>
      <c r="D186" s="12">
        <v>0.25</v>
      </c>
      <c r="E186" s="12">
        <v>0.61</v>
      </c>
      <c r="F186" s="12">
        <v>0.11</v>
      </c>
      <c r="G186" s="12">
        <v>0.33</v>
      </c>
      <c r="H186" s="12">
        <v>0.82</v>
      </c>
      <c r="I186" s="12">
        <v>0.16</v>
      </c>
      <c r="J186" s="12">
        <v>0.44</v>
      </c>
      <c r="K186" s="12">
        <v>1.1299999999999999</v>
      </c>
      <c r="L186" s="12">
        <v>0.23</v>
      </c>
      <c r="M186" s="8">
        <v>5</v>
      </c>
      <c r="N186">
        <v>5</v>
      </c>
      <c r="O186" s="12">
        <v>6</v>
      </c>
      <c r="BF186" s="9">
        <v>1.85</v>
      </c>
      <c r="BG186" s="9">
        <f t="shared" si="5"/>
        <v>0.11351351351351351</v>
      </c>
      <c r="BH186" s="9">
        <f t="shared" si="4"/>
        <v>0.1473745173745174</v>
      </c>
      <c r="BQ186" s="8">
        <v>8</v>
      </c>
      <c r="BR186" s="8" t="s">
        <v>433</v>
      </c>
    </row>
    <row r="187" spans="1:70" x14ac:dyDescent="0.3">
      <c r="A187" s="11" t="s">
        <v>434</v>
      </c>
      <c r="B187" s="12">
        <v>187200</v>
      </c>
      <c r="C187" s="12">
        <v>698500</v>
      </c>
      <c r="D187" s="12">
        <v>7.0000000000000007E-2</v>
      </c>
      <c r="E187" s="12">
        <v>0.17</v>
      </c>
      <c r="F187" s="12">
        <v>0.05</v>
      </c>
      <c r="G187" s="12">
        <v>0.09</v>
      </c>
      <c r="H187" s="12">
        <v>0.21</v>
      </c>
      <c r="I187" s="12">
        <v>0.06</v>
      </c>
      <c r="J187" s="12">
        <v>0.11</v>
      </c>
      <c r="K187" s="12">
        <v>0.28999999999999998</v>
      </c>
      <c r="L187" s="12">
        <v>0.08</v>
      </c>
      <c r="M187" s="8">
        <v>8</v>
      </c>
      <c r="N187">
        <v>9</v>
      </c>
      <c r="O187" s="12">
        <v>12</v>
      </c>
      <c r="BF187" s="9">
        <v>1.86</v>
      </c>
      <c r="BG187" s="9">
        <f t="shared" si="5"/>
        <v>0.1129032258064516</v>
      </c>
      <c r="BH187" s="9">
        <f t="shared" si="4"/>
        <v>0.14658218125960062</v>
      </c>
      <c r="BQ187" s="8">
        <v>6</v>
      </c>
      <c r="BR187" s="8" t="s">
        <v>435</v>
      </c>
    </row>
    <row r="188" spans="1:70" x14ac:dyDescent="0.3">
      <c r="A188" s="11" t="s">
        <v>436</v>
      </c>
      <c r="B188" s="12">
        <v>189600</v>
      </c>
      <c r="C188" s="12">
        <v>692700</v>
      </c>
      <c r="D188" s="12">
        <v>7.0000000000000007E-2</v>
      </c>
      <c r="E188" s="12">
        <v>0.16</v>
      </c>
      <c r="F188" s="12">
        <v>0.05</v>
      </c>
      <c r="G188" s="12">
        <v>0.08</v>
      </c>
      <c r="H188" s="12">
        <v>0.21</v>
      </c>
      <c r="I188" s="12">
        <v>0.06</v>
      </c>
      <c r="J188" s="12">
        <v>0.11</v>
      </c>
      <c r="K188" s="12">
        <v>0.28000000000000003</v>
      </c>
      <c r="L188" s="12">
        <v>0.08</v>
      </c>
      <c r="M188" s="8">
        <v>8</v>
      </c>
      <c r="N188">
        <v>9</v>
      </c>
      <c r="O188" s="12">
        <v>12</v>
      </c>
      <c r="BF188" s="9">
        <v>1.87</v>
      </c>
      <c r="BG188" s="9">
        <f t="shared" si="5"/>
        <v>0.1122994652406417</v>
      </c>
      <c r="BH188" s="9">
        <f t="shared" si="4"/>
        <v>0.1457983193277311</v>
      </c>
      <c r="BQ188" s="8">
        <v>7</v>
      </c>
      <c r="BR188" s="8" t="s">
        <v>437</v>
      </c>
    </row>
    <row r="189" spans="1:70" x14ac:dyDescent="0.3">
      <c r="A189" s="11" t="s">
        <v>438</v>
      </c>
      <c r="B189" s="12">
        <v>218200</v>
      </c>
      <c r="C189" s="12">
        <v>737900</v>
      </c>
      <c r="D189" s="12">
        <v>0.14000000000000001</v>
      </c>
      <c r="E189" s="12">
        <v>0.36</v>
      </c>
      <c r="F189" s="12">
        <v>7.0000000000000007E-2</v>
      </c>
      <c r="G189" s="12">
        <v>0.19</v>
      </c>
      <c r="H189" s="12">
        <v>0.48</v>
      </c>
      <c r="I189" s="12">
        <v>0.1</v>
      </c>
      <c r="J189" s="12">
        <v>0.28000000000000003</v>
      </c>
      <c r="K189" s="12">
        <v>0.69</v>
      </c>
      <c r="L189" s="12">
        <v>0.14000000000000001</v>
      </c>
      <c r="M189" s="8">
        <v>6</v>
      </c>
      <c r="N189">
        <v>7</v>
      </c>
      <c r="O189" s="12">
        <v>8</v>
      </c>
      <c r="BF189" s="9">
        <v>1.88</v>
      </c>
      <c r="BG189" s="9">
        <f t="shared" si="5"/>
        <v>0.11170212765957448</v>
      </c>
      <c r="BH189" s="9">
        <f t="shared" si="4"/>
        <v>0.14502279635258361</v>
      </c>
      <c r="BQ189" s="8">
        <v>8</v>
      </c>
      <c r="BR189" s="8" t="s">
        <v>439</v>
      </c>
    </row>
    <row r="190" spans="1:70" x14ac:dyDescent="0.3">
      <c r="A190" s="11" t="s">
        <v>440</v>
      </c>
      <c r="B190" s="12">
        <v>203600</v>
      </c>
      <c r="C190" s="12">
        <v>633500</v>
      </c>
      <c r="D190" s="12">
        <v>7.0000000000000007E-2</v>
      </c>
      <c r="E190" s="12">
        <v>0.18</v>
      </c>
      <c r="F190" s="12">
        <v>0.05</v>
      </c>
      <c r="G190" s="12">
        <v>0.09</v>
      </c>
      <c r="H190" s="12">
        <v>0.22</v>
      </c>
      <c r="I190" s="12">
        <v>0.06</v>
      </c>
      <c r="J190" s="12">
        <v>0.11</v>
      </c>
      <c r="K190" s="12">
        <v>0.28999999999999998</v>
      </c>
      <c r="L190" s="12">
        <v>0.08</v>
      </c>
      <c r="M190" s="8">
        <v>7</v>
      </c>
      <c r="N190">
        <v>9</v>
      </c>
      <c r="O190" s="12">
        <v>11</v>
      </c>
      <c r="BF190" s="9">
        <v>1.89</v>
      </c>
      <c r="BG190" s="9">
        <f t="shared" si="5"/>
        <v>0.11111111111111112</v>
      </c>
      <c r="BH190" s="9">
        <f t="shared" si="4"/>
        <v>0.1442554799697657</v>
      </c>
      <c r="BQ190" s="8">
        <v>8</v>
      </c>
      <c r="BR190" s="8" t="s">
        <v>441</v>
      </c>
    </row>
    <row r="191" spans="1:70" x14ac:dyDescent="0.3">
      <c r="A191" s="11" t="s">
        <v>442</v>
      </c>
      <c r="B191" s="12">
        <v>195900</v>
      </c>
      <c r="C191" s="12">
        <v>653700</v>
      </c>
      <c r="D191" s="12">
        <v>7.0000000000000007E-2</v>
      </c>
      <c r="E191" s="12">
        <v>0.16</v>
      </c>
      <c r="F191" s="12">
        <v>0.04</v>
      </c>
      <c r="G191" s="12">
        <v>0.08</v>
      </c>
      <c r="H191" s="12">
        <v>0.2</v>
      </c>
      <c r="I191" s="12">
        <v>0.06</v>
      </c>
      <c r="J191" s="12">
        <v>0.1</v>
      </c>
      <c r="K191" s="12">
        <v>0.26</v>
      </c>
      <c r="L191" s="12">
        <v>0.08</v>
      </c>
      <c r="M191" s="8">
        <v>8</v>
      </c>
      <c r="N191">
        <v>9</v>
      </c>
      <c r="O191" s="12">
        <v>12</v>
      </c>
      <c r="BF191" s="9">
        <v>1.9</v>
      </c>
      <c r="BG191" s="9">
        <f t="shared" si="5"/>
        <v>0.11052631578947368</v>
      </c>
      <c r="BH191" s="9">
        <f t="shared" si="4"/>
        <v>0.14349624060150379</v>
      </c>
      <c r="BQ191" s="8">
        <v>7</v>
      </c>
      <c r="BR191" s="8" t="s">
        <v>443</v>
      </c>
    </row>
    <row r="192" spans="1:70" x14ac:dyDescent="0.3">
      <c r="A192" s="11" t="s">
        <v>444</v>
      </c>
      <c r="B192" s="12">
        <v>188200</v>
      </c>
      <c r="C192" s="12">
        <v>617200</v>
      </c>
      <c r="D192" s="12">
        <v>7.0000000000000007E-2</v>
      </c>
      <c r="E192" s="12">
        <v>0.17</v>
      </c>
      <c r="F192" s="12">
        <v>0.04</v>
      </c>
      <c r="G192" s="12">
        <v>0.09</v>
      </c>
      <c r="H192" s="12">
        <v>0.22</v>
      </c>
      <c r="I192" s="12">
        <v>0.05</v>
      </c>
      <c r="J192" s="12">
        <v>0.12</v>
      </c>
      <c r="K192" s="12">
        <v>0.3</v>
      </c>
      <c r="L192" s="12">
        <v>7.0000000000000007E-2</v>
      </c>
      <c r="M192" s="8">
        <v>8</v>
      </c>
      <c r="N192">
        <v>9</v>
      </c>
      <c r="O192" s="12">
        <v>12</v>
      </c>
      <c r="BF192" s="9">
        <v>1.91</v>
      </c>
      <c r="BG192" s="9">
        <f t="shared" si="5"/>
        <v>0.1099476439790576</v>
      </c>
      <c r="BH192" s="9">
        <f t="shared" si="4"/>
        <v>0.14274495138369486</v>
      </c>
      <c r="BQ192" s="8">
        <v>8</v>
      </c>
      <c r="BR192" s="8" t="s">
        <v>445</v>
      </c>
    </row>
    <row r="193" spans="1:70" x14ac:dyDescent="0.3">
      <c r="A193" s="11" t="s">
        <v>446</v>
      </c>
      <c r="B193" s="12">
        <v>212000</v>
      </c>
      <c r="C193" s="12">
        <v>634500</v>
      </c>
      <c r="D193" s="12">
        <v>0.08</v>
      </c>
      <c r="E193" s="12">
        <v>0.21</v>
      </c>
      <c r="F193" s="12">
        <v>0.05</v>
      </c>
      <c r="G193" s="12">
        <v>0.1</v>
      </c>
      <c r="H193" s="12">
        <v>0.26</v>
      </c>
      <c r="I193" s="12">
        <v>7.0000000000000007E-2</v>
      </c>
      <c r="J193" s="12">
        <v>0.13</v>
      </c>
      <c r="K193" s="12">
        <v>0.34</v>
      </c>
      <c r="L193" s="12">
        <v>0.09</v>
      </c>
      <c r="M193" s="8">
        <v>7</v>
      </c>
      <c r="N193">
        <v>9</v>
      </c>
      <c r="O193" s="12">
        <v>10</v>
      </c>
      <c r="BF193" s="9">
        <v>1.92</v>
      </c>
      <c r="BG193" s="9">
        <f t="shared" si="5"/>
        <v>0.109375</v>
      </c>
      <c r="BH193" s="9">
        <f t="shared" si="4"/>
        <v>0.14200148809523813</v>
      </c>
      <c r="BQ193" s="8">
        <v>8</v>
      </c>
      <c r="BR193" s="8" t="s">
        <v>447</v>
      </c>
    </row>
    <row r="194" spans="1:70" x14ac:dyDescent="0.3">
      <c r="A194" s="11" t="s">
        <v>448</v>
      </c>
      <c r="B194" s="12">
        <v>178500</v>
      </c>
      <c r="C194" s="12">
        <v>647600</v>
      </c>
      <c r="D194" s="12">
        <v>0.06</v>
      </c>
      <c r="E194" s="12">
        <v>0.14000000000000001</v>
      </c>
      <c r="F194" s="12">
        <v>0.04</v>
      </c>
      <c r="G194" s="12">
        <v>7.0000000000000007E-2</v>
      </c>
      <c r="H194" s="12">
        <v>0.17</v>
      </c>
      <c r="I194" s="12">
        <v>0.05</v>
      </c>
      <c r="J194" s="12">
        <v>0.09</v>
      </c>
      <c r="K194" s="12">
        <v>0.23</v>
      </c>
      <c r="L194" s="12">
        <v>7.0000000000000007E-2</v>
      </c>
      <c r="M194" s="8">
        <v>8</v>
      </c>
      <c r="N194">
        <v>10</v>
      </c>
      <c r="O194" s="12">
        <v>12</v>
      </c>
      <c r="BF194" s="9">
        <v>1.93</v>
      </c>
      <c r="BG194" s="9">
        <f t="shared" si="5"/>
        <v>0.10880829015544041</v>
      </c>
      <c r="BH194" s="9">
        <f t="shared" ref="BH194:BH257" si="6">IFERROR(IF($BF194&lt;AZ$33,AZ$32*(AZ$30/AZ$29+(1-AZ$30/AZ$29)*$BF194/AZ$33),IF($BF194&lt;AZ$34,AZ$32,IF($BF194&lt;AZ$35,AZ$31/$BF194,AZ$31*AZ$35/($BF194^2))))*$BC$29,"")</f>
        <v>0.14126572908956331</v>
      </c>
      <c r="BQ194" s="8">
        <v>8</v>
      </c>
      <c r="BR194" s="8" t="s">
        <v>449</v>
      </c>
    </row>
    <row r="195" spans="1:70" x14ac:dyDescent="0.3">
      <c r="A195" s="11" t="s">
        <v>450</v>
      </c>
      <c r="B195" s="12">
        <v>191200</v>
      </c>
      <c r="C195" s="12">
        <v>641900</v>
      </c>
      <c r="D195" s="12">
        <v>0.06</v>
      </c>
      <c r="E195" s="12">
        <v>0.15</v>
      </c>
      <c r="F195" s="12">
        <v>0.04</v>
      </c>
      <c r="G195" s="12">
        <v>0.08</v>
      </c>
      <c r="H195" s="12">
        <v>0.19</v>
      </c>
      <c r="I195" s="12">
        <v>0.06</v>
      </c>
      <c r="J195" s="12">
        <v>0.1</v>
      </c>
      <c r="K195" s="12">
        <v>0.24</v>
      </c>
      <c r="L195" s="12">
        <v>7.0000000000000007E-2</v>
      </c>
      <c r="M195" s="8">
        <v>8</v>
      </c>
      <c r="N195">
        <v>10</v>
      </c>
      <c r="O195" s="12">
        <v>12</v>
      </c>
      <c r="BF195" s="9">
        <v>1.94</v>
      </c>
      <c r="BG195" s="9">
        <f t="shared" ref="BG195:BG258" si="7">IF(BF195&lt;AY$33,AY$32*(AY$30/AY$29+(1-AY$30/AY$29)*BF195/AY$33),IF(BF195&lt;AY$34,AY$32,IF(BF195&lt;AY$35,AY$31/BF195,AY$31*AY$35/(BF195^2))))*$BC$29</f>
        <v>0.10824742268041238</v>
      </c>
      <c r="BH195" s="9">
        <f t="shared" si="6"/>
        <v>0.14053755522827691</v>
      </c>
      <c r="BQ195" s="8">
        <v>8</v>
      </c>
      <c r="BR195" s="8" t="s">
        <v>451</v>
      </c>
    </row>
    <row r="196" spans="1:70" x14ac:dyDescent="0.3">
      <c r="A196" s="11" t="s">
        <v>452</v>
      </c>
      <c r="B196" s="12">
        <v>167600</v>
      </c>
      <c r="C196" s="12">
        <v>627300</v>
      </c>
      <c r="D196" s="12">
        <v>7.0000000000000007E-2</v>
      </c>
      <c r="E196" s="12">
        <v>0.16</v>
      </c>
      <c r="F196" s="12">
        <v>0.04</v>
      </c>
      <c r="G196" s="12">
        <v>0.09</v>
      </c>
      <c r="H196" s="12">
        <v>0.21</v>
      </c>
      <c r="I196" s="12">
        <v>0.05</v>
      </c>
      <c r="J196" s="12">
        <v>0.12</v>
      </c>
      <c r="K196" s="12">
        <v>0.3</v>
      </c>
      <c r="L196" s="12">
        <v>7.0000000000000007E-2</v>
      </c>
      <c r="M196" s="8">
        <v>8</v>
      </c>
      <c r="N196">
        <v>10</v>
      </c>
      <c r="O196" s="12">
        <v>12</v>
      </c>
      <c r="BF196" s="9">
        <v>1.95</v>
      </c>
      <c r="BG196" s="9">
        <f t="shared" si="7"/>
        <v>0.10769230769230768</v>
      </c>
      <c r="BH196" s="9">
        <f t="shared" si="6"/>
        <v>0.13981684981684983</v>
      </c>
      <c r="BQ196" s="8">
        <v>7</v>
      </c>
      <c r="BR196" s="8" t="s">
        <v>453</v>
      </c>
    </row>
    <row r="197" spans="1:70" x14ac:dyDescent="0.3">
      <c r="A197" s="11" t="s">
        <v>454</v>
      </c>
      <c r="B197" s="12">
        <v>193900</v>
      </c>
      <c r="C197" s="12">
        <v>655700</v>
      </c>
      <c r="D197" s="12">
        <v>0.06</v>
      </c>
      <c r="E197" s="12">
        <v>0.16</v>
      </c>
      <c r="F197" s="12">
        <v>0.04</v>
      </c>
      <c r="G197" s="12">
        <v>0.08</v>
      </c>
      <c r="H197" s="12">
        <v>0.19</v>
      </c>
      <c r="I197" s="12">
        <v>0.06</v>
      </c>
      <c r="J197" s="12">
        <v>0.1</v>
      </c>
      <c r="K197" s="12">
        <v>0.25</v>
      </c>
      <c r="L197" s="12">
        <v>0.08</v>
      </c>
      <c r="M197" s="8">
        <v>8</v>
      </c>
      <c r="N197">
        <v>9</v>
      </c>
      <c r="O197" s="12">
        <v>12</v>
      </c>
      <c r="BF197" s="9">
        <v>1.96</v>
      </c>
      <c r="BG197" s="9">
        <f t="shared" si="7"/>
        <v>0.10714285714285714</v>
      </c>
      <c r="BH197" s="9">
        <f t="shared" si="6"/>
        <v>0.13910349854227408</v>
      </c>
      <c r="BQ197" s="8">
        <v>8</v>
      </c>
      <c r="BR197" s="8" t="s">
        <v>455</v>
      </c>
    </row>
    <row r="198" spans="1:70" x14ac:dyDescent="0.3">
      <c r="A198" s="11" t="s">
        <v>456</v>
      </c>
      <c r="B198" s="12">
        <v>197400</v>
      </c>
      <c r="C198" s="12">
        <v>736100</v>
      </c>
      <c r="D198" s="12">
        <v>0.11</v>
      </c>
      <c r="E198" s="12">
        <v>0.28000000000000003</v>
      </c>
      <c r="F198" s="12">
        <v>0.06</v>
      </c>
      <c r="G198" s="12">
        <v>0.16</v>
      </c>
      <c r="H198" s="12">
        <v>0.39</v>
      </c>
      <c r="I198" s="12">
        <v>0.08</v>
      </c>
      <c r="J198" s="12">
        <v>0.23</v>
      </c>
      <c r="K198" s="12">
        <v>0.56999999999999995</v>
      </c>
      <c r="L198" s="12">
        <v>0.11</v>
      </c>
      <c r="M198" s="8">
        <v>7</v>
      </c>
      <c r="N198">
        <v>8</v>
      </c>
      <c r="O198" s="12">
        <v>9</v>
      </c>
      <c r="BF198" s="9">
        <v>1.97</v>
      </c>
      <c r="BG198" s="9">
        <f t="shared" si="7"/>
        <v>0.1065989847715736</v>
      </c>
      <c r="BH198" s="9">
        <f t="shared" si="6"/>
        <v>0.13839738941261787</v>
      </c>
      <c r="BQ198" s="8">
        <v>6</v>
      </c>
      <c r="BR198" s="8" t="s">
        <v>457</v>
      </c>
    </row>
    <row r="199" spans="1:70" x14ac:dyDescent="0.3">
      <c r="A199" s="11" t="s">
        <v>458</v>
      </c>
      <c r="B199" s="12">
        <v>177400</v>
      </c>
      <c r="C199" s="12">
        <v>595100</v>
      </c>
      <c r="D199" s="12">
        <v>7.0000000000000007E-2</v>
      </c>
      <c r="E199" s="12">
        <v>0.16</v>
      </c>
      <c r="F199" s="12">
        <v>0.04</v>
      </c>
      <c r="G199" s="12">
        <v>0.08</v>
      </c>
      <c r="H199" s="12">
        <v>0.21</v>
      </c>
      <c r="I199" s="12">
        <v>0.05</v>
      </c>
      <c r="J199" s="12">
        <v>0.12</v>
      </c>
      <c r="K199" s="12">
        <v>0.28999999999999998</v>
      </c>
      <c r="L199" s="12">
        <v>7.0000000000000007E-2</v>
      </c>
      <c r="M199" s="8">
        <v>8</v>
      </c>
      <c r="N199">
        <v>10</v>
      </c>
      <c r="O199" s="12">
        <v>12</v>
      </c>
      <c r="BF199" s="9">
        <v>1.98</v>
      </c>
      <c r="BG199" s="9">
        <f t="shared" si="7"/>
        <v>0.10606060606060606</v>
      </c>
      <c r="BH199" s="9">
        <f t="shared" si="6"/>
        <v>0.13769841269841271</v>
      </c>
      <c r="BQ199" s="8">
        <v>8</v>
      </c>
      <c r="BR199" s="8" t="s">
        <v>459</v>
      </c>
    </row>
    <row r="200" spans="1:70" x14ac:dyDescent="0.3">
      <c r="A200" s="11" t="s">
        <v>460</v>
      </c>
      <c r="B200" s="12">
        <v>237400</v>
      </c>
      <c r="C200" s="12">
        <v>736000</v>
      </c>
      <c r="D200" s="12">
        <v>0.17</v>
      </c>
      <c r="E200" s="12">
        <v>0.42</v>
      </c>
      <c r="F200" s="12">
        <v>0.08</v>
      </c>
      <c r="G200" s="12">
        <v>0.21</v>
      </c>
      <c r="H200" s="12">
        <v>0.54</v>
      </c>
      <c r="I200" s="12">
        <v>0.11</v>
      </c>
      <c r="J200" s="12">
        <v>0.27</v>
      </c>
      <c r="K200" s="12">
        <v>0.72</v>
      </c>
      <c r="L200" s="12">
        <v>0.15</v>
      </c>
      <c r="M200" s="8">
        <v>6</v>
      </c>
      <c r="N200">
        <v>7</v>
      </c>
      <c r="O200" s="12">
        <v>8</v>
      </c>
      <c r="BF200" s="9">
        <v>1.99</v>
      </c>
      <c r="BG200" s="9">
        <f t="shared" si="7"/>
        <v>0.10552763819095477</v>
      </c>
      <c r="BH200" s="9">
        <f t="shared" si="6"/>
        <v>0.13700646087580765</v>
      </c>
      <c r="BQ200" s="8">
        <v>6</v>
      </c>
      <c r="BR200" s="8" t="s">
        <v>461</v>
      </c>
    </row>
    <row r="201" spans="1:70" x14ac:dyDescent="0.3">
      <c r="A201" s="11" t="s">
        <v>462</v>
      </c>
      <c r="B201" s="12">
        <v>174500</v>
      </c>
      <c r="C201" s="12">
        <v>636200</v>
      </c>
      <c r="D201" s="12">
        <v>0.06</v>
      </c>
      <c r="E201" s="12">
        <v>0.15</v>
      </c>
      <c r="F201" s="12">
        <v>0.04</v>
      </c>
      <c r="G201" s="12">
        <v>0.08</v>
      </c>
      <c r="H201" s="12">
        <v>0.19</v>
      </c>
      <c r="I201" s="12">
        <v>0.05</v>
      </c>
      <c r="J201" s="12">
        <v>0.1</v>
      </c>
      <c r="K201" s="12">
        <v>0.26</v>
      </c>
      <c r="L201" s="12">
        <v>7.0000000000000007E-2</v>
      </c>
      <c r="M201" s="8">
        <v>8</v>
      </c>
      <c r="N201">
        <v>10</v>
      </c>
      <c r="O201" s="12">
        <v>12</v>
      </c>
      <c r="BF201" s="9">
        <v>2</v>
      </c>
      <c r="BG201" s="9">
        <f t="shared" si="7"/>
        <v>0.105</v>
      </c>
      <c r="BH201" s="9">
        <f t="shared" si="6"/>
        <v>0.13632142857142859</v>
      </c>
      <c r="BQ201" s="8">
        <v>5</v>
      </c>
      <c r="BR201" s="8" t="s">
        <v>463</v>
      </c>
    </row>
    <row r="202" spans="1:70" x14ac:dyDescent="0.3">
      <c r="A202" s="11" t="s">
        <v>464</v>
      </c>
      <c r="B202" s="12">
        <v>231200</v>
      </c>
      <c r="C202" s="12">
        <v>742900</v>
      </c>
      <c r="D202" s="12">
        <v>0.15</v>
      </c>
      <c r="E202" s="12">
        <v>0.38</v>
      </c>
      <c r="F202" s="12">
        <v>7.0000000000000007E-2</v>
      </c>
      <c r="G202" s="12">
        <v>0.19</v>
      </c>
      <c r="H202" s="12">
        <v>0.48</v>
      </c>
      <c r="I202" s="12">
        <v>0.1</v>
      </c>
      <c r="J202" s="12">
        <v>0.24</v>
      </c>
      <c r="K202" s="12">
        <v>0.63</v>
      </c>
      <c r="L202" s="12">
        <v>0.13</v>
      </c>
      <c r="M202" s="8">
        <v>6</v>
      </c>
      <c r="N202">
        <v>7</v>
      </c>
      <c r="O202" s="12">
        <v>9</v>
      </c>
      <c r="BF202" s="9">
        <v>2.0099999999999998</v>
      </c>
      <c r="BG202" s="9">
        <f t="shared" si="7"/>
        <v>0.10447761194029852</v>
      </c>
      <c r="BH202" s="9">
        <f t="shared" si="6"/>
        <v>0.1356432125088842</v>
      </c>
      <c r="BQ202" s="8">
        <v>8</v>
      </c>
      <c r="BR202" s="8" t="s">
        <v>465</v>
      </c>
    </row>
    <row r="203" spans="1:70" x14ac:dyDescent="0.3">
      <c r="A203" s="11" t="s">
        <v>466</v>
      </c>
      <c r="B203" s="12">
        <v>247600</v>
      </c>
      <c r="C203" s="12">
        <v>711600</v>
      </c>
      <c r="D203" s="12">
        <v>0.23</v>
      </c>
      <c r="E203" s="12">
        <v>0.57999999999999996</v>
      </c>
      <c r="F203" s="12">
        <v>0.11</v>
      </c>
      <c r="G203" s="12">
        <v>0.3</v>
      </c>
      <c r="H203" s="12">
        <v>0.77</v>
      </c>
      <c r="I203" s="12">
        <v>0.15</v>
      </c>
      <c r="J203" s="12">
        <v>0.41</v>
      </c>
      <c r="K203" s="12">
        <v>1.05</v>
      </c>
      <c r="L203" s="12">
        <v>0.22</v>
      </c>
      <c r="M203" s="8">
        <v>5</v>
      </c>
      <c r="N203">
        <v>6</v>
      </c>
      <c r="O203" s="12">
        <v>7</v>
      </c>
      <c r="BF203" s="9">
        <v>2.02</v>
      </c>
      <c r="BG203" s="9">
        <f t="shared" si="7"/>
        <v>0.10396039603960396</v>
      </c>
      <c r="BH203" s="9">
        <f t="shared" si="6"/>
        <v>0.13497171145685999</v>
      </c>
      <c r="BQ203" s="8">
        <v>6</v>
      </c>
      <c r="BR203" s="8" t="s">
        <v>467</v>
      </c>
    </row>
    <row r="204" spans="1:70" x14ac:dyDescent="0.3">
      <c r="A204" s="11" t="s">
        <v>468</v>
      </c>
      <c r="B204" s="12">
        <v>198800</v>
      </c>
      <c r="C204" s="12">
        <v>628600</v>
      </c>
      <c r="D204" s="12">
        <v>7.0000000000000007E-2</v>
      </c>
      <c r="E204" s="12">
        <v>0.17</v>
      </c>
      <c r="F204" s="12">
        <v>0.04</v>
      </c>
      <c r="G204" s="12">
        <v>0.08</v>
      </c>
      <c r="H204" s="12">
        <v>0.21</v>
      </c>
      <c r="I204" s="12">
        <v>0.06</v>
      </c>
      <c r="J204" s="12">
        <v>0.11</v>
      </c>
      <c r="K204" s="12">
        <v>0.27</v>
      </c>
      <c r="L204" s="12">
        <v>0.08</v>
      </c>
      <c r="M204" s="8">
        <v>8</v>
      </c>
      <c r="N204">
        <v>9</v>
      </c>
      <c r="O204" s="12">
        <v>11</v>
      </c>
      <c r="BF204" s="9">
        <v>2.0299999999999998</v>
      </c>
      <c r="BG204" s="9">
        <f t="shared" si="7"/>
        <v>0.10344827586206898</v>
      </c>
      <c r="BH204" s="9">
        <f t="shared" si="6"/>
        <v>0.1343068261787474</v>
      </c>
      <c r="BQ204" s="8">
        <v>8</v>
      </c>
      <c r="BR204" s="8" t="s">
        <v>469</v>
      </c>
    </row>
    <row r="205" spans="1:70" x14ac:dyDescent="0.3">
      <c r="A205" s="11" t="s">
        <v>470</v>
      </c>
      <c r="B205" s="12">
        <v>217100</v>
      </c>
      <c r="C205" s="12">
        <v>733600</v>
      </c>
      <c r="D205" s="12">
        <v>0.14000000000000001</v>
      </c>
      <c r="E205" s="12">
        <v>0.35</v>
      </c>
      <c r="F205" s="12">
        <v>7.0000000000000007E-2</v>
      </c>
      <c r="G205" s="12">
        <v>0.2</v>
      </c>
      <c r="H205" s="12">
        <v>0.49</v>
      </c>
      <c r="I205" s="12">
        <v>0.1</v>
      </c>
      <c r="J205" s="12">
        <v>0.28000000000000003</v>
      </c>
      <c r="K205" s="12">
        <v>0.71</v>
      </c>
      <c r="L205" s="12">
        <v>0.14000000000000001</v>
      </c>
      <c r="M205" s="8">
        <v>6</v>
      </c>
      <c r="N205">
        <v>7</v>
      </c>
      <c r="O205" s="12">
        <v>8</v>
      </c>
      <c r="BF205" s="9">
        <v>2.04</v>
      </c>
      <c r="BG205" s="9">
        <f t="shared" si="7"/>
        <v>0.10294117647058823</v>
      </c>
      <c r="BH205" s="9">
        <f t="shared" si="6"/>
        <v>0.13364845938375353</v>
      </c>
      <c r="BQ205" s="8">
        <v>8</v>
      </c>
      <c r="BR205" s="8" t="s">
        <v>471</v>
      </c>
    </row>
    <row r="206" spans="1:70" x14ac:dyDescent="0.3">
      <c r="A206" s="11" t="s">
        <v>472</v>
      </c>
      <c r="B206" s="12">
        <v>163300</v>
      </c>
      <c r="C206" s="12">
        <v>616300</v>
      </c>
      <c r="D206" s="12">
        <v>0.06</v>
      </c>
      <c r="E206" s="12">
        <v>0.15</v>
      </c>
      <c r="F206" s="12">
        <v>0.04</v>
      </c>
      <c r="G206" s="12">
        <v>0.08</v>
      </c>
      <c r="H206" s="12">
        <v>0.2</v>
      </c>
      <c r="I206" s="12">
        <v>0.05</v>
      </c>
      <c r="J206" s="12">
        <v>0.12</v>
      </c>
      <c r="K206" s="12">
        <v>0.28999999999999998</v>
      </c>
      <c r="L206" s="12">
        <v>7.0000000000000007E-2</v>
      </c>
      <c r="M206" s="8">
        <v>8</v>
      </c>
      <c r="N206">
        <v>10</v>
      </c>
      <c r="O206" s="12">
        <v>12</v>
      </c>
      <c r="BF206" s="9">
        <v>2.0499999999999998</v>
      </c>
      <c r="BG206" s="9">
        <f t="shared" si="7"/>
        <v>0.10243902439024391</v>
      </c>
      <c r="BH206" s="9">
        <f t="shared" si="6"/>
        <v>0.13299651567944254</v>
      </c>
      <c r="BQ206" s="8">
        <v>7</v>
      </c>
      <c r="BR206" s="8" t="s">
        <v>473</v>
      </c>
    </row>
    <row r="207" spans="1:70" x14ac:dyDescent="0.3">
      <c r="A207" s="11" t="s">
        <v>474</v>
      </c>
      <c r="B207" s="12">
        <v>187900</v>
      </c>
      <c r="C207" s="12">
        <v>696700</v>
      </c>
      <c r="D207" s="12">
        <v>7.0000000000000007E-2</v>
      </c>
      <c r="E207" s="12">
        <v>0.17</v>
      </c>
      <c r="F207" s="12">
        <v>0.05</v>
      </c>
      <c r="G207" s="12">
        <v>0.09</v>
      </c>
      <c r="H207" s="12">
        <v>0.21</v>
      </c>
      <c r="I207" s="12">
        <v>0.06</v>
      </c>
      <c r="J207" s="12">
        <v>0.11</v>
      </c>
      <c r="K207" s="12">
        <v>0.28000000000000003</v>
      </c>
      <c r="L207" s="12">
        <v>0.08</v>
      </c>
      <c r="M207" s="8">
        <v>8</v>
      </c>
      <c r="N207">
        <v>9</v>
      </c>
      <c r="O207" s="12">
        <v>12</v>
      </c>
      <c r="BF207" s="9">
        <v>2.06</v>
      </c>
      <c r="BG207" s="9">
        <f t="shared" si="7"/>
        <v>0.10194174757281553</v>
      </c>
      <c r="BH207" s="9">
        <f t="shared" si="6"/>
        <v>0.13235090152565882</v>
      </c>
      <c r="BQ207" s="8">
        <v>6</v>
      </c>
      <c r="BR207" s="8" t="s">
        <v>475</v>
      </c>
    </row>
    <row r="208" spans="1:70" x14ac:dyDescent="0.3">
      <c r="A208" s="11" t="s">
        <v>476</v>
      </c>
      <c r="B208" s="12">
        <v>211500</v>
      </c>
      <c r="C208" s="12">
        <v>622800</v>
      </c>
      <c r="D208" s="12">
        <v>0.08</v>
      </c>
      <c r="E208" s="12">
        <v>0.2</v>
      </c>
      <c r="F208" s="12">
        <v>0.05</v>
      </c>
      <c r="G208" s="12">
        <v>0.1</v>
      </c>
      <c r="H208" s="12">
        <v>0.26</v>
      </c>
      <c r="I208" s="12">
        <v>7.0000000000000007E-2</v>
      </c>
      <c r="J208" s="12">
        <v>0.13</v>
      </c>
      <c r="K208" s="12">
        <v>0.34</v>
      </c>
      <c r="L208" s="12">
        <v>0.09</v>
      </c>
      <c r="M208" s="8">
        <v>7</v>
      </c>
      <c r="N208">
        <v>9</v>
      </c>
      <c r="O208" s="12">
        <v>10</v>
      </c>
      <c r="BF208" s="9">
        <v>2.0699999999999998</v>
      </c>
      <c r="BG208" s="9">
        <f t="shared" si="7"/>
        <v>0.10144927536231885</v>
      </c>
      <c r="BH208" s="9">
        <f t="shared" si="6"/>
        <v>0.1317115251897861</v>
      </c>
      <c r="BQ208" s="8">
        <v>8</v>
      </c>
      <c r="BR208" s="8" t="s">
        <v>477</v>
      </c>
    </row>
    <row r="209" spans="1:70" x14ac:dyDescent="0.3">
      <c r="A209" s="11" t="s">
        <v>478</v>
      </c>
      <c r="B209" s="12">
        <v>228100</v>
      </c>
      <c r="C209" s="12">
        <v>726200</v>
      </c>
      <c r="D209" s="12">
        <v>0.16</v>
      </c>
      <c r="E209" s="12">
        <v>0.39</v>
      </c>
      <c r="F209" s="12">
        <v>0.08</v>
      </c>
      <c r="G209" s="12">
        <v>0.2</v>
      </c>
      <c r="H209" s="12">
        <v>0.52</v>
      </c>
      <c r="I209" s="12">
        <v>0.1</v>
      </c>
      <c r="J209" s="12">
        <v>0.28000000000000003</v>
      </c>
      <c r="K209" s="12">
        <v>0.72</v>
      </c>
      <c r="L209" s="12">
        <v>0.15</v>
      </c>
      <c r="M209" s="8">
        <v>6</v>
      </c>
      <c r="N209">
        <v>7</v>
      </c>
      <c r="O209" s="12">
        <v>8</v>
      </c>
      <c r="BF209" s="9">
        <v>2.08</v>
      </c>
      <c r="BG209" s="9">
        <f t="shared" si="7"/>
        <v>0.10096153846153845</v>
      </c>
      <c r="BH209" s="9">
        <f t="shared" si="6"/>
        <v>0.13107829670329671</v>
      </c>
      <c r="BQ209" s="8">
        <v>7</v>
      </c>
      <c r="BR209" s="8" t="s">
        <v>479</v>
      </c>
    </row>
    <row r="210" spans="1:70" x14ac:dyDescent="0.3">
      <c r="A210" s="11" t="s">
        <v>480</v>
      </c>
      <c r="B210" s="12">
        <v>174400</v>
      </c>
      <c r="C210" s="12">
        <v>640600</v>
      </c>
      <c r="D210" s="12">
        <v>0.06</v>
      </c>
      <c r="E210" s="12">
        <v>0.14000000000000001</v>
      </c>
      <c r="F210" s="12">
        <v>0.04</v>
      </c>
      <c r="G210" s="12">
        <v>7.0000000000000007E-2</v>
      </c>
      <c r="H210" s="12">
        <v>0.18</v>
      </c>
      <c r="I210" s="12">
        <v>0.05</v>
      </c>
      <c r="J210" s="12">
        <v>0.1</v>
      </c>
      <c r="K210" s="12">
        <v>0.24</v>
      </c>
      <c r="L210" s="12">
        <v>7.0000000000000007E-2</v>
      </c>
      <c r="M210" s="8">
        <v>8</v>
      </c>
      <c r="N210">
        <v>10</v>
      </c>
      <c r="O210" s="12">
        <v>12</v>
      </c>
      <c r="BF210" s="9">
        <v>2.09</v>
      </c>
      <c r="BG210" s="9">
        <f t="shared" si="7"/>
        <v>0.10047846889952153</v>
      </c>
      <c r="BH210" s="9">
        <f t="shared" si="6"/>
        <v>0.1304511278195489</v>
      </c>
      <c r="BQ210" s="8">
        <v>8</v>
      </c>
      <c r="BR210" s="8" t="s">
        <v>481</v>
      </c>
    </row>
    <row r="211" spans="1:70" x14ac:dyDescent="0.3">
      <c r="A211" s="11" t="s">
        <v>482</v>
      </c>
      <c r="B211" s="12">
        <v>211900</v>
      </c>
      <c r="C211" s="12">
        <v>767900</v>
      </c>
      <c r="D211" s="12">
        <v>0.12</v>
      </c>
      <c r="E211" s="12">
        <v>0.3</v>
      </c>
      <c r="F211" s="12">
        <v>0.06</v>
      </c>
      <c r="G211" s="12">
        <v>0.15</v>
      </c>
      <c r="H211" s="12">
        <v>0.39</v>
      </c>
      <c r="I211" s="12">
        <v>0.08</v>
      </c>
      <c r="J211" s="12">
        <v>0.21</v>
      </c>
      <c r="K211" s="12">
        <v>0.54</v>
      </c>
      <c r="L211" s="12">
        <v>0.11</v>
      </c>
      <c r="M211" s="8">
        <v>7</v>
      </c>
      <c r="N211">
        <v>8</v>
      </c>
      <c r="O211" s="12">
        <v>10</v>
      </c>
      <c r="BF211" s="9">
        <v>2.1</v>
      </c>
      <c r="BG211" s="9">
        <f t="shared" si="7"/>
        <v>9.9999999999999992E-2</v>
      </c>
      <c r="BH211" s="9">
        <f t="shared" si="6"/>
        <v>0.12982993197278914</v>
      </c>
      <c r="BQ211" s="8">
        <v>8</v>
      </c>
      <c r="BR211" s="8" t="s">
        <v>483</v>
      </c>
    </row>
    <row r="212" spans="1:70" x14ac:dyDescent="0.3">
      <c r="A212" s="11" t="s">
        <v>484</v>
      </c>
      <c r="B212" s="12">
        <v>193300</v>
      </c>
      <c r="C212" s="12">
        <v>651800</v>
      </c>
      <c r="D212" s="12">
        <v>0.06</v>
      </c>
      <c r="E212" s="12">
        <v>0.15</v>
      </c>
      <c r="F212" s="12">
        <v>0.04</v>
      </c>
      <c r="G212" s="12">
        <v>0.08</v>
      </c>
      <c r="H212" s="12">
        <v>0.19</v>
      </c>
      <c r="I212" s="12">
        <v>0.06</v>
      </c>
      <c r="J212" s="12">
        <v>0.1</v>
      </c>
      <c r="K212" s="12">
        <v>0.25</v>
      </c>
      <c r="L212" s="12">
        <v>0.08</v>
      </c>
      <c r="M212" s="8">
        <v>8</v>
      </c>
      <c r="N212">
        <v>10</v>
      </c>
      <c r="O212" s="12">
        <v>12</v>
      </c>
      <c r="BF212" s="9">
        <v>2.11</v>
      </c>
      <c r="BG212" s="9">
        <f t="shared" si="7"/>
        <v>9.9526066350710901E-2</v>
      </c>
      <c r="BH212" s="9">
        <f t="shared" si="6"/>
        <v>0.12921462423832095</v>
      </c>
      <c r="BQ212" s="8">
        <v>8</v>
      </c>
      <c r="BR212" s="8" t="s">
        <v>485</v>
      </c>
    </row>
    <row r="213" spans="1:70" x14ac:dyDescent="0.3">
      <c r="A213" s="11" t="s">
        <v>486</v>
      </c>
      <c r="B213" s="12">
        <v>192700</v>
      </c>
      <c r="C213" s="12">
        <v>651000</v>
      </c>
      <c r="D213" s="12">
        <v>0.06</v>
      </c>
      <c r="E213" s="12">
        <v>0.15</v>
      </c>
      <c r="F213" s="12">
        <v>0.04</v>
      </c>
      <c r="G213" s="12">
        <v>0.08</v>
      </c>
      <c r="H213" s="12">
        <v>0.19</v>
      </c>
      <c r="I213" s="12">
        <v>0.06</v>
      </c>
      <c r="J213" s="12">
        <v>0.1</v>
      </c>
      <c r="K213" s="12">
        <v>0.25</v>
      </c>
      <c r="L213" s="12">
        <v>0.08</v>
      </c>
      <c r="M213" s="8">
        <v>8</v>
      </c>
      <c r="N213">
        <v>10</v>
      </c>
      <c r="O213" s="12">
        <v>12</v>
      </c>
      <c r="BF213" s="9">
        <v>2.12</v>
      </c>
      <c r="BG213" s="9">
        <f t="shared" si="7"/>
        <v>9.9056603773584898E-2</v>
      </c>
      <c r="BH213" s="9">
        <f t="shared" si="6"/>
        <v>0.12860512129380056</v>
      </c>
      <c r="BQ213" s="8">
        <v>8</v>
      </c>
      <c r="BR213" s="8" t="s">
        <v>487</v>
      </c>
    </row>
    <row r="214" spans="1:70" x14ac:dyDescent="0.3">
      <c r="A214" s="11" t="s">
        <v>488</v>
      </c>
      <c r="B214" s="12">
        <v>184700</v>
      </c>
      <c r="C214" s="12">
        <v>666000</v>
      </c>
      <c r="D214" s="12">
        <v>0.06</v>
      </c>
      <c r="E214" s="12">
        <v>0.14000000000000001</v>
      </c>
      <c r="F214" s="12">
        <v>0.04</v>
      </c>
      <c r="G214" s="12">
        <v>7.0000000000000007E-2</v>
      </c>
      <c r="H214" s="12">
        <v>0.18</v>
      </c>
      <c r="I214" s="12">
        <v>0.05</v>
      </c>
      <c r="J214" s="12">
        <v>0.09</v>
      </c>
      <c r="K214" s="12">
        <v>0.24</v>
      </c>
      <c r="L214" s="12">
        <v>7.0000000000000007E-2</v>
      </c>
      <c r="M214" s="8">
        <v>8</v>
      </c>
      <c r="N214">
        <v>10</v>
      </c>
      <c r="O214" s="12">
        <v>12</v>
      </c>
      <c r="BF214" s="9">
        <v>2.13</v>
      </c>
      <c r="BG214" s="9">
        <f t="shared" si="7"/>
        <v>9.8591549295774655E-2</v>
      </c>
      <c r="BH214" s="9">
        <f t="shared" si="6"/>
        <v>0.12800134138162308</v>
      </c>
      <c r="BQ214" s="8">
        <v>8</v>
      </c>
      <c r="BR214" s="8" t="s">
        <v>489</v>
      </c>
    </row>
    <row r="215" spans="1:70" x14ac:dyDescent="0.3">
      <c r="A215" s="11" t="s">
        <v>490</v>
      </c>
      <c r="B215" s="12">
        <v>171000</v>
      </c>
      <c r="C215" s="12">
        <v>636600</v>
      </c>
      <c r="D215" s="12">
        <v>0.06</v>
      </c>
      <c r="E215" s="12">
        <v>0.15</v>
      </c>
      <c r="F215" s="12">
        <v>0.04</v>
      </c>
      <c r="G215" s="12">
        <v>0.08</v>
      </c>
      <c r="H215" s="12">
        <v>0.19</v>
      </c>
      <c r="I215" s="12">
        <v>0.05</v>
      </c>
      <c r="J215" s="12">
        <v>0.11</v>
      </c>
      <c r="K215" s="12">
        <v>0.27</v>
      </c>
      <c r="L215" s="12">
        <v>7.0000000000000007E-2</v>
      </c>
      <c r="M215" s="8">
        <v>8</v>
      </c>
      <c r="N215">
        <v>10</v>
      </c>
      <c r="O215" s="12">
        <v>12</v>
      </c>
      <c r="BF215" s="9">
        <v>2.14</v>
      </c>
      <c r="BG215" s="9">
        <f t="shared" si="7"/>
        <v>9.8130841121495324E-2</v>
      </c>
      <c r="BH215" s="9">
        <f t="shared" si="6"/>
        <v>0.12740320427236315</v>
      </c>
      <c r="BQ215" s="8">
        <v>5</v>
      </c>
      <c r="BR215" s="8" t="s">
        <v>491</v>
      </c>
    </row>
    <row r="216" spans="1:70" x14ac:dyDescent="0.3">
      <c r="A216" s="11" t="s">
        <v>492</v>
      </c>
      <c r="B216" s="12">
        <v>190800</v>
      </c>
      <c r="C216" s="12">
        <v>685200</v>
      </c>
      <c r="D216" s="12">
        <v>7.0000000000000007E-2</v>
      </c>
      <c r="E216" s="12">
        <v>0.16</v>
      </c>
      <c r="F216" s="12">
        <v>0.05</v>
      </c>
      <c r="G216" s="12">
        <v>0.08</v>
      </c>
      <c r="H216" s="12">
        <v>0.2</v>
      </c>
      <c r="I216" s="12">
        <v>0.06</v>
      </c>
      <c r="J216" s="12">
        <v>0.11</v>
      </c>
      <c r="K216" s="12">
        <v>0.27</v>
      </c>
      <c r="L216" s="12">
        <v>0.08</v>
      </c>
      <c r="M216" s="8">
        <v>8</v>
      </c>
      <c r="N216">
        <v>9</v>
      </c>
      <c r="O216" s="12">
        <v>12</v>
      </c>
      <c r="BF216" s="9">
        <v>2.15</v>
      </c>
      <c r="BG216" s="9">
        <f t="shared" si="7"/>
        <v>9.7674418604651161E-2</v>
      </c>
      <c r="BH216" s="9">
        <f t="shared" si="6"/>
        <v>0.12681063122923592</v>
      </c>
      <c r="BQ216" s="8">
        <v>8</v>
      </c>
      <c r="BR216" s="8" t="s">
        <v>493</v>
      </c>
    </row>
    <row r="217" spans="1:70" x14ac:dyDescent="0.3">
      <c r="A217" s="11" t="s">
        <v>494</v>
      </c>
      <c r="B217" s="12">
        <v>264800</v>
      </c>
      <c r="C217" s="12">
        <v>745100</v>
      </c>
      <c r="D217" s="12">
        <v>0.25</v>
      </c>
      <c r="E217" s="12">
        <v>0.62</v>
      </c>
      <c r="F217" s="12">
        <v>0.12</v>
      </c>
      <c r="G217" s="12">
        <v>0.33</v>
      </c>
      <c r="H217" s="12">
        <v>0.82</v>
      </c>
      <c r="I217" s="12">
        <v>0.16</v>
      </c>
      <c r="J217" s="12">
        <v>0.44</v>
      </c>
      <c r="K217" s="12">
        <v>1.1299999999999999</v>
      </c>
      <c r="L217" s="12">
        <v>0.24</v>
      </c>
      <c r="M217" s="8">
        <v>5</v>
      </c>
      <c r="N217">
        <v>6</v>
      </c>
      <c r="O217" s="12">
        <v>7</v>
      </c>
      <c r="BF217" s="9">
        <v>2.16</v>
      </c>
      <c r="BG217" s="9">
        <f t="shared" si="7"/>
        <v>9.722222222222221E-2</v>
      </c>
      <c r="BH217" s="9">
        <f t="shared" si="6"/>
        <v>0.12622354497354499</v>
      </c>
      <c r="BQ217" s="8">
        <v>8</v>
      </c>
      <c r="BR217" s="8" t="s">
        <v>495</v>
      </c>
    </row>
    <row r="218" spans="1:70" x14ac:dyDescent="0.3">
      <c r="A218" s="11" t="s">
        <v>496</v>
      </c>
      <c r="B218" s="12">
        <v>191800</v>
      </c>
      <c r="C218" s="12">
        <v>658900</v>
      </c>
      <c r="D218" s="12">
        <v>0.06</v>
      </c>
      <c r="E218" s="12">
        <v>0.15</v>
      </c>
      <c r="F218" s="12">
        <v>0.04</v>
      </c>
      <c r="G218" s="12">
        <v>0.08</v>
      </c>
      <c r="H218" s="12">
        <v>0.19</v>
      </c>
      <c r="I218" s="12">
        <v>0.06</v>
      </c>
      <c r="J218" s="12">
        <v>0.1</v>
      </c>
      <c r="K218" s="12">
        <v>0.25</v>
      </c>
      <c r="L218" s="12">
        <v>0.08</v>
      </c>
      <c r="M218" s="8">
        <v>8</v>
      </c>
      <c r="N218">
        <v>10</v>
      </c>
      <c r="O218" s="12">
        <v>12</v>
      </c>
      <c r="BF218" s="9">
        <v>2.17</v>
      </c>
      <c r="BG218" s="9">
        <f t="shared" si="7"/>
        <v>9.6774193548387094E-2</v>
      </c>
      <c r="BH218" s="9">
        <f t="shared" si="6"/>
        <v>0.12564186965108626</v>
      </c>
      <c r="BQ218" s="8">
        <v>8</v>
      </c>
      <c r="BR218" s="8" t="s">
        <v>497</v>
      </c>
    </row>
    <row r="219" spans="1:70" x14ac:dyDescent="0.3">
      <c r="A219" s="11" t="s">
        <v>498</v>
      </c>
      <c r="B219" s="12">
        <v>177500</v>
      </c>
      <c r="C219" s="12">
        <v>633100</v>
      </c>
      <c r="D219" s="12">
        <v>0.06</v>
      </c>
      <c r="E219" s="12">
        <v>0.15</v>
      </c>
      <c r="F219" s="12">
        <v>0.04</v>
      </c>
      <c r="G219" s="12">
        <v>0.08</v>
      </c>
      <c r="H219" s="12">
        <v>0.19</v>
      </c>
      <c r="I219" s="12">
        <v>0.05</v>
      </c>
      <c r="J219" s="12">
        <v>0.11</v>
      </c>
      <c r="K219" s="12">
        <v>0.27</v>
      </c>
      <c r="L219" s="12">
        <v>7.0000000000000007E-2</v>
      </c>
      <c r="M219" s="8">
        <v>8</v>
      </c>
      <c r="N219">
        <v>10</v>
      </c>
      <c r="O219" s="12">
        <v>12</v>
      </c>
      <c r="BF219" s="9">
        <v>2.1800000000000002</v>
      </c>
      <c r="BG219" s="9">
        <f t="shared" si="7"/>
        <v>9.633027522935779E-2</v>
      </c>
      <c r="BH219" s="9">
        <f t="shared" si="6"/>
        <v>0.12506553079947577</v>
      </c>
      <c r="BQ219" s="8">
        <v>8</v>
      </c>
      <c r="BR219" s="8" t="s">
        <v>499</v>
      </c>
    </row>
    <row r="220" spans="1:70" x14ac:dyDescent="0.3">
      <c r="A220" s="11" t="s">
        <v>500</v>
      </c>
      <c r="B220" s="12">
        <v>187800</v>
      </c>
      <c r="C220" s="12">
        <v>680500</v>
      </c>
      <c r="D220" s="12">
        <v>0.06</v>
      </c>
      <c r="E220" s="12">
        <v>0.15</v>
      </c>
      <c r="F220" s="12">
        <v>0.04</v>
      </c>
      <c r="G220" s="12">
        <v>0.08</v>
      </c>
      <c r="H220" s="12">
        <v>0.2</v>
      </c>
      <c r="I220" s="12">
        <v>0.06</v>
      </c>
      <c r="J220" s="12">
        <v>0.1</v>
      </c>
      <c r="K220" s="12">
        <v>0.26</v>
      </c>
      <c r="L220" s="12">
        <v>0.08</v>
      </c>
      <c r="M220" s="8">
        <v>8</v>
      </c>
      <c r="N220">
        <v>10</v>
      </c>
      <c r="O220" s="12">
        <v>12</v>
      </c>
      <c r="BF220" s="9">
        <v>2.19</v>
      </c>
      <c r="BG220" s="9">
        <f t="shared" si="7"/>
        <v>9.5890410958904104E-2</v>
      </c>
      <c r="BH220" s="9">
        <f t="shared" si="6"/>
        <v>0.12449445531637315</v>
      </c>
      <c r="BQ220" s="8">
        <v>8</v>
      </c>
      <c r="BR220" s="8" t="s">
        <v>501</v>
      </c>
    </row>
    <row r="221" spans="1:70" x14ac:dyDescent="0.3">
      <c r="A221" s="11" t="s">
        <v>502</v>
      </c>
      <c r="B221" s="12">
        <v>180300</v>
      </c>
      <c r="C221" s="12">
        <v>630700</v>
      </c>
      <c r="D221" s="12">
        <v>0.06</v>
      </c>
      <c r="E221" s="12">
        <v>0.15</v>
      </c>
      <c r="F221" s="12">
        <v>0.04</v>
      </c>
      <c r="G221" s="12">
        <v>0.08</v>
      </c>
      <c r="H221" s="12">
        <v>0.2</v>
      </c>
      <c r="I221" s="12">
        <v>0.05</v>
      </c>
      <c r="J221" s="12">
        <v>0.11</v>
      </c>
      <c r="K221" s="12">
        <v>0.27</v>
      </c>
      <c r="L221" s="12">
        <v>7.0000000000000007E-2</v>
      </c>
      <c r="M221" s="8">
        <v>8</v>
      </c>
      <c r="N221">
        <v>10</v>
      </c>
      <c r="O221" s="12">
        <v>12</v>
      </c>
      <c r="BF221" s="9">
        <v>2.2000000000000002</v>
      </c>
      <c r="BG221" s="9">
        <f t="shared" si="7"/>
        <v>9.5454545454545445E-2</v>
      </c>
      <c r="BH221" s="9">
        <f t="shared" si="6"/>
        <v>0.12392857142857144</v>
      </c>
      <c r="BQ221" s="8">
        <v>7</v>
      </c>
      <c r="BR221" s="8" t="s">
        <v>503</v>
      </c>
    </row>
    <row r="222" spans="1:70" x14ac:dyDescent="0.3">
      <c r="A222" s="11" t="s">
        <v>504</v>
      </c>
      <c r="B222" s="12">
        <v>176600</v>
      </c>
      <c r="C222" s="12">
        <v>639100</v>
      </c>
      <c r="D222" s="12">
        <v>0.06</v>
      </c>
      <c r="E222" s="12">
        <v>0.14000000000000001</v>
      </c>
      <c r="F222" s="12">
        <v>0.04</v>
      </c>
      <c r="G222" s="12">
        <v>7.0000000000000007E-2</v>
      </c>
      <c r="H222" s="12">
        <v>0.18</v>
      </c>
      <c r="I222" s="12">
        <v>0.05</v>
      </c>
      <c r="J222" s="12">
        <v>0.1</v>
      </c>
      <c r="K222" s="12">
        <v>0.24</v>
      </c>
      <c r="L222" s="12">
        <v>7.0000000000000007E-2</v>
      </c>
      <c r="M222" s="8">
        <v>8</v>
      </c>
      <c r="N222">
        <v>10</v>
      </c>
      <c r="O222" s="12">
        <v>12</v>
      </c>
      <c r="BF222" s="9">
        <v>2.21</v>
      </c>
      <c r="BG222" s="9">
        <f t="shared" si="7"/>
        <v>9.5022624434389136E-2</v>
      </c>
      <c r="BH222" s="9">
        <f t="shared" si="6"/>
        <v>0.12336780866192633</v>
      </c>
      <c r="BQ222" s="8">
        <v>7</v>
      </c>
      <c r="BR222" s="8" t="s">
        <v>505</v>
      </c>
    </row>
    <row r="223" spans="1:70" x14ac:dyDescent="0.3">
      <c r="A223" s="11" t="s">
        <v>506</v>
      </c>
      <c r="B223" s="12">
        <v>197000</v>
      </c>
      <c r="C223" s="12">
        <v>714000</v>
      </c>
      <c r="D223" s="12">
        <v>0.09</v>
      </c>
      <c r="E223" s="12">
        <v>0.21</v>
      </c>
      <c r="F223" s="12">
        <v>0.05</v>
      </c>
      <c r="G223" s="12">
        <v>0.11</v>
      </c>
      <c r="H223" s="12">
        <v>0.27</v>
      </c>
      <c r="I223" s="12">
        <v>7.0000000000000007E-2</v>
      </c>
      <c r="J223" s="12">
        <v>0.14000000000000001</v>
      </c>
      <c r="K223" s="12">
        <v>0.37</v>
      </c>
      <c r="L223" s="12">
        <v>0.09</v>
      </c>
      <c r="M223" s="8">
        <v>7</v>
      </c>
      <c r="N223">
        <v>9</v>
      </c>
      <c r="O223" s="12">
        <v>11</v>
      </c>
      <c r="BF223" s="9">
        <v>2.2200000000000002</v>
      </c>
      <c r="BG223" s="9">
        <f t="shared" si="7"/>
        <v>9.4594594594594586E-2</v>
      </c>
      <c r="BH223" s="9">
        <f t="shared" si="6"/>
        <v>0.12281209781209781</v>
      </c>
      <c r="BQ223" s="8">
        <v>6</v>
      </c>
      <c r="BR223" s="8" t="s">
        <v>507</v>
      </c>
    </row>
    <row r="224" spans="1:70" x14ac:dyDescent="0.3">
      <c r="A224" s="11" t="s">
        <v>508</v>
      </c>
      <c r="B224" s="12">
        <v>210000</v>
      </c>
      <c r="C224" s="12">
        <v>712000</v>
      </c>
      <c r="D224" s="12">
        <v>0.11</v>
      </c>
      <c r="E224" s="12">
        <v>0.27</v>
      </c>
      <c r="F224" s="12">
        <v>0.06</v>
      </c>
      <c r="G224" s="12">
        <v>0.14000000000000001</v>
      </c>
      <c r="H224" s="12">
        <v>0.35</v>
      </c>
      <c r="I224" s="12">
        <v>0.08</v>
      </c>
      <c r="J224" s="12">
        <v>0.19</v>
      </c>
      <c r="K224" s="12">
        <v>0.49</v>
      </c>
      <c r="L224" s="12">
        <v>0.11</v>
      </c>
      <c r="M224" s="8">
        <v>7</v>
      </c>
      <c r="N224">
        <v>8</v>
      </c>
      <c r="O224" s="12">
        <v>10</v>
      </c>
      <c r="BF224" s="9">
        <v>2.23</v>
      </c>
      <c r="BG224" s="9">
        <f t="shared" si="7"/>
        <v>9.417040358744394E-2</v>
      </c>
      <c r="BH224" s="9">
        <f t="shared" si="6"/>
        <v>0.12226137091607946</v>
      </c>
      <c r="BQ224" s="8">
        <v>6</v>
      </c>
      <c r="BR224" s="8" t="s">
        <v>509</v>
      </c>
    </row>
    <row r="225" spans="1:70" x14ac:dyDescent="0.3">
      <c r="A225" s="11" t="s">
        <v>510</v>
      </c>
      <c r="B225" s="12">
        <v>215000</v>
      </c>
      <c r="C225" s="12">
        <v>738400</v>
      </c>
      <c r="D225" s="12">
        <v>0.14000000000000001</v>
      </c>
      <c r="E225" s="12">
        <v>0.35</v>
      </c>
      <c r="F225" s="12">
        <v>7.0000000000000007E-2</v>
      </c>
      <c r="G225" s="12">
        <v>0.2</v>
      </c>
      <c r="H225" s="12">
        <v>0.49</v>
      </c>
      <c r="I225" s="12">
        <v>0.1</v>
      </c>
      <c r="J225" s="12">
        <v>0.28000000000000003</v>
      </c>
      <c r="K225" s="12">
        <v>0.71</v>
      </c>
      <c r="L225" s="12">
        <v>0.14000000000000001</v>
      </c>
      <c r="M225" s="8">
        <v>6</v>
      </c>
      <c r="N225">
        <v>7</v>
      </c>
      <c r="O225" s="12">
        <v>8</v>
      </c>
      <c r="BF225" s="9">
        <v>2.2400000000000002</v>
      </c>
      <c r="BG225" s="9">
        <f t="shared" si="7"/>
        <v>9.3749999999999986E-2</v>
      </c>
      <c r="BH225" s="9">
        <f t="shared" si="6"/>
        <v>0.1217155612244898</v>
      </c>
      <c r="BQ225" s="8">
        <v>8</v>
      </c>
      <c r="BR225" s="8" t="s">
        <v>511</v>
      </c>
    </row>
    <row r="226" spans="1:70" x14ac:dyDescent="0.3">
      <c r="A226" s="11" t="s">
        <v>512</v>
      </c>
      <c r="B226" s="12">
        <v>225800</v>
      </c>
      <c r="C226" s="12">
        <v>759600</v>
      </c>
      <c r="D226" s="12">
        <v>0.13</v>
      </c>
      <c r="E226" s="12">
        <v>0.33</v>
      </c>
      <c r="F226" s="12">
        <v>7.0000000000000007E-2</v>
      </c>
      <c r="G226" s="12">
        <v>0.16</v>
      </c>
      <c r="H226" s="12">
        <v>0.42</v>
      </c>
      <c r="I226" s="12">
        <v>0.09</v>
      </c>
      <c r="J226" s="12">
        <v>0.21</v>
      </c>
      <c r="K226" s="12">
        <v>0.55000000000000004</v>
      </c>
      <c r="L226" s="12">
        <v>0.12</v>
      </c>
      <c r="M226" s="8">
        <v>6</v>
      </c>
      <c r="N226">
        <v>8</v>
      </c>
      <c r="O226" s="12">
        <v>10</v>
      </c>
      <c r="BF226" s="9">
        <v>2.25</v>
      </c>
      <c r="BG226" s="9">
        <f t="shared" si="7"/>
        <v>9.3333333333333324E-2</v>
      </c>
      <c r="BH226" s="9">
        <f t="shared" si="6"/>
        <v>0.1211746031746032</v>
      </c>
      <c r="BQ226" s="8">
        <v>7</v>
      </c>
      <c r="BR226" s="8" t="s">
        <v>513</v>
      </c>
    </row>
    <row r="227" spans="1:70" x14ac:dyDescent="0.3">
      <c r="A227" s="11" t="s">
        <v>514</v>
      </c>
      <c r="B227" s="12">
        <v>188500</v>
      </c>
      <c r="C227" s="12">
        <v>679700</v>
      </c>
      <c r="D227" s="12">
        <v>0.06</v>
      </c>
      <c r="E227" s="12">
        <v>0.16</v>
      </c>
      <c r="F227" s="12">
        <v>0.04</v>
      </c>
      <c r="G227" s="12">
        <v>0.08</v>
      </c>
      <c r="H227" s="12">
        <v>0.2</v>
      </c>
      <c r="I227" s="12">
        <v>0.06</v>
      </c>
      <c r="J227" s="12">
        <v>0.1</v>
      </c>
      <c r="K227" s="12">
        <v>0.26</v>
      </c>
      <c r="L227" s="12">
        <v>0.08</v>
      </c>
      <c r="M227" s="8">
        <v>8</v>
      </c>
      <c r="N227">
        <v>10</v>
      </c>
      <c r="O227" s="12">
        <v>12</v>
      </c>
      <c r="BF227" s="9">
        <v>2.2599999999999998</v>
      </c>
      <c r="BG227" s="9">
        <f t="shared" si="7"/>
        <v>9.2920353982300891E-2</v>
      </c>
      <c r="BH227" s="9">
        <f t="shared" si="6"/>
        <v>0.12063843236409612</v>
      </c>
      <c r="BQ227" s="8">
        <v>8</v>
      </c>
      <c r="BR227" s="8" t="s">
        <v>515</v>
      </c>
    </row>
    <row r="228" spans="1:70" x14ac:dyDescent="0.3">
      <c r="A228" s="11" t="s">
        <v>516</v>
      </c>
      <c r="B228" s="12">
        <v>213000</v>
      </c>
      <c r="C228" s="12">
        <v>775100</v>
      </c>
      <c r="D228" s="12">
        <v>0.11</v>
      </c>
      <c r="E228" s="12">
        <v>0.28000000000000003</v>
      </c>
      <c r="F228" s="12">
        <v>0.06</v>
      </c>
      <c r="G228" s="12">
        <v>0.15</v>
      </c>
      <c r="H228" s="12">
        <v>0.37</v>
      </c>
      <c r="I228" s="12">
        <v>0.08</v>
      </c>
      <c r="J228" s="12">
        <v>0.2</v>
      </c>
      <c r="K228" s="12">
        <v>0.5</v>
      </c>
      <c r="L228" s="12">
        <v>0.11</v>
      </c>
      <c r="M228" s="8">
        <v>7</v>
      </c>
      <c r="N228">
        <v>8</v>
      </c>
      <c r="O228" s="12">
        <v>10</v>
      </c>
      <c r="BF228" s="9">
        <v>2.27</v>
      </c>
      <c r="BG228" s="9">
        <f t="shared" si="7"/>
        <v>9.2511013215859028E-2</v>
      </c>
      <c r="BH228" s="9">
        <f t="shared" si="6"/>
        <v>0.12010698552548775</v>
      </c>
      <c r="BQ228" s="8">
        <v>5</v>
      </c>
      <c r="BR228" s="8" t="s">
        <v>517</v>
      </c>
    </row>
    <row r="229" spans="1:70" x14ac:dyDescent="0.3">
      <c r="A229" s="11" t="s">
        <v>518</v>
      </c>
      <c r="B229" s="12">
        <v>193000</v>
      </c>
      <c r="C229" s="12">
        <v>637500</v>
      </c>
      <c r="D229" s="12">
        <v>0.06</v>
      </c>
      <c r="E229" s="12">
        <v>0.15</v>
      </c>
      <c r="F229" s="12">
        <v>0.04</v>
      </c>
      <c r="G229" s="12">
        <v>0.08</v>
      </c>
      <c r="H229" s="12">
        <v>0.19</v>
      </c>
      <c r="I229" s="12">
        <v>0.06</v>
      </c>
      <c r="J229" s="12">
        <v>0.1</v>
      </c>
      <c r="K229" s="12">
        <v>0.25</v>
      </c>
      <c r="L229" s="12">
        <v>0.08</v>
      </c>
      <c r="M229" s="8">
        <v>8</v>
      </c>
      <c r="N229">
        <v>10</v>
      </c>
      <c r="O229" s="12">
        <v>12</v>
      </c>
      <c r="BF229" s="9">
        <v>2.2799999999999998</v>
      </c>
      <c r="BG229" s="9">
        <f t="shared" si="7"/>
        <v>9.2105263157894746E-2</v>
      </c>
      <c r="BH229" s="9">
        <f t="shared" si="6"/>
        <v>0.11958020050125316</v>
      </c>
      <c r="BQ229" s="8">
        <v>7</v>
      </c>
      <c r="BR229" s="8" t="s">
        <v>519</v>
      </c>
    </row>
    <row r="230" spans="1:70" x14ac:dyDescent="0.3">
      <c r="A230" s="11" t="s">
        <v>520</v>
      </c>
      <c r="B230" s="12">
        <v>243000</v>
      </c>
      <c r="C230" s="12">
        <v>683300</v>
      </c>
      <c r="D230" s="12">
        <v>0.22</v>
      </c>
      <c r="E230" s="12">
        <v>0.56000000000000005</v>
      </c>
      <c r="F230" s="12">
        <v>0.1</v>
      </c>
      <c r="G230" s="12">
        <v>0.28999999999999998</v>
      </c>
      <c r="H230" s="12">
        <v>0.74</v>
      </c>
      <c r="I230" s="12">
        <v>0.14000000000000001</v>
      </c>
      <c r="J230" s="12">
        <v>0.39</v>
      </c>
      <c r="K230" s="12">
        <v>1.01</v>
      </c>
      <c r="L230" s="12">
        <v>0.21</v>
      </c>
      <c r="M230" s="8">
        <v>5</v>
      </c>
      <c r="N230">
        <v>6</v>
      </c>
      <c r="O230" s="12">
        <v>7</v>
      </c>
      <c r="BF230" s="9">
        <v>2.29</v>
      </c>
      <c r="BG230" s="9">
        <f t="shared" si="7"/>
        <v>9.1703056768558944E-2</v>
      </c>
      <c r="BH230" s="9">
        <f t="shared" si="6"/>
        <v>0.11905801621958829</v>
      </c>
      <c r="BQ230" s="8">
        <v>6</v>
      </c>
      <c r="BR230" s="8" t="s">
        <v>521</v>
      </c>
    </row>
    <row r="231" spans="1:70" x14ac:dyDescent="0.3">
      <c r="A231" s="11" t="s">
        <v>522</v>
      </c>
      <c r="B231" s="12">
        <v>207100</v>
      </c>
      <c r="C231" s="12">
        <v>626400</v>
      </c>
      <c r="D231" s="12">
        <v>0.08</v>
      </c>
      <c r="E231" s="12">
        <v>0.19</v>
      </c>
      <c r="F231" s="12">
        <v>0.05</v>
      </c>
      <c r="G231" s="12">
        <v>0.09</v>
      </c>
      <c r="H231" s="12">
        <v>0.24</v>
      </c>
      <c r="I231" s="12">
        <v>0.06</v>
      </c>
      <c r="J231" s="12">
        <v>0.12</v>
      </c>
      <c r="K231" s="12">
        <v>0.31</v>
      </c>
      <c r="L231" s="12">
        <v>0.09</v>
      </c>
      <c r="M231" s="8">
        <v>7</v>
      </c>
      <c r="N231">
        <v>9</v>
      </c>
      <c r="O231" s="12">
        <v>11</v>
      </c>
      <c r="BF231" s="9">
        <v>2.2999999999999998</v>
      </c>
      <c r="BG231" s="9">
        <f t="shared" si="7"/>
        <v>9.1304347826086957E-2</v>
      </c>
      <c r="BH231" s="9">
        <f t="shared" si="6"/>
        <v>0.11854037267080748</v>
      </c>
      <c r="BQ231" s="8">
        <v>8</v>
      </c>
      <c r="BR231" s="8" t="s">
        <v>523</v>
      </c>
    </row>
    <row r="232" spans="1:70" x14ac:dyDescent="0.3">
      <c r="A232" s="11" t="s">
        <v>524</v>
      </c>
      <c r="B232" s="12">
        <v>242300</v>
      </c>
      <c r="C232" s="12">
        <v>767000</v>
      </c>
      <c r="D232" s="12">
        <v>0.19</v>
      </c>
      <c r="E232" s="12">
        <v>0.47</v>
      </c>
      <c r="F232" s="12">
        <v>0.09</v>
      </c>
      <c r="G232" s="12">
        <v>0.24</v>
      </c>
      <c r="H232" s="12">
        <v>0.61</v>
      </c>
      <c r="I232" s="12">
        <v>0.12</v>
      </c>
      <c r="J232" s="12">
        <v>0.31</v>
      </c>
      <c r="K232" s="12">
        <v>0.81</v>
      </c>
      <c r="L232" s="12">
        <v>0.17</v>
      </c>
      <c r="M232" s="8">
        <v>6</v>
      </c>
      <c r="N232">
        <v>7</v>
      </c>
      <c r="O232" s="12">
        <v>8</v>
      </c>
      <c r="BF232" s="9">
        <v>2.31</v>
      </c>
      <c r="BG232" s="9">
        <f t="shared" si="7"/>
        <v>9.0909090909090898E-2</v>
      </c>
      <c r="BH232" s="9">
        <f t="shared" si="6"/>
        <v>0.11802721088435376</v>
      </c>
      <c r="BQ232" s="8">
        <v>8</v>
      </c>
      <c r="BR232" s="8" t="s">
        <v>525</v>
      </c>
    </row>
    <row r="233" spans="1:70" x14ac:dyDescent="0.3">
      <c r="A233" s="11" t="s">
        <v>526</v>
      </c>
      <c r="B233" s="12">
        <v>166500</v>
      </c>
      <c r="C233" s="12">
        <v>607300</v>
      </c>
      <c r="D233" s="12">
        <v>0.06</v>
      </c>
      <c r="E233" s="12">
        <v>0.15</v>
      </c>
      <c r="F233" s="12">
        <v>0.04</v>
      </c>
      <c r="G233" s="12">
        <v>0.08</v>
      </c>
      <c r="H233" s="12">
        <v>0.2</v>
      </c>
      <c r="I233" s="12">
        <v>0.05</v>
      </c>
      <c r="J233" s="12">
        <v>0.12</v>
      </c>
      <c r="K233" s="12">
        <v>0.28999999999999998</v>
      </c>
      <c r="L233" s="12">
        <v>7.0000000000000007E-2</v>
      </c>
      <c r="M233" s="8">
        <v>8</v>
      </c>
      <c r="N233">
        <v>10</v>
      </c>
      <c r="O233" s="12">
        <v>12</v>
      </c>
      <c r="BF233" s="9">
        <v>2.3199999999999998</v>
      </c>
      <c r="BG233" s="9">
        <f t="shared" si="7"/>
        <v>9.0517241379310345E-2</v>
      </c>
      <c r="BH233" s="9">
        <f t="shared" si="6"/>
        <v>0.11751847290640396</v>
      </c>
      <c r="BQ233" s="8">
        <v>6</v>
      </c>
      <c r="BR233" s="8" t="s">
        <v>527</v>
      </c>
    </row>
    <row r="234" spans="1:70" x14ac:dyDescent="0.3">
      <c r="A234" s="11" t="s">
        <v>528</v>
      </c>
      <c r="B234" s="12">
        <v>165300</v>
      </c>
      <c r="C234" s="12">
        <v>586700</v>
      </c>
      <c r="D234" s="12">
        <v>0.05</v>
      </c>
      <c r="E234" s="12">
        <v>0.12</v>
      </c>
      <c r="F234" s="12">
        <v>0.04</v>
      </c>
      <c r="G234" s="12">
        <v>0.06</v>
      </c>
      <c r="H234" s="12">
        <v>0.16</v>
      </c>
      <c r="I234" s="12">
        <v>0.05</v>
      </c>
      <c r="J234" s="12">
        <v>0.08</v>
      </c>
      <c r="K234" s="12">
        <v>0.21</v>
      </c>
      <c r="L234" s="12">
        <v>0.06</v>
      </c>
      <c r="M234" s="8">
        <v>8</v>
      </c>
      <c r="N234">
        <v>10</v>
      </c>
      <c r="O234" s="12">
        <v>13</v>
      </c>
      <c r="BF234" s="9">
        <v>2.33</v>
      </c>
      <c r="BG234" s="9">
        <f t="shared" si="7"/>
        <v>9.0128755364806856E-2</v>
      </c>
      <c r="BH234" s="9">
        <f t="shared" si="6"/>
        <v>0.11701410177805029</v>
      </c>
      <c r="BQ234" s="8">
        <v>8</v>
      </c>
      <c r="BR234" s="8" t="s">
        <v>529</v>
      </c>
    </row>
    <row r="235" spans="1:70" x14ac:dyDescent="0.3">
      <c r="A235" s="11" t="s">
        <v>530</v>
      </c>
      <c r="B235" s="12">
        <v>225200</v>
      </c>
      <c r="C235" s="12">
        <v>677600</v>
      </c>
      <c r="D235" s="12">
        <v>0.13</v>
      </c>
      <c r="E235" s="12">
        <v>0.33</v>
      </c>
      <c r="F235" s="12">
        <v>7.0000000000000007E-2</v>
      </c>
      <c r="G235" s="12">
        <v>0.17</v>
      </c>
      <c r="H235" s="12">
        <v>0.43</v>
      </c>
      <c r="I235" s="12">
        <v>0.09</v>
      </c>
      <c r="J235" s="12">
        <v>0.22</v>
      </c>
      <c r="K235" s="12">
        <v>0.57999999999999996</v>
      </c>
      <c r="L235" s="12">
        <v>0.13</v>
      </c>
      <c r="M235" s="8">
        <v>6</v>
      </c>
      <c r="N235">
        <v>7</v>
      </c>
      <c r="O235" s="12">
        <v>9</v>
      </c>
      <c r="BF235" s="9">
        <v>2.34</v>
      </c>
      <c r="BG235" s="9">
        <f t="shared" si="7"/>
        <v>8.9743589743589744E-2</v>
      </c>
      <c r="BH235" s="9">
        <f t="shared" si="6"/>
        <v>0.11651404151404154</v>
      </c>
      <c r="BQ235" s="8">
        <v>6</v>
      </c>
      <c r="BR235" s="8" t="s">
        <v>531</v>
      </c>
    </row>
    <row r="236" spans="1:70" x14ac:dyDescent="0.3">
      <c r="A236" s="11" t="s">
        <v>532</v>
      </c>
      <c r="B236" s="12">
        <v>164400</v>
      </c>
      <c r="C236" s="12">
        <v>619500</v>
      </c>
      <c r="D236" s="12">
        <v>7.0000000000000007E-2</v>
      </c>
      <c r="E236" s="12">
        <v>0.16</v>
      </c>
      <c r="F236" s="12">
        <v>0.04</v>
      </c>
      <c r="G236" s="12">
        <v>0.09</v>
      </c>
      <c r="H236" s="12">
        <v>0.21</v>
      </c>
      <c r="I236" s="12">
        <v>0.05</v>
      </c>
      <c r="J236" s="12">
        <v>0.12</v>
      </c>
      <c r="K236" s="12">
        <v>0.3</v>
      </c>
      <c r="L236" s="12">
        <v>7.0000000000000007E-2</v>
      </c>
      <c r="M236" s="8">
        <v>8</v>
      </c>
      <c r="N236">
        <v>10</v>
      </c>
      <c r="O236" s="12">
        <v>12</v>
      </c>
      <c r="BF236" s="9">
        <v>2.35</v>
      </c>
      <c r="BG236" s="9">
        <f t="shared" si="7"/>
        <v>8.9361702127659565E-2</v>
      </c>
      <c r="BH236" s="9">
        <f t="shared" si="6"/>
        <v>0.11601823708206688</v>
      </c>
      <c r="BQ236" s="8">
        <v>6</v>
      </c>
      <c r="BR236" s="8" t="s">
        <v>533</v>
      </c>
    </row>
    <row r="237" spans="1:70" x14ac:dyDescent="0.3">
      <c r="A237" s="11" t="s">
        <v>534</v>
      </c>
      <c r="B237" s="12">
        <v>240900</v>
      </c>
      <c r="C237" s="12">
        <v>773500</v>
      </c>
      <c r="D237" s="12">
        <v>0.17</v>
      </c>
      <c r="E237" s="12">
        <v>0.44</v>
      </c>
      <c r="F237" s="12">
        <v>0.09</v>
      </c>
      <c r="G237" s="12">
        <v>0.22</v>
      </c>
      <c r="H237" s="12">
        <v>0.56999999999999995</v>
      </c>
      <c r="I237" s="12">
        <v>0.11</v>
      </c>
      <c r="J237" s="12">
        <v>0.28999999999999998</v>
      </c>
      <c r="K237" s="12">
        <v>0.76</v>
      </c>
      <c r="L237" s="12">
        <v>0.16</v>
      </c>
      <c r="M237" s="8">
        <v>6</v>
      </c>
      <c r="N237">
        <v>7</v>
      </c>
      <c r="O237" s="12">
        <v>9</v>
      </c>
      <c r="BF237" s="9">
        <v>2.36</v>
      </c>
      <c r="BG237" s="9">
        <f t="shared" si="7"/>
        <v>8.8983050847457626E-2</v>
      </c>
      <c r="BH237" s="9">
        <f t="shared" si="6"/>
        <v>0.11552663438256661</v>
      </c>
      <c r="BQ237" s="8">
        <v>7</v>
      </c>
      <c r="BR237" s="8" t="s">
        <v>535</v>
      </c>
    </row>
    <row r="238" spans="1:70" x14ac:dyDescent="0.3">
      <c r="A238" s="11" t="s">
        <v>536</v>
      </c>
      <c r="B238" s="12">
        <v>225200</v>
      </c>
      <c r="C238" s="12">
        <v>716500</v>
      </c>
      <c r="D238" s="12">
        <v>0.15</v>
      </c>
      <c r="E238" s="12">
        <v>0.38</v>
      </c>
      <c r="F238" s="12">
        <v>0.08</v>
      </c>
      <c r="G238" s="12">
        <v>0.21</v>
      </c>
      <c r="H238" s="12">
        <v>0.52</v>
      </c>
      <c r="I238" s="12">
        <v>0.1</v>
      </c>
      <c r="J238" s="12">
        <v>0.28999999999999998</v>
      </c>
      <c r="K238" s="12">
        <v>0.74</v>
      </c>
      <c r="L238" s="12">
        <v>0.15</v>
      </c>
      <c r="M238" s="8">
        <v>6</v>
      </c>
      <c r="N238">
        <v>7</v>
      </c>
      <c r="O238" s="12">
        <v>8</v>
      </c>
      <c r="BF238" s="9">
        <v>2.37</v>
      </c>
      <c r="BG238" s="9">
        <f t="shared" si="7"/>
        <v>8.8607594936708847E-2</v>
      </c>
      <c r="BH238" s="9">
        <f t="shared" si="6"/>
        <v>0.11503918022905366</v>
      </c>
      <c r="BQ238" s="8">
        <v>7</v>
      </c>
      <c r="BR238" s="8" t="s">
        <v>537</v>
      </c>
    </row>
    <row r="239" spans="1:70" x14ac:dyDescent="0.3">
      <c r="A239" s="11" t="s">
        <v>538</v>
      </c>
      <c r="B239" s="12">
        <v>203000</v>
      </c>
      <c r="C239" s="12">
        <v>709000</v>
      </c>
      <c r="D239" s="12">
        <v>0.09</v>
      </c>
      <c r="E239" s="12">
        <v>0.22</v>
      </c>
      <c r="F239" s="12">
        <v>0.05</v>
      </c>
      <c r="G239" s="12">
        <v>0.11</v>
      </c>
      <c r="H239" s="12">
        <v>0.28000000000000003</v>
      </c>
      <c r="I239" s="12">
        <v>7.0000000000000007E-2</v>
      </c>
      <c r="J239" s="12">
        <v>0.15</v>
      </c>
      <c r="K239" s="12">
        <v>0.38</v>
      </c>
      <c r="L239" s="12">
        <v>0.09</v>
      </c>
      <c r="M239" s="8">
        <v>7</v>
      </c>
      <c r="N239">
        <v>9</v>
      </c>
      <c r="O239" s="12">
        <v>11</v>
      </c>
      <c r="BF239" s="9">
        <v>2.38</v>
      </c>
      <c r="BG239" s="9">
        <f t="shared" si="7"/>
        <v>8.8235294117647065E-2</v>
      </c>
      <c r="BH239" s="9">
        <f t="shared" si="6"/>
        <v>0.11455582232893159</v>
      </c>
      <c r="BQ239" s="8">
        <v>8</v>
      </c>
      <c r="BR239" s="8" t="s">
        <v>539</v>
      </c>
    </row>
    <row r="240" spans="1:70" x14ac:dyDescent="0.3">
      <c r="A240" s="11" t="s">
        <v>540</v>
      </c>
      <c r="B240" s="12">
        <v>210300</v>
      </c>
      <c r="C240" s="12">
        <v>668500</v>
      </c>
      <c r="D240" s="12">
        <v>0.09</v>
      </c>
      <c r="E240" s="12">
        <v>0.21</v>
      </c>
      <c r="F240" s="12">
        <v>0.05</v>
      </c>
      <c r="G240" s="12">
        <v>0.11</v>
      </c>
      <c r="H240" s="12">
        <v>0.27</v>
      </c>
      <c r="I240" s="12">
        <v>7.0000000000000007E-2</v>
      </c>
      <c r="J240" s="12">
        <v>0.14000000000000001</v>
      </c>
      <c r="K240" s="12">
        <v>0.35</v>
      </c>
      <c r="L240" s="12">
        <v>0.09</v>
      </c>
      <c r="M240" s="8">
        <v>7</v>
      </c>
      <c r="N240">
        <v>9</v>
      </c>
      <c r="O240" s="12">
        <v>11</v>
      </c>
      <c r="BF240" s="9">
        <v>2.39</v>
      </c>
      <c r="BG240" s="9">
        <f t="shared" si="7"/>
        <v>8.7866108786610872E-2</v>
      </c>
      <c r="BH240" s="9">
        <f t="shared" si="6"/>
        <v>0.11407650926479379</v>
      </c>
      <c r="BQ240" s="8">
        <v>8</v>
      </c>
      <c r="BR240" s="8" t="s">
        <v>541</v>
      </c>
    </row>
    <row r="241" spans="1:70" x14ac:dyDescent="0.3">
      <c r="A241" s="11" t="s">
        <v>542</v>
      </c>
      <c r="B241" s="12">
        <v>194900</v>
      </c>
      <c r="C241" s="12">
        <v>658400</v>
      </c>
      <c r="D241" s="12">
        <v>7.0000000000000007E-2</v>
      </c>
      <c r="E241" s="12">
        <v>0.16</v>
      </c>
      <c r="F241" s="12">
        <v>0.04</v>
      </c>
      <c r="G241" s="12">
        <v>0.08</v>
      </c>
      <c r="H241" s="12">
        <v>0.2</v>
      </c>
      <c r="I241" s="12">
        <v>0.06</v>
      </c>
      <c r="J241" s="12">
        <v>0.1</v>
      </c>
      <c r="K241" s="12">
        <v>0.26</v>
      </c>
      <c r="L241" s="12">
        <v>0.08</v>
      </c>
      <c r="M241" s="8">
        <v>8</v>
      </c>
      <c r="N241">
        <v>9</v>
      </c>
      <c r="O241" s="12">
        <v>12</v>
      </c>
      <c r="BF241" s="9">
        <v>2.4</v>
      </c>
      <c r="BG241" s="9">
        <f t="shared" si="7"/>
        <v>8.7499999999999994E-2</v>
      </c>
      <c r="BH241" s="9">
        <f t="shared" si="6"/>
        <v>0.11360119047619049</v>
      </c>
      <c r="BQ241" s="8">
        <v>8</v>
      </c>
      <c r="BR241" s="8" t="s">
        <v>543</v>
      </c>
    </row>
    <row r="242" spans="1:70" x14ac:dyDescent="0.3">
      <c r="A242" s="11" t="s">
        <v>544</v>
      </c>
      <c r="B242" s="12">
        <v>161700</v>
      </c>
      <c r="C242" s="12">
        <v>617300</v>
      </c>
      <c r="D242" s="12">
        <v>0.06</v>
      </c>
      <c r="E242" s="12">
        <v>0.15</v>
      </c>
      <c r="F242" s="12">
        <v>0.04</v>
      </c>
      <c r="G242" s="12">
        <v>0.08</v>
      </c>
      <c r="H242" s="12">
        <v>0.21</v>
      </c>
      <c r="I242" s="12">
        <v>0.05</v>
      </c>
      <c r="J242" s="12">
        <v>0.12</v>
      </c>
      <c r="K242" s="12">
        <v>0.28999999999999998</v>
      </c>
      <c r="L242" s="12">
        <v>7.0000000000000007E-2</v>
      </c>
      <c r="M242" s="8">
        <v>8</v>
      </c>
      <c r="N242">
        <v>10</v>
      </c>
      <c r="O242" s="12">
        <v>12</v>
      </c>
      <c r="BF242" s="9">
        <v>2.41</v>
      </c>
      <c r="BG242" s="9">
        <f t="shared" si="7"/>
        <v>8.7136929460580909E-2</v>
      </c>
      <c r="BH242" s="9">
        <f t="shared" si="6"/>
        <v>0.11312981624184945</v>
      </c>
      <c r="BQ242" s="8">
        <v>7</v>
      </c>
      <c r="BR242" s="8" t="s">
        <v>545</v>
      </c>
    </row>
    <row r="243" spans="1:70" x14ac:dyDescent="0.3">
      <c r="A243" s="11" t="s">
        <v>546</v>
      </c>
      <c r="B243" s="12">
        <v>188000</v>
      </c>
      <c r="C243" s="12">
        <v>686300</v>
      </c>
      <c r="D243" s="12">
        <v>7.0000000000000007E-2</v>
      </c>
      <c r="E243" s="12">
        <v>0.16</v>
      </c>
      <c r="F243" s="12">
        <v>0.04</v>
      </c>
      <c r="G243" s="12">
        <v>0.08</v>
      </c>
      <c r="H243" s="12">
        <v>0.2</v>
      </c>
      <c r="I243" s="12">
        <v>0.06</v>
      </c>
      <c r="J243" s="12">
        <v>0.1</v>
      </c>
      <c r="K243" s="12">
        <v>0.26</v>
      </c>
      <c r="L243" s="12">
        <v>0.08</v>
      </c>
      <c r="M243" s="8">
        <v>8</v>
      </c>
      <c r="N243">
        <v>10</v>
      </c>
      <c r="O243" s="12">
        <v>12</v>
      </c>
      <c r="BF243" s="9">
        <v>2.42</v>
      </c>
      <c r="BG243" s="9">
        <f t="shared" si="7"/>
        <v>8.6776859504132234E-2</v>
      </c>
      <c r="BH243" s="9">
        <f t="shared" si="6"/>
        <v>0.11266233766233769</v>
      </c>
      <c r="BQ243" s="8">
        <v>8</v>
      </c>
      <c r="BR243" s="8" t="s">
        <v>547</v>
      </c>
    </row>
    <row r="244" spans="1:70" x14ac:dyDescent="0.3">
      <c r="A244" s="11" t="s">
        <v>548</v>
      </c>
      <c r="B244" s="12">
        <v>201400</v>
      </c>
      <c r="C244" s="12">
        <v>693300</v>
      </c>
      <c r="D244" s="12">
        <v>0.08</v>
      </c>
      <c r="E244" s="12">
        <v>0.19</v>
      </c>
      <c r="F244" s="12">
        <v>0.05</v>
      </c>
      <c r="G244" s="12">
        <v>0.1</v>
      </c>
      <c r="H244" s="12">
        <v>0.24</v>
      </c>
      <c r="I244" s="12">
        <v>0.06</v>
      </c>
      <c r="J244" s="12">
        <v>0.12</v>
      </c>
      <c r="K244" s="12">
        <v>0.32</v>
      </c>
      <c r="L244" s="12">
        <v>0.09</v>
      </c>
      <c r="M244" s="8">
        <v>7</v>
      </c>
      <c r="N244">
        <v>9</v>
      </c>
      <c r="O244" s="12">
        <v>11</v>
      </c>
      <c r="BF244" s="9">
        <v>2.4300000000000002</v>
      </c>
      <c r="BG244" s="9">
        <f t="shared" si="7"/>
        <v>8.6419753086419748E-2</v>
      </c>
      <c r="BH244" s="9">
        <f t="shared" si="6"/>
        <v>0.1121987066431511</v>
      </c>
      <c r="BQ244" s="8">
        <v>7</v>
      </c>
      <c r="BR244" s="8" t="s">
        <v>549</v>
      </c>
    </row>
    <row r="245" spans="1:70" x14ac:dyDescent="0.3">
      <c r="A245" s="11" t="s">
        <v>550</v>
      </c>
      <c r="B245" s="12">
        <v>175700</v>
      </c>
      <c r="C245" s="12">
        <v>658200</v>
      </c>
      <c r="D245" s="12">
        <v>0.06</v>
      </c>
      <c r="E245" s="12">
        <v>0.13</v>
      </c>
      <c r="F245" s="12">
        <v>0.04</v>
      </c>
      <c r="G245" s="12">
        <v>7.0000000000000007E-2</v>
      </c>
      <c r="H245" s="12">
        <v>0.17</v>
      </c>
      <c r="I245" s="12">
        <v>0.05</v>
      </c>
      <c r="J245" s="12">
        <v>0.09</v>
      </c>
      <c r="K245" s="12">
        <v>0.22</v>
      </c>
      <c r="L245" s="12">
        <v>7.0000000000000007E-2</v>
      </c>
      <c r="M245" s="8">
        <v>8</v>
      </c>
      <c r="N245">
        <v>10</v>
      </c>
      <c r="O245" s="12">
        <v>12</v>
      </c>
      <c r="BF245" s="9">
        <v>2.44</v>
      </c>
      <c r="BG245" s="9">
        <f t="shared" si="7"/>
        <v>8.6065573770491802E-2</v>
      </c>
      <c r="BH245" s="9">
        <f t="shared" si="6"/>
        <v>0.11173887587822016</v>
      </c>
      <c r="BQ245" s="8">
        <v>7</v>
      </c>
      <c r="BR245" s="8" t="s">
        <v>551</v>
      </c>
    </row>
    <row r="246" spans="1:70" x14ac:dyDescent="0.3">
      <c r="A246" s="11" t="s">
        <v>552</v>
      </c>
      <c r="B246" s="12">
        <v>209900</v>
      </c>
      <c r="C246" s="12">
        <v>618200</v>
      </c>
      <c r="D246" s="12">
        <v>0.08</v>
      </c>
      <c r="E246" s="12">
        <v>0.2</v>
      </c>
      <c r="F246" s="12">
        <v>0.05</v>
      </c>
      <c r="G246" s="12">
        <v>0.1</v>
      </c>
      <c r="H246" s="12">
        <v>0.25</v>
      </c>
      <c r="I246" s="12">
        <v>7.0000000000000007E-2</v>
      </c>
      <c r="J246" s="12">
        <v>0.13</v>
      </c>
      <c r="K246" s="12">
        <v>0.33</v>
      </c>
      <c r="L246" s="12">
        <v>0.09</v>
      </c>
      <c r="M246" s="8">
        <v>7</v>
      </c>
      <c r="N246">
        <v>9</v>
      </c>
      <c r="O246" s="12">
        <v>10</v>
      </c>
      <c r="BF246" s="9">
        <v>2.4500000000000002</v>
      </c>
      <c r="BG246" s="9">
        <f t="shared" si="7"/>
        <v>8.5714285714285701E-2</v>
      </c>
      <c r="BH246" s="9">
        <f t="shared" si="6"/>
        <v>0.11128279883381925</v>
      </c>
      <c r="BQ246" s="8">
        <v>6</v>
      </c>
      <c r="BR246" s="8" t="s">
        <v>553</v>
      </c>
    </row>
    <row r="247" spans="1:70" x14ac:dyDescent="0.3">
      <c r="A247" s="11" t="s">
        <v>554</v>
      </c>
      <c r="B247" s="12">
        <v>200500</v>
      </c>
      <c r="C247" s="12">
        <v>722800</v>
      </c>
      <c r="D247" s="12">
        <v>0.1</v>
      </c>
      <c r="E247" s="12">
        <v>0.25</v>
      </c>
      <c r="F247" s="12">
        <v>0.06</v>
      </c>
      <c r="G247" s="12">
        <v>0.13</v>
      </c>
      <c r="H247" s="12">
        <v>0.33</v>
      </c>
      <c r="I247" s="12">
        <v>7.0000000000000007E-2</v>
      </c>
      <c r="J247" s="12">
        <v>0.18</v>
      </c>
      <c r="K247" s="12">
        <v>0.46</v>
      </c>
      <c r="L247" s="12">
        <v>0.1</v>
      </c>
      <c r="M247" s="8">
        <v>7</v>
      </c>
      <c r="N247">
        <v>8</v>
      </c>
      <c r="O247" s="12">
        <v>10</v>
      </c>
      <c r="BF247" s="9">
        <v>2.46</v>
      </c>
      <c r="BG247" s="9">
        <f t="shared" si="7"/>
        <v>8.5365853658536578E-2</v>
      </c>
      <c r="BH247" s="9">
        <f t="shared" si="6"/>
        <v>0.11083042973286877</v>
      </c>
      <c r="BQ247" s="8">
        <v>7</v>
      </c>
      <c r="BR247" s="8" t="s">
        <v>555</v>
      </c>
    </row>
    <row r="248" spans="1:70" x14ac:dyDescent="0.3">
      <c r="A248" s="11" t="s">
        <v>556</v>
      </c>
      <c r="B248" s="12">
        <v>205700</v>
      </c>
      <c r="C248" s="12">
        <v>744500</v>
      </c>
      <c r="D248" s="12">
        <v>0.14000000000000001</v>
      </c>
      <c r="E248" s="12">
        <v>0.33</v>
      </c>
      <c r="F248" s="12">
        <v>7.0000000000000007E-2</v>
      </c>
      <c r="G248" s="12">
        <v>0.19</v>
      </c>
      <c r="H248" s="12">
        <v>0.47</v>
      </c>
      <c r="I248" s="12">
        <v>0.09</v>
      </c>
      <c r="J248" s="12">
        <v>0.28000000000000003</v>
      </c>
      <c r="K248" s="12">
        <v>0.7</v>
      </c>
      <c r="L248" s="12">
        <v>0.13</v>
      </c>
      <c r="M248" s="8">
        <v>6</v>
      </c>
      <c r="N248">
        <v>7</v>
      </c>
      <c r="O248" s="12">
        <v>8</v>
      </c>
      <c r="BF248" s="9">
        <v>2.4700000000000002</v>
      </c>
      <c r="BG248" s="9">
        <f t="shared" si="7"/>
        <v>8.5020242914979741E-2</v>
      </c>
      <c r="BH248" s="9">
        <f t="shared" si="6"/>
        <v>0.11038172353961828</v>
      </c>
      <c r="BQ248" s="8">
        <v>7</v>
      </c>
      <c r="BR248" s="8" t="s">
        <v>557</v>
      </c>
    </row>
    <row r="249" spans="1:70" x14ac:dyDescent="0.3">
      <c r="A249" s="11" t="s">
        <v>558</v>
      </c>
      <c r="B249" s="12">
        <v>213500</v>
      </c>
      <c r="C249" s="12">
        <v>759500</v>
      </c>
      <c r="D249" s="12">
        <v>0.13</v>
      </c>
      <c r="E249" s="12">
        <v>0.32</v>
      </c>
      <c r="F249" s="12">
        <v>7.0000000000000007E-2</v>
      </c>
      <c r="G249" s="12">
        <v>0.16</v>
      </c>
      <c r="H249" s="12">
        <v>0.41</v>
      </c>
      <c r="I249" s="12">
        <v>0.09</v>
      </c>
      <c r="J249" s="12">
        <v>0.22</v>
      </c>
      <c r="K249" s="12">
        <v>0.56999999999999995</v>
      </c>
      <c r="L249" s="12">
        <v>0.12</v>
      </c>
      <c r="M249" s="8">
        <v>7</v>
      </c>
      <c r="N249">
        <v>8</v>
      </c>
      <c r="O249" s="12">
        <v>10</v>
      </c>
      <c r="BF249" s="9">
        <v>2.48</v>
      </c>
      <c r="BG249" s="9">
        <f t="shared" si="7"/>
        <v>8.4677419354838704E-2</v>
      </c>
      <c r="BH249" s="9">
        <f t="shared" si="6"/>
        <v>0.10993663594470048</v>
      </c>
      <c r="BQ249" s="8">
        <v>8</v>
      </c>
      <c r="BR249" s="8" t="s">
        <v>559</v>
      </c>
    </row>
    <row r="250" spans="1:70" x14ac:dyDescent="0.3">
      <c r="A250" s="11" t="s">
        <v>560</v>
      </c>
      <c r="B250" s="12">
        <v>217800</v>
      </c>
      <c r="C250" s="12">
        <v>761000</v>
      </c>
      <c r="D250" s="12">
        <v>0.13</v>
      </c>
      <c r="E250" s="12">
        <v>0.32</v>
      </c>
      <c r="F250" s="12">
        <v>7.0000000000000007E-2</v>
      </c>
      <c r="G250" s="12">
        <v>0.16</v>
      </c>
      <c r="H250" s="12">
        <v>0.41</v>
      </c>
      <c r="I250" s="12">
        <v>0.08</v>
      </c>
      <c r="J250" s="12">
        <v>0.21</v>
      </c>
      <c r="K250" s="12">
        <v>0.55000000000000004</v>
      </c>
      <c r="L250" s="12">
        <v>0.11</v>
      </c>
      <c r="M250" s="8">
        <v>7</v>
      </c>
      <c r="N250">
        <v>8</v>
      </c>
      <c r="O250" s="12">
        <v>10</v>
      </c>
      <c r="BF250" s="9">
        <v>2.4900000000000002</v>
      </c>
      <c r="BG250" s="9">
        <f t="shared" si="7"/>
        <v>8.4337349397590355E-2</v>
      </c>
      <c r="BH250" s="9">
        <f t="shared" si="6"/>
        <v>0.10949512335054505</v>
      </c>
      <c r="BQ250" s="8">
        <v>7</v>
      </c>
      <c r="BR250" s="8" t="s">
        <v>561</v>
      </c>
    </row>
    <row r="251" spans="1:70" x14ac:dyDescent="0.3">
      <c r="A251" s="11" t="s">
        <v>562</v>
      </c>
      <c r="B251" s="12">
        <v>195600</v>
      </c>
      <c r="C251" s="12">
        <v>673400</v>
      </c>
      <c r="D251" s="12">
        <v>7.0000000000000007E-2</v>
      </c>
      <c r="E251" s="12">
        <v>0.17</v>
      </c>
      <c r="F251" s="12">
        <v>0.05</v>
      </c>
      <c r="G251" s="12">
        <v>0.08</v>
      </c>
      <c r="H251" s="12">
        <v>0.21</v>
      </c>
      <c r="I251" s="12">
        <v>0.06</v>
      </c>
      <c r="J251" s="12">
        <v>0.11</v>
      </c>
      <c r="K251" s="12">
        <v>0.27</v>
      </c>
      <c r="L251" s="12">
        <v>0.08</v>
      </c>
      <c r="M251" s="8">
        <v>8</v>
      </c>
      <c r="N251">
        <v>9</v>
      </c>
      <c r="O251" s="12">
        <v>12</v>
      </c>
      <c r="BF251" s="9">
        <v>2.5</v>
      </c>
      <c r="BG251" s="9">
        <f t="shared" si="7"/>
        <v>8.3999999999999991E-2</v>
      </c>
      <c r="BH251" s="9">
        <f t="shared" si="6"/>
        <v>0.10905714285714288</v>
      </c>
      <c r="BQ251" s="8">
        <v>7</v>
      </c>
      <c r="BR251" s="8" t="s">
        <v>563</v>
      </c>
    </row>
    <row r="252" spans="1:70" x14ac:dyDescent="0.3">
      <c r="A252" s="11" t="s">
        <v>564</v>
      </c>
      <c r="B252" s="12">
        <v>203000</v>
      </c>
      <c r="C252" s="12">
        <v>569000</v>
      </c>
      <c r="D252" s="12">
        <v>0.08</v>
      </c>
      <c r="E252" s="12">
        <v>0.2</v>
      </c>
      <c r="F252" s="12">
        <v>0.05</v>
      </c>
      <c r="G252" s="12">
        <v>0.1</v>
      </c>
      <c r="H252" s="12">
        <v>0.25</v>
      </c>
      <c r="I252" s="12">
        <v>0.06</v>
      </c>
      <c r="J252" s="12">
        <v>0.13</v>
      </c>
      <c r="K252" s="12">
        <v>0.34</v>
      </c>
      <c r="L252" s="12">
        <v>0.09</v>
      </c>
      <c r="M252" s="8">
        <v>7</v>
      </c>
      <c r="N252">
        <v>8</v>
      </c>
      <c r="O252" s="12">
        <v>10</v>
      </c>
      <c r="BF252" s="9">
        <v>2.5099999999999998</v>
      </c>
      <c r="BG252" s="9">
        <f t="shared" si="7"/>
        <v>8.3665338645418336E-2</v>
      </c>
      <c r="BH252" s="9">
        <f t="shared" si="6"/>
        <v>0.10862265224815028</v>
      </c>
      <c r="BQ252" s="8">
        <v>6</v>
      </c>
      <c r="BR252" s="8" t="s">
        <v>565</v>
      </c>
    </row>
    <row r="253" spans="1:70" x14ac:dyDescent="0.3">
      <c r="A253" s="11" t="s">
        <v>566</v>
      </c>
      <c r="B253" s="12">
        <v>192000</v>
      </c>
      <c r="C253" s="12">
        <v>716000</v>
      </c>
      <c r="D253" s="12">
        <v>0.08</v>
      </c>
      <c r="E253" s="12">
        <v>0.2</v>
      </c>
      <c r="F253" s="12">
        <v>0.05</v>
      </c>
      <c r="G253" s="12">
        <v>0.1</v>
      </c>
      <c r="H253" s="12">
        <v>0.26</v>
      </c>
      <c r="I253" s="12">
        <v>7.0000000000000007E-2</v>
      </c>
      <c r="J253" s="12">
        <v>0.14000000000000001</v>
      </c>
      <c r="K253" s="12">
        <v>0.35</v>
      </c>
      <c r="L253" s="12">
        <v>0.09</v>
      </c>
      <c r="M253" s="8">
        <v>7</v>
      </c>
      <c r="N253">
        <v>9</v>
      </c>
      <c r="O253" s="12">
        <v>11</v>
      </c>
      <c r="BF253" s="9">
        <v>2.52</v>
      </c>
      <c r="BG253" s="9">
        <f t="shared" si="7"/>
        <v>8.3333333333333329E-2</v>
      </c>
      <c r="BH253" s="9">
        <f t="shared" si="6"/>
        <v>0.10819160997732429</v>
      </c>
      <c r="BQ253" s="8">
        <v>8</v>
      </c>
      <c r="BR253" s="8" t="s">
        <v>567</v>
      </c>
    </row>
    <row r="254" spans="1:70" x14ac:dyDescent="0.3">
      <c r="A254" s="11" t="s">
        <v>568</v>
      </c>
      <c r="B254" s="12">
        <v>241900</v>
      </c>
      <c r="C254" s="12">
        <v>770100</v>
      </c>
      <c r="D254" s="12">
        <v>0.18</v>
      </c>
      <c r="E254" s="12">
        <v>0.46</v>
      </c>
      <c r="F254" s="12">
        <v>0.09</v>
      </c>
      <c r="G254" s="12">
        <v>0.23</v>
      </c>
      <c r="H254" s="12">
        <v>0.6</v>
      </c>
      <c r="I254" s="12">
        <v>0.12</v>
      </c>
      <c r="J254" s="12">
        <v>0.3</v>
      </c>
      <c r="K254" s="12">
        <v>0.8</v>
      </c>
      <c r="L254" s="12">
        <v>0.17</v>
      </c>
      <c r="M254" s="8">
        <v>6</v>
      </c>
      <c r="N254">
        <v>7</v>
      </c>
      <c r="O254" s="12">
        <v>8</v>
      </c>
      <c r="BF254" s="9">
        <v>2.5299999999999998</v>
      </c>
      <c r="BG254" s="9">
        <f t="shared" si="7"/>
        <v>8.3003952569169967E-2</v>
      </c>
      <c r="BH254" s="9">
        <f t="shared" si="6"/>
        <v>0.10776397515527952</v>
      </c>
      <c r="BQ254" s="8">
        <v>8</v>
      </c>
      <c r="BR254" s="8" t="s">
        <v>569</v>
      </c>
    </row>
    <row r="255" spans="1:70" x14ac:dyDescent="0.3">
      <c r="A255" s="11" t="s">
        <v>570</v>
      </c>
      <c r="B255" s="12">
        <v>191000</v>
      </c>
      <c r="C255" s="12">
        <v>699700</v>
      </c>
      <c r="D255" s="12">
        <v>7.0000000000000007E-2</v>
      </c>
      <c r="E255" s="12">
        <v>0.17</v>
      </c>
      <c r="F255" s="12">
        <v>0.05</v>
      </c>
      <c r="G255" s="12">
        <v>0.09</v>
      </c>
      <c r="H255" s="12">
        <v>0.22</v>
      </c>
      <c r="I255" s="12">
        <v>0.06</v>
      </c>
      <c r="J255" s="12">
        <v>0.11</v>
      </c>
      <c r="K255" s="12">
        <v>0.28999999999999998</v>
      </c>
      <c r="L255" s="12">
        <v>0.08</v>
      </c>
      <c r="M255" s="8">
        <v>8</v>
      </c>
      <c r="N255">
        <v>9</v>
      </c>
      <c r="O255" s="12">
        <v>12</v>
      </c>
      <c r="BF255" s="9">
        <v>2.54</v>
      </c>
      <c r="BG255" s="9">
        <f t="shared" si="7"/>
        <v>8.2677165354330701E-2</v>
      </c>
      <c r="BH255" s="9">
        <f t="shared" si="6"/>
        <v>0.10733970753655794</v>
      </c>
      <c r="BQ255" s="8">
        <v>8</v>
      </c>
      <c r="BR255" s="8" t="s">
        <v>571</v>
      </c>
    </row>
    <row r="256" spans="1:70" x14ac:dyDescent="0.3">
      <c r="A256" s="11" t="s">
        <v>572</v>
      </c>
      <c r="B256" s="12">
        <v>194600</v>
      </c>
      <c r="C256" s="12">
        <v>689100</v>
      </c>
      <c r="D256" s="12">
        <v>7.0000000000000007E-2</v>
      </c>
      <c r="E256" s="12">
        <v>0.17</v>
      </c>
      <c r="F256" s="12">
        <v>0.05</v>
      </c>
      <c r="G256" s="12">
        <v>0.09</v>
      </c>
      <c r="H256" s="12">
        <v>0.21</v>
      </c>
      <c r="I256" s="12">
        <v>0.06</v>
      </c>
      <c r="J256" s="12">
        <v>0.11</v>
      </c>
      <c r="K256" s="12">
        <v>0.28000000000000003</v>
      </c>
      <c r="L256" s="12">
        <v>0.08</v>
      </c>
      <c r="M256" s="8">
        <v>8</v>
      </c>
      <c r="N256">
        <v>9</v>
      </c>
      <c r="O256" s="12">
        <v>12</v>
      </c>
      <c r="BF256" s="9">
        <v>2.5499999999999998</v>
      </c>
      <c r="BG256" s="9">
        <f t="shared" si="7"/>
        <v>8.2352941176470587E-2</v>
      </c>
      <c r="BH256" s="9">
        <f t="shared" si="6"/>
        <v>0.10691876750700283</v>
      </c>
      <c r="BQ256" s="8">
        <v>9</v>
      </c>
      <c r="BR256" s="8" t="s">
        <v>573</v>
      </c>
    </row>
    <row r="257" spans="1:70" x14ac:dyDescent="0.3">
      <c r="A257" s="11" t="s">
        <v>574</v>
      </c>
      <c r="B257" s="12">
        <v>177700</v>
      </c>
      <c r="C257" s="12">
        <v>643400</v>
      </c>
      <c r="D257" s="12">
        <v>0.06</v>
      </c>
      <c r="E257" s="12">
        <v>0.14000000000000001</v>
      </c>
      <c r="F257" s="12">
        <v>0.04</v>
      </c>
      <c r="G257" s="12">
        <v>7.0000000000000007E-2</v>
      </c>
      <c r="H257" s="12">
        <v>0.18</v>
      </c>
      <c r="I257" s="12">
        <v>0.05</v>
      </c>
      <c r="J257" s="12">
        <v>0.09</v>
      </c>
      <c r="K257" s="12">
        <v>0.23</v>
      </c>
      <c r="L257" s="12">
        <v>7.0000000000000007E-2</v>
      </c>
      <c r="M257" s="8">
        <v>8</v>
      </c>
      <c r="N257">
        <v>10</v>
      </c>
      <c r="O257" s="12">
        <v>12</v>
      </c>
      <c r="BF257" s="9">
        <v>2.56</v>
      </c>
      <c r="BG257" s="9">
        <f t="shared" si="7"/>
        <v>8.203125E-2</v>
      </c>
      <c r="BH257" s="9">
        <f t="shared" si="6"/>
        <v>0.10650111607142859</v>
      </c>
      <c r="BQ257" s="8">
        <v>8</v>
      </c>
      <c r="BR257" s="8" t="s">
        <v>575</v>
      </c>
    </row>
    <row r="258" spans="1:70" x14ac:dyDescent="0.3">
      <c r="A258" s="11" t="s">
        <v>576</v>
      </c>
      <c r="B258" s="12">
        <v>149100</v>
      </c>
      <c r="C258" s="12">
        <v>568900</v>
      </c>
      <c r="D258" s="12">
        <v>0.04</v>
      </c>
      <c r="E258" s="12">
        <v>0.09</v>
      </c>
      <c r="F258" s="12">
        <v>0.03</v>
      </c>
      <c r="G258" s="12">
        <v>0.05</v>
      </c>
      <c r="H258" s="12">
        <v>0.12</v>
      </c>
      <c r="I258" s="12">
        <v>0.04</v>
      </c>
      <c r="J258" s="12">
        <v>0.06</v>
      </c>
      <c r="K258" s="12">
        <v>0.15</v>
      </c>
      <c r="L258" s="12">
        <v>0.06</v>
      </c>
      <c r="M258" s="8">
        <v>9</v>
      </c>
      <c r="N258">
        <v>11</v>
      </c>
      <c r="O258" s="12">
        <v>13</v>
      </c>
      <c r="BF258" s="9">
        <v>2.57</v>
      </c>
      <c r="BG258" s="9">
        <f t="shared" si="7"/>
        <v>8.171206225680934E-2</v>
      </c>
      <c r="BH258" s="9">
        <f t="shared" ref="BH258:BH321" si="8">IFERROR(IF($BF258&lt;AZ$33,AZ$32*(AZ$30/AZ$29+(1-AZ$30/AZ$29)*$BF258/AZ$33),IF($BF258&lt;AZ$34,AZ$32,IF($BF258&lt;AZ$35,AZ$31/$BF258,AZ$31*AZ$35/($BF258^2))))*$BC$29,"")</f>
        <v>0.10608671484157868</v>
      </c>
      <c r="BQ258" s="8">
        <v>6</v>
      </c>
      <c r="BR258" s="8" t="s">
        <v>577</v>
      </c>
    </row>
    <row r="259" spans="1:70" x14ac:dyDescent="0.3">
      <c r="A259" s="11" t="s">
        <v>578</v>
      </c>
      <c r="B259" s="12">
        <v>162000</v>
      </c>
      <c r="C259" s="12">
        <v>601700</v>
      </c>
      <c r="D259" s="12">
        <v>0.06</v>
      </c>
      <c r="E259" s="12">
        <v>0.14000000000000001</v>
      </c>
      <c r="F259" s="12">
        <v>0.04</v>
      </c>
      <c r="G259" s="12">
        <v>7.0000000000000007E-2</v>
      </c>
      <c r="H259" s="12">
        <v>0.18</v>
      </c>
      <c r="I259" s="12">
        <v>0.05</v>
      </c>
      <c r="J259" s="12">
        <v>0.1</v>
      </c>
      <c r="K259" s="12">
        <v>0.25</v>
      </c>
      <c r="L259" s="12">
        <v>0.06</v>
      </c>
      <c r="M259" s="8">
        <v>8</v>
      </c>
      <c r="N259">
        <v>10</v>
      </c>
      <c r="O259" s="12">
        <v>13</v>
      </c>
      <c r="BF259" s="9">
        <v>2.58</v>
      </c>
      <c r="BG259" s="9">
        <f t="shared" ref="BG259:BG322" si="9">IF(BF259&lt;AY$33,AY$32*(AY$30/AY$29+(1-AY$30/AY$29)*BF259/AY$33),IF(BF259&lt;AY$34,AY$32,IF(BF259&lt;AY$35,AY$31/BF259,AY$31*AY$35/(BF259^2))))*$BC$29</f>
        <v>8.1395348837209294E-2</v>
      </c>
      <c r="BH259" s="9">
        <f t="shared" si="8"/>
        <v>0.10567552602436325</v>
      </c>
      <c r="BQ259" s="8">
        <v>6</v>
      </c>
      <c r="BR259" s="8" t="s">
        <v>579</v>
      </c>
    </row>
    <row r="260" spans="1:70" x14ac:dyDescent="0.3">
      <c r="A260" s="11" t="s">
        <v>580</v>
      </c>
      <c r="B260" s="12">
        <v>235300</v>
      </c>
      <c r="C260" s="12">
        <v>719100</v>
      </c>
      <c r="D260" s="12">
        <v>0.17</v>
      </c>
      <c r="E260" s="12">
        <v>0.43</v>
      </c>
      <c r="F260" s="12">
        <v>0.08</v>
      </c>
      <c r="G260" s="12">
        <v>0.22</v>
      </c>
      <c r="H260" s="12">
        <v>0.56999999999999995</v>
      </c>
      <c r="I260" s="12">
        <v>0.11</v>
      </c>
      <c r="J260" s="12">
        <v>0.3</v>
      </c>
      <c r="K260" s="12">
        <v>0.77</v>
      </c>
      <c r="L260" s="12">
        <v>0.16</v>
      </c>
      <c r="M260" s="8">
        <v>6</v>
      </c>
      <c r="N260">
        <v>7</v>
      </c>
      <c r="O260" s="12">
        <v>8</v>
      </c>
      <c r="BF260" s="9">
        <v>2.59</v>
      </c>
      <c r="BG260" s="9">
        <f t="shared" si="9"/>
        <v>8.1081081081081086E-2</v>
      </c>
      <c r="BH260" s="9">
        <f t="shared" si="8"/>
        <v>0.10526751241036958</v>
      </c>
      <c r="BQ260" s="8">
        <v>7</v>
      </c>
      <c r="BR260" s="8" t="s">
        <v>581</v>
      </c>
    </row>
    <row r="261" spans="1:70" x14ac:dyDescent="0.3">
      <c r="A261" s="11" t="s">
        <v>582</v>
      </c>
      <c r="B261" s="12">
        <v>225400</v>
      </c>
      <c r="C261" s="12">
        <v>639900</v>
      </c>
      <c r="D261" s="12">
        <v>0.12</v>
      </c>
      <c r="E261" s="12">
        <v>0.28999999999999998</v>
      </c>
      <c r="F261" s="12">
        <v>0.06</v>
      </c>
      <c r="G261" s="12">
        <v>0.15</v>
      </c>
      <c r="H261" s="12">
        <v>0.38</v>
      </c>
      <c r="I261" s="12">
        <v>0.09</v>
      </c>
      <c r="J261" s="12">
        <v>0.19</v>
      </c>
      <c r="K261" s="12">
        <v>0.5</v>
      </c>
      <c r="L261" s="12">
        <v>0.12</v>
      </c>
      <c r="M261" s="8">
        <v>6</v>
      </c>
      <c r="N261">
        <v>7</v>
      </c>
      <c r="O261" s="12">
        <v>9</v>
      </c>
      <c r="BF261" s="9">
        <v>2.6</v>
      </c>
      <c r="BG261" s="9">
        <f t="shared" si="9"/>
        <v>8.076923076923076E-2</v>
      </c>
      <c r="BH261" s="9">
        <f t="shared" si="8"/>
        <v>0.10486263736263737</v>
      </c>
      <c r="BQ261" s="8">
        <v>8</v>
      </c>
      <c r="BR261" s="8" t="s">
        <v>583</v>
      </c>
    </row>
    <row r="262" spans="1:70" x14ac:dyDescent="0.3">
      <c r="A262" s="11" t="s">
        <v>584</v>
      </c>
      <c r="B262" s="12">
        <v>196100</v>
      </c>
      <c r="C262" s="12">
        <v>729600</v>
      </c>
      <c r="D262" s="12">
        <v>0.1</v>
      </c>
      <c r="E262" s="12">
        <v>0.25</v>
      </c>
      <c r="F262" s="12">
        <v>0.06</v>
      </c>
      <c r="G262" s="12">
        <v>0.13</v>
      </c>
      <c r="H262" s="12">
        <v>0.33</v>
      </c>
      <c r="I262" s="12">
        <v>7.0000000000000007E-2</v>
      </c>
      <c r="J262" s="12">
        <v>0.18</v>
      </c>
      <c r="K262" s="12">
        <v>0.47</v>
      </c>
      <c r="L262" s="12">
        <v>0.1</v>
      </c>
      <c r="M262" s="8">
        <v>7</v>
      </c>
      <c r="N262">
        <v>8</v>
      </c>
      <c r="O262" s="12">
        <v>10</v>
      </c>
      <c r="BF262" s="9">
        <v>2.61</v>
      </c>
      <c r="BG262" s="9">
        <f t="shared" si="9"/>
        <v>8.0459770114942528E-2</v>
      </c>
      <c r="BH262" s="9">
        <f t="shared" si="8"/>
        <v>0.10446086480569242</v>
      </c>
      <c r="BQ262" s="8">
        <v>7</v>
      </c>
      <c r="BR262" s="8" t="s">
        <v>585</v>
      </c>
    </row>
    <row r="263" spans="1:70" x14ac:dyDescent="0.3">
      <c r="A263" s="11" t="s">
        <v>586</v>
      </c>
      <c r="B263" s="12">
        <v>160000</v>
      </c>
      <c r="C263" s="12">
        <v>589500</v>
      </c>
      <c r="D263" s="12">
        <v>0.05</v>
      </c>
      <c r="E263" s="12">
        <v>0.12</v>
      </c>
      <c r="F263" s="12">
        <v>0.03</v>
      </c>
      <c r="G263" s="12">
        <v>0.06</v>
      </c>
      <c r="H263" s="12">
        <v>0.15</v>
      </c>
      <c r="I263" s="12">
        <v>0.04</v>
      </c>
      <c r="J263" s="12">
        <v>0.08</v>
      </c>
      <c r="K263" s="12">
        <v>0.19</v>
      </c>
      <c r="L263" s="12">
        <v>0.06</v>
      </c>
      <c r="M263" s="8">
        <v>8</v>
      </c>
      <c r="N263">
        <v>10</v>
      </c>
      <c r="O263" s="12">
        <v>13</v>
      </c>
      <c r="BF263" s="9">
        <v>2.62</v>
      </c>
      <c r="BG263" s="9">
        <f t="shared" si="9"/>
        <v>8.0152671755725186E-2</v>
      </c>
      <c r="BH263" s="9">
        <f t="shared" si="8"/>
        <v>0.10406215921483099</v>
      </c>
      <c r="BQ263" s="8">
        <v>8</v>
      </c>
      <c r="BR263" s="8" t="s">
        <v>587</v>
      </c>
    </row>
    <row r="264" spans="1:70" x14ac:dyDescent="0.3">
      <c r="A264" s="11" t="s">
        <v>588</v>
      </c>
      <c r="B264" s="12">
        <v>215700</v>
      </c>
      <c r="C264" s="12">
        <v>639700</v>
      </c>
      <c r="D264" s="12">
        <v>0.09</v>
      </c>
      <c r="E264" s="12">
        <v>0.23</v>
      </c>
      <c r="F264" s="12">
        <v>0.05</v>
      </c>
      <c r="G264" s="12">
        <v>0.11</v>
      </c>
      <c r="H264" s="12">
        <v>0.28999999999999998</v>
      </c>
      <c r="I264" s="12">
        <v>7.0000000000000007E-2</v>
      </c>
      <c r="J264" s="12">
        <v>0.14000000000000001</v>
      </c>
      <c r="K264" s="12">
        <v>0.38</v>
      </c>
      <c r="L264" s="12">
        <v>0.1</v>
      </c>
      <c r="M264" s="8">
        <v>7</v>
      </c>
      <c r="N264">
        <v>8</v>
      </c>
      <c r="O264" s="12">
        <v>10</v>
      </c>
      <c r="BF264" s="9">
        <v>2.63</v>
      </c>
      <c r="BG264" s="9">
        <f t="shared" si="9"/>
        <v>7.9847908745247151E-2</v>
      </c>
      <c r="BH264" s="9">
        <f t="shared" si="8"/>
        <v>0.10366648560564913</v>
      </c>
      <c r="BQ264" s="8">
        <v>6</v>
      </c>
      <c r="BR264" s="8" t="s">
        <v>589</v>
      </c>
    </row>
    <row r="265" spans="1:70" x14ac:dyDescent="0.3">
      <c r="A265" s="11" t="s">
        <v>590</v>
      </c>
      <c r="B265" s="12">
        <v>176700</v>
      </c>
      <c r="C265" s="12">
        <v>585100</v>
      </c>
      <c r="D265" s="12">
        <v>0.06</v>
      </c>
      <c r="E265" s="12">
        <v>0.14000000000000001</v>
      </c>
      <c r="F265" s="12">
        <v>0.04</v>
      </c>
      <c r="G265" s="12">
        <v>0.08</v>
      </c>
      <c r="H265" s="12">
        <v>0.18</v>
      </c>
      <c r="I265" s="12">
        <v>0.05</v>
      </c>
      <c r="J265" s="12">
        <v>0.1</v>
      </c>
      <c r="K265" s="12">
        <v>0.25</v>
      </c>
      <c r="L265" s="12">
        <v>7.0000000000000007E-2</v>
      </c>
      <c r="M265" s="8">
        <v>8</v>
      </c>
      <c r="N265">
        <v>10</v>
      </c>
      <c r="O265" s="12">
        <v>12</v>
      </c>
      <c r="BF265" s="9">
        <v>2.64</v>
      </c>
      <c r="BG265" s="9">
        <f t="shared" si="9"/>
        <v>7.9545454545454544E-2</v>
      </c>
      <c r="BH265" s="9">
        <f t="shared" si="8"/>
        <v>0.10327380952380953</v>
      </c>
      <c r="BQ265" s="8">
        <v>6</v>
      </c>
      <c r="BR265" s="8" t="s">
        <v>591</v>
      </c>
    </row>
    <row r="266" spans="1:70" x14ac:dyDescent="0.3">
      <c r="A266" s="11" t="s">
        <v>592</v>
      </c>
      <c r="B266" s="12">
        <v>241500</v>
      </c>
      <c r="C266" s="12">
        <v>742300</v>
      </c>
      <c r="D266" s="12">
        <v>0.18</v>
      </c>
      <c r="E266" s="12">
        <v>0.47</v>
      </c>
      <c r="F266" s="12">
        <v>0.09</v>
      </c>
      <c r="G266" s="12">
        <v>0.23</v>
      </c>
      <c r="H266" s="12">
        <v>0.6</v>
      </c>
      <c r="I266" s="12">
        <v>0.12</v>
      </c>
      <c r="J266" s="12">
        <v>0.3</v>
      </c>
      <c r="K266" s="12">
        <v>0.79</v>
      </c>
      <c r="L266" s="12">
        <v>0.17</v>
      </c>
      <c r="M266" s="8">
        <v>6</v>
      </c>
      <c r="N266">
        <v>7</v>
      </c>
      <c r="O266" s="12">
        <v>8</v>
      </c>
      <c r="BF266" s="9">
        <v>2.65</v>
      </c>
      <c r="BG266" s="9">
        <f t="shared" si="9"/>
        <v>7.9245283018867921E-2</v>
      </c>
      <c r="BH266" s="9">
        <f t="shared" si="8"/>
        <v>0.10288409703504045</v>
      </c>
      <c r="BQ266" s="8">
        <v>8</v>
      </c>
      <c r="BR266" s="8" t="s">
        <v>593</v>
      </c>
    </row>
    <row r="267" spans="1:70" x14ac:dyDescent="0.3">
      <c r="A267" s="11" t="s">
        <v>594</v>
      </c>
      <c r="B267" s="12">
        <v>223000</v>
      </c>
      <c r="C267" s="12">
        <v>736300</v>
      </c>
      <c r="D267" s="12">
        <v>0.15</v>
      </c>
      <c r="E267" s="12">
        <v>0.36</v>
      </c>
      <c r="F267" s="12">
        <v>7.0000000000000007E-2</v>
      </c>
      <c r="G267" s="12">
        <v>0.19</v>
      </c>
      <c r="H267" s="12">
        <v>0.48</v>
      </c>
      <c r="I267" s="12">
        <v>0.1</v>
      </c>
      <c r="J267" s="12">
        <v>0.27</v>
      </c>
      <c r="K267" s="12">
        <v>0.68</v>
      </c>
      <c r="L267" s="12">
        <v>0.14000000000000001</v>
      </c>
      <c r="M267" s="8">
        <v>6</v>
      </c>
      <c r="N267">
        <v>7</v>
      </c>
      <c r="O267" s="12">
        <v>8</v>
      </c>
      <c r="BF267" s="9">
        <v>2.66</v>
      </c>
      <c r="BG267" s="9">
        <f t="shared" si="9"/>
        <v>7.8947368421052627E-2</v>
      </c>
      <c r="BH267" s="9">
        <f t="shared" si="8"/>
        <v>0.10249731471535983</v>
      </c>
      <c r="BQ267" s="8">
        <v>8</v>
      </c>
      <c r="BR267" s="8" t="s">
        <v>595</v>
      </c>
    </row>
    <row r="268" spans="1:70" x14ac:dyDescent="0.3">
      <c r="A268" s="11" t="s">
        <v>596</v>
      </c>
      <c r="B268" s="12">
        <v>181200</v>
      </c>
      <c r="C268" s="12">
        <v>641500</v>
      </c>
      <c r="D268" s="12">
        <v>0.06</v>
      </c>
      <c r="E268" s="12">
        <v>0.14000000000000001</v>
      </c>
      <c r="F268" s="12">
        <v>0.04</v>
      </c>
      <c r="G268" s="12">
        <v>7.0000000000000007E-2</v>
      </c>
      <c r="H268" s="12">
        <v>0.18</v>
      </c>
      <c r="I268" s="12">
        <v>0.05</v>
      </c>
      <c r="J268" s="12">
        <v>0.09</v>
      </c>
      <c r="K268" s="12">
        <v>0.23</v>
      </c>
      <c r="L268" s="12">
        <v>7.0000000000000007E-2</v>
      </c>
      <c r="M268" s="8">
        <v>8</v>
      </c>
      <c r="N268">
        <v>10</v>
      </c>
      <c r="O268" s="12">
        <v>12</v>
      </c>
      <c r="BF268" s="9">
        <v>2.67</v>
      </c>
      <c r="BG268" s="9">
        <f t="shared" si="9"/>
        <v>7.8651685393258425E-2</v>
      </c>
      <c r="BH268" s="9">
        <f t="shared" si="8"/>
        <v>0.10211342964151955</v>
      </c>
      <c r="BQ268" s="8">
        <v>7</v>
      </c>
      <c r="BR268" s="8" t="s">
        <v>597</v>
      </c>
    </row>
    <row r="269" spans="1:70" x14ac:dyDescent="0.3">
      <c r="A269" s="11" t="s">
        <v>598</v>
      </c>
      <c r="B269" s="12">
        <v>192700</v>
      </c>
      <c r="C269" s="12">
        <v>667300</v>
      </c>
      <c r="D269" s="12">
        <v>0.06</v>
      </c>
      <c r="E269" s="12">
        <v>0.16</v>
      </c>
      <c r="F269" s="12">
        <v>0.04</v>
      </c>
      <c r="G269" s="12">
        <v>0.08</v>
      </c>
      <c r="H269" s="12">
        <v>0.2</v>
      </c>
      <c r="I269" s="12">
        <v>0.06</v>
      </c>
      <c r="J269" s="12">
        <v>0.1</v>
      </c>
      <c r="K269" s="12">
        <v>0.25</v>
      </c>
      <c r="L269" s="12">
        <v>0.08</v>
      </c>
      <c r="M269" s="8">
        <v>8</v>
      </c>
      <c r="N269">
        <v>10</v>
      </c>
      <c r="O269" s="12">
        <v>12</v>
      </c>
      <c r="BF269" s="9">
        <v>2.68</v>
      </c>
      <c r="BG269" s="9">
        <f t="shared" si="9"/>
        <v>7.8358208955223871E-2</v>
      </c>
      <c r="BH269" s="9">
        <f t="shared" si="8"/>
        <v>0.10173240938166313</v>
      </c>
      <c r="BQ269" s="8">
        <v>8</v>
      </c>
      <c r="BR269" s="8" t="s">
        <v>599</v>
      </c>
    </row>
    <row r="270" spans="1:70" x14ac:dyDescent="0.3">
      <c r="A270" s="11" t="s">
        <v>600</v>
      </c>
      <c r="B270" s="12">
        <v>216000</v>
      </c>
      <c r="C270" s="12">
        <v>641000</v>
      </c>
      <c r="D270" s="12">
        <v>0.09</v>
      </c>
      <c r="E270" s="12">
        <v>0.23</v>
      </c>
      <c r="F270" s="12">
        <v>0.06</v>
      </c>
      <c r="G270" s="12">
        <v>0.11</v>
      </c>
      <c r="H270" s="12">
        <v>0.28999999999999998</v>
      </c>
      <c r="I270" s="12">
        <v>7.0000000000000007E-2</v>
      </c>
      <c r="J270" s="12">
        <v>0.15</v>
      </c>
      <c r="K270" s="12">
        <v>0.38</v>
      </c>
      <c r="L270" s="12">
        <v>0.1</v>
      </c>
      <c r="M270" s="8">
        <v>7</v>
      </c>
      <c r="N270">
        <v>8</v>
      </c>
      <c r="O270" s="12">
        <v>10</v>
      </c>
      <c r="BF270" s="9">
        <v>2.69</v>
      </c>
      <c r="BG270" s="9">
        <f t="shared" si="9"/>
        <v>7.8066914498141265E-2</v>
      </c>
      <c r="BH270" s="9">
        <f t="shared" si="8"/>
        <v>0.10135422198619226</v>
      </c>
      <c r="BQ270" s="8">
        <v>7</v>
      </c>
      <c r="BR270" s="8" t="s">
        <v>601</v>
      </c>
    </row>
    <row r="271" spans="1:70" x14ac:dyDescent="0.3">
      <c r="A271" s="11" t="s">
        <v>602</v>
      </c>
      <c r="B271" s="12">
        <v>188300</v>
      </c>
      <c r="C271" s="12">
        <v>674900</v>
      </c>
      <c r="D271" s="12">
        <v>0.06</v>
      </c>
      <c r="E271" s="12">
        <v>0.15</v>
      </c>
      <c r="F271" s="12">
        <v>0.04</v>
      </c>
      <c r="G271" s="12">
        <v>0.08</v>
      </c>
      <c r="H271" s="12">
        <v>0.19</v>
      </c>
      <c r="I271" s="12">
        <v>0.06</v>
      </c>
      <c r="J271" s="12">
        <v>0.1</v>
      </c>
      <c r="K271" s="12">
        <v>0.25</v>
      </c>
      <c r="L271" s="12">
        <v>0.08</v>
      </c>
      <c r="M271" s="8">
        <v>8</v>
      </c>
      <c r="N271">
        <v>10</v>
      </c>
      <c r="O271" s="12">
        <v>12</v>
      </c>
      <c r="BF271" s="9">
        <v>2.7</v>
      </c>
      <c r="BG271" s="9">
        <f t="shared" si="9"/>
        <v>7.7777777777777765E-2</v>
      </c>
      <c r="BH271" s="9">
        <f t="shared" si="8"/>
        <v>0.10097883597883599</v>
      </c>
      <c r="BQ271" s="8">
        <v>7</v>
      </c>
      <c r="BR271" s="8" t="s">
        <v>603</v>
      </c>
    </row>
    <row r="272" spans="1:70" x14ac:dyDescent="0.3">
      <c r="A272" s="11" t="s">
        <v>604</v>
      </c>
      <c r="B272" s="12">
        <v>202200</v>
      </c>
      <c r="C272" s="12">
        <v>707100</v>
      </c>
      <c r="D272" s="12">
        <v>0.09</v>
      </c>
      <c r="E272" s="12">
        <v>0.21</v>
      </c>
      <c r="F272" s="12">
        <v>0.05</v>
      </c>
      <c r="G272" s="12">
        <v>0.11</v>
      </c>
      <c r="H272" s="12">
        <v>0.28000000000000003</v>
      </c>
      <c r="I272" s="12">
        <v>7.0000000000000007E-2</v>
      </c>
      <c r="J272" s="12">
        <v>0.14000000000000001</v>
      </c>
      <c r="K272" s="12">
        <v>0.37</v>
      </c>
      <c r="L272" s="12">
        <v>0.09</v>
      </c>
      <c r="M272" s="8">
        <v>7</v>
      </c>
      <c r="N272">
        <v>9</v>
      </c>
      <c r="O272" s="12">
        <v>11</v>
      </c>
      <c r="BF272" s="9">
        <v>2.71</v>
      </c>
      <c r="BG272" s="9">
        <f t="shared" si="9"/>
        <v>7.7490774907749069E-2</v>
      </c>
      <c r="BH272" s="9">
        <f t="shared" si="8"/>
        <v>0.10060622034791779</v>
      </c>
      <c r="BQ272" s="8">
        <v>8</v>
      </c>
      <c r="BR272" s="8" t="s">
        <v>605</v>
      </c>
    </row>
    <row r="273" spans="1:70" x14ac:dyDescent="0.3">
      <c r="A273" s="11" t="s">
        <v>606</v>
      </c>
      <c r="B273" s="12">
        <v>193800</v>
      </c>
      <c r="C273" s="12">
        <v>700600</v>
      </c>
      <c r="D273" s="12">
        <v>7.0000000000000007E-2</v>
      </c>
      <c r="E273" s="12">
        <v>0.18</v>
      </c>
      <c r="F273" s="12">
        <v>0.05</v>
      </c>
      <c r="G273" s="12">
        <v>0.09</v>
      </c>
      <c r="H273" s="12">
        <v>0.23</v>
      </c>
      <c r="I273" s="12">
        <v>0.06</v>
      </c>
      <c r="J273" s="12">
        <v>0.12</v>
      </c>
      <c r="K273" s="12">
        <v>0.3</v>
      </c>
      <c r="L273" s="12">
        <v>0.08</v>
      </c>
      <c r="M273" s="8">
        <v>7</v>
      </c>
      <c r="N273">
        <v>9</v>
      </c>
      <c r="O273" s="12">
        <v>11</v>
      </c>
      <c r="BF273" s="9">
        <v>2.72</v>
      </c>
      <c r="BG273" s="9">
        <f t="shared" si="9"/>
        <v>7.7205882352941166E-2</v>
      </c>
      <c r="BH273" s="9">
        <f t="shared" si="8"/>
        <v>0.10023634453781513</v>
      </c>
      <c r="BQ273" s="8">
        <v>5</v>
      </c>
      <c r="BR273" s="8" t="s">
        <v>607</v>
      </c>
    </row>
    <row r="274" spans="1:70" x14ac:dyDescent="0.3">
      <c r="A274" s="11" t="s">
        <v>608</v>
      </c>
      <c r="B274" s="12">
        <v>193600</v>
      </c>
      <c r="C274" s="12">
        <v>699800</v>
      </c>
      <c r="D274" s="12">
        <v>7.0000000000000007E-2</v>
      </c>
      <c r="E274" s="12">
        <v>0.18</v>
      </c>
      <c r="F274" s="12">
        <v>0.05</v>
      </c>
      <c r="G274" s="12">
        <v>0.09</v>
      </c>
      <c r="H274" s="12">
        <v>0.23</v>
      </c>
      <c r="I274" s="12">
        <v>0.06</v>
      </c>
      <c r="J274" s="12">
        <v>0.12</v>
      </c>
      <c r="K274" s="12">
        <v>0.3</v>
      </c>
      <c r="L274" s="12">
        <v>0.08</v>
      </c>
      <c r="M274" s="8">
        <v>8</v>
      </c>
      <c r="N274">
        <v>9</v>
      </c>
      <c r="O274" s="12">
        <v>11</v>
      </c>
      <c r="BF274" s="9">
        <v>2.73</v>
      </c>
      <c r="BG274" s="9">
        <f t="shared" si="9"/>
        <v>7.6923076923076927E-2</v>
      </c>
      <c r="BH274" s="9">
        <f t="shared" si="8"/>
        <v>9.9869178440607026E-2</v>
      </c>
      <c r="BQ274" s="8">
        <v>7</v>
      </c>
      <c r="BR274" s="8" t="s">
        <v>609</v>
      </c>
    </row>
    <row r="275" spans="1:70" x14ac:dyDescent="0.3">
      <c r="A275" s="11" t="s">
        <v>610</v>
      </c>
      <c r="B275" s="12">
        <v>264500</v>
      </c>
      <c r="C275" s="12">
        <v>745000</v>
      </c>
      <c r="D275" s="12">
        <v>0.25</v>
      </c>
      <c r="E275" s="12">
        <v>0.62</v>
      </c>
      <c r="F275" s="12">
        <v>0.12</v>
      </c>
      <c r="G275" s="12">
        <v>0.33</v>
      </c>
      <c r="H275" s="12">
        <v>0.83</v>
      </c>
      <c r="I275" s="12">
        <v>0.16</v>
      </c>
      <c r="J275" s="12">
        <v>0.44</v>
      </c>
      <c r="K275" s="12">
        <v>1.1399999999999999</v>
      </c>
      <c r="L275" s="12">
        <v>0.24</v>
      </c>
      <c r="M275" s="8">
        <v>5</v>
      </c>
      <c r="N275">
        <v>6</v>
      </c>
      <c r="O275" s="12">
        <v>6</v>
      </c>
      <c r="BF275" s="9">
        <v>2.74</v>
      </c>
      <c r="BG275" s="9">
        <f t="shared" si="9"/>
        <v>7.6642335766423347E-2</v>
      </c>
      <c r="BH275" s="9">
        <f t="shared" si="8"/>
        <v>9.9504692387904076E-2</v>
      </c>
      <c r="BQ275" s="8">
        <v>8</v>
      </c>
      <c r="BR275" s="8" t="s">
        <v>611</v>
      </c>
    </row>
    <row r="276" spans="1:70" x14ac:dyDescent="0.3">
      <c r="A276" s="11" t="s">
        <v>612</v>
      </c>
      <c r="B276" s="12">
        <v>208500</v>
      </c>
      <c r="C276" s="12">
        <v>632700</v>
      </c>
      <c r="D276" s="12">
        <v>0.08</v>
      </c>
      <c r="E276" s="12">
        <v>0.19</v>
      </c>
      <c r="F276" s="12">
        <v>0.05</v>
      </c>
      <c r="G276" s="12">
        <v>0.1</v>
      </c>
      <c r="H276" s="12">
        <v>0.24</v>
      </c>
      <c r="I276" s="12">
        <v>0.06</v>
      </c>
      <c r="J276" s="12">
        <v>0.12</v>
      </c>
      <c r="K276" s="12">
        <v>0.32</v>
      </c>
      <c r="L276" s="12">
        <v>0.09</v>
      </c>
      <c r="M276" s="8">
        <v>7</v>
      </c>
      <c r="N276">
        <v>9</v>
      </c>
      <c r="O276" s="12">
        <v>11</v>
      </c>
      <c r="BF276" s="9">
        <v>2.75</v>
      </c>
      <c r="BG276" s="9">
        <f t="shared" si="9"/>
        <v>7.6363636363636356E-2</v>
      </c>
      <c r="BH276" s="9">
        <f t="shared" si="8"/>
        <v>9.9142857142857158E-2</v>
      </c>
      <c r="BQ276" s="8">
        <v>8</v>
      </c>
      <c r="BR276" s="8" t="s">
        <v>613</v>
      </c>
    </row>
    <row r="277" spans="1:70" x14ac:dyDescent="0.3">
      <c r="A277" s="11" t="s">
        <v>614</v>
      </c>
      <c r="B277" s="12">
        <v>194800</v>
      </c>
      <c r="C277" s="12">
        <v>619900</v>
      </c>
      <c r="D277" s="12">
        <v>7.0000000000000007E-2</v>
      </c>
      <c r="E277" s="12">
        <v>0.17</v>
      </c>
      <c r="F277" s="12">
        <v>0.04</v>
      </c>
      <c r="G277" s="12">
        <v>0.09</v>
      </c>
      <c r="H277" s="12">
        <v>0.22</v>
      </c>
      <c r="I277" s="12">
        <v>0.06</v>
      </c>
      <c r="J277" s="12">
        <v>0.11</v>
      </c>
      <c r="K277" s="12">
        <v>0.28999999999999998</v>
      </c>
      <c r="L277" s="12">
        <v>0.08</v>
      </c>
      <c r="M277" s="8">
        <v>8</v>
      </c>
      <c r="N277">
        <v>9</v>
      </c>
      <c r="O277" s="12">
        <v>11</v>
      </c>
      <c r="BF277" s="9">
        <v>2.76</v>
      </c>
      <c r="BG277" s="9">
        <f t="shared" si="9"/>
        <v>7.6086956521739135E-2</v>
      </c>
      <c r="BH277" s="9">
        <f t="shared" si="8"/>
        <v>9.8783643892339568E-2</v>
      </c>
      <c r="BQ277" s="8">
        <v>7</v>
      </c>
      <c r="BR277" s="8" t="s">
        <v>615</v>
      </c>
    </row>
    <row r="278" spans="1:70" x14ac:dyDescent="0.3">
      <c r="A278" s="11" t="s">
        <v>616</v>
      </c>
      <c r="B278" s="12">
        <v>193900</v>
      </c>
      <c r="C278" s="12">
        <v>659600</v>
      </c>
      <c r="D278" s="12">
        <v>0.06</v>
      </c>
      <c r="E278" s="12">
        <v>0.16</v>
      </c>
      <c r="F278" s="12">
        <v>0.04</v>
      </c>
      <c r="G278" s="12">
        <v>0.08</v>
      </c>
      <c r="H278" s="12">
        <v>0.2</v>
      </c>
      <c r="I278" s="12">
        <v>0.06</v>
      </c>
      <c r="J278" s="12">
        <v>0.1</v>
      </c>
      <c r="K278" s="12">
        <v>0.25</v>
      </c>
      <c r="L278" s="12">
        <v>0.08</v>
      </c>
      <c r="M278" s="8">
        <v>8</v>
      </c>
      <c r="N278">
        <v>9</v>
      </c>
      <c r="O278" s="12">
        <v>12</v>
      </c>
      <c r="BF278" s="9">
        <v>2.77</v>
      </c>
      <c r="BG278" s="9">
        <f t="shared" si="9"/>
        <v>7.5812274368231042E-2</v>
      </c>
      <c r="BH278" s="9">
        <f t="shared" si="8"/>
        <v>9.8427024239298624E-2</v>
      </c>
      <c r="BQ278" s="8">
        <v>6</v>
      </c>
      <c r="BR278" s="8" t="s">
        <v>617</v>
      </c>
    </row>
    <row r="279" spans="1:70" x14ac:dyDescent="0.3">
      <c r="A279" s="11" t="s">
        <v>618</v>
      </c>
      <c r="B279" s="12">
        <v>204000</v>
      </c>
      <c r="C279" s="12">
        <v>717100</v>
      </c>
      <c r="D279" s="12">
        <v>0.1</v>
      </c>
      <c r="E279" s="12">
        <v>0.25</v>
      </c>
      <c r="F279" s="12">
        <v>0.06</v>
      </c>
      <c r="G279" s="12">
        <v>0.13</v>
      </c>
      <c r="H279" s="12">
        <v>0.33</v>
      </c>
      <c r="I279" s="12">
        <v>0.08</v>
      </c>
      <c r="J279" s="12">
        <v>0.18</v>
      </c>
      <c r="K279" s="12">
        <v>0.46</v>
      </c>
      <c r="L279" s="12">
        <v>0.1</v>
      </c>
      <c r="M279" s="8">
        <v>7</v>
      </c>
      <c r="N279">
        <v>8</v>
      </c>
      <c r="O279" s="12">
        <v>10</v>
      </c>
      <c r="BF279" s="9">
        <v>2.78</v>
      </c>
      <c r="BG279" s="9">
        <f t="shared" si="9"/>
        <v>7.5539568345323743E-2</v>
      </c>
      <c r="BH279" s="9">
        <f t="shared" si="8"/>
        <v>9.8072970195272377E-2</v>
      </c>
      <c r="BQ279" s="8">
        <v>8</v>
      </c>
      <c r="BR279" s="8" t="s">
        <v>619</v>
      </c>
    </row>
    <row r="280" spans="1:70" x14ac:dyDescent="0.3">
      <c r="A280" s="11" t="s">
        <v>620</v>
      </c>
      <c r="B280" s="12">
        <v>218900</v>
      </c>
      <c r="C280" s="12">
        <v>717900</v>
      </c>
      <c r="D280" s="12">
        <v>0.14000000000000001</v>
      </c>
      <c r="E280" s="12">
        <v>0.35</v>
      </c>
      <c r="F280" s="12">
        <v>7.0000000000000007E-2</v>
      </c>
      <c r="G280" s="12">
        <v>0.19</v>
      </c>
      <c r="H280" s="12">
        <v>0.48</v>
      </c>
      <c r="I280" s="12">
        <v>0.1</v>
      </c>
      <c r="J280" s="12">
        <v>0.28000000000000003</v>
      </c>
      <c r="K280" s="12">
        <v>0.7</v>
      </c>
      <c r="L280" s="12">
        <v>0.14000000000000001</v>
      </c>
      <c r="M280" s="8">
        <v>6</v>
      </c>
      <c r="N280">
        <v>7</v>
      </c>
      <c r="O280" s="12">
        <v>8</v>
      </c>
      <c r="BF280" s="9">
        <v>2.79</v>
      </c>
      <c r="BG280" s="9">
        <f t="shared" si="9"/>
        <v>7.5268817204301078E-2</v>
      </c>
      <c r="BH280" s="9">
        <f t="shared" si="8"/>
        <v>9.7721454173067088E-2</v>
      </c>
      <c r="BQ280" s="8">
        <v>8</v>
      </c>
      <c r="BR280" s="8" t="s">
        <v>621</v>
      </c>
    </row>
    <row r="281" spans="1:70" x14ac:dyDescent="0.3">
      <c r="A281" s="11" t="s">
        <v>622</v>
      </c>
      <c r="B281" s="12">
        <v>185800</v>
      </c>
      <c r="C281" s="12">
        <v>664900</v>
      </c>
      <c r="D281" s="12">
        <v>0.06</v>
      </c>
      <c r="E281" s="12">
        <v>0.15</v>
      </c>
      <c r="F281" s="12">
        <v>0.04</v>
      </c>
      <c r="G281" s="12">
        <v>7.0000000000000007E-2</v>
      </c>
      <c r="H281" s="12">
        <v>0.18</v>
      </c>
      <c r="I281" s="12">
        <v>0.05</v>
      </c>
      <c r="J281" s="12">
        <v>0.09</v>
      </c>
      <c r="K281" s="12">
        <v>0.24</v>
      </c>
      <c r="L281" s="12">
        <v>7.0000000000000007E-2</v>
      </c>
      <c r="M281" s="8">
        <v>8</v>
      </c>
      <c r="N281">
        <v>10</v>
      </c>
      <c r="O281" s="12">
        <v>12</v>
      </c>
      <c r="BF281" s="9">
        <v>2.8</v>
      </c>
      <c r="BG281" s="9">
        <f t="shared" si="9"/>
        <v>7.4999999999999997E-2</v>
      </c>
      <c r="BH281" s="9">
        <f t="shared" si="8"/>
        <v>9.7372448979591852E-2</v>
      </c>
      <c r="BQ281" s="8">
        <v>8</v>
      </c>
      <c r="BR281" s="8" t="s">
        <v>623</v>
      </c>
    </row>
    <row r="282" spans="1:70" x14ac:dyDescent="0.3">
      <c r="A282" s="11" t="s">
        <v>624</v>
      </c>
      <c r="B282" s="12">
        <v>195400</v>
      </c>
      <c r="C282" s="12">
        <v>631300</v>
      </c>
      <c r="D282" s="12">
        <v>7.0000000000000007E-2</v>
      </c>
      <c r="E282" s="12">
        <v>0.16</v>
      </c>
      <c r="F282" s="12">
        <v>0.04</v>
      </c>
      <c r="G282" s="12">
        <v>0.08</v>
      </c>
      <c r="H282" s="12">
        <v>0.2</v>
      </c>
      <c r="I282" s="12">
        <v>0.06</v>
      </c>
      <c r="J282" s="12">
        <v>0.1</v>
      </c>
      <c r="K282" s="12">
        <v>0.26</v>
      </c>
      <c r="L282" s="12">
        <v>0.08</v>
      </c>
      <c r="M282" s="8">
        <v>8</v>
      </c>
      <c r="N282">
        <v>9</v>
      </c>
      <c r="O282" s="12">
        <v>12</v>
      </c>
      <c r="BF282" s="9">
        <v>2.81</v>
      </c>
      <c r="BG282" s="9">
        <f t="shared" si="9"/>
        <v>7.4733096085409248E-2</v>
      </c>
      <c r="BH282" s="9">
        <f t="shared" si="8"/>
        <v>9.7025927808845974E-2</v>
      </c>
      <c r="BQ282" s="8">
        <v>8</v>
      </c>
      <c r="BR282" s="8" t="s">
        <v>625</v>
      </c>
    </row>
    <row r="283" spans="1:70" x14ac:dyDescent="0.3">
      <c r="A283" s="11" t="s">
        <v>626</v>
      </c>
      <c r="B283" s="12">
        <v>188500</v>
      </c>
      <c r="C283" s="12">
        <v>696000</v>
      </c>
      <c r="D283" s="12">
        <v>7.0000000000000007E-2</v>
      </c>
      <c r="E283" s="12">
        <v>0.17</v>
      </c>
      <c r="F283" s="12">
        <v>0.05</v>
      </c>
      <c r="G283" s="12">
        <v>0.09</v>
      </c>
      <c r="H283" s="12">
        <v>0.21</v>
      </c>
      <c r="I283" s="12">
        <v>0.06</v>
      </c>
      <c r="J283" s="12">
        <v>0.11</v>
      </c>
      <c r="K283" s="12">
        <v>0.28000000000000003</v>
      </c>
      <c r="L283" s="12">
        <v>0.08</v>
      </c>
      <c r="M283" s="8">
        <v>8</v>
      </c>
      <c r="N283">
        <v>9</v>
      </c>
      <c r="O283" s="12">
        <v>12</v>
      </c>
      <c r="BF283" s="9">
        <v>2.82</v>
      </c>
      <c r="BG283" s="9">
        <f t="shared" si="9"/>
        <v>7.4468085106382975E-2</v>
      </c>
      <c r="BH283" s="9">
        <f t="shared" si="8"/>
        <v>9.6681864235055745E-2</v>
      </c>
      <c r="BQ283" s="8">
        <v>8</v>
      </c>
      <c r="BR283" s="8" t="s">
        <v>627</v>
      </c>
    </row>
    <row r="284" spans="1:70" x14ac:dyDescent="0.3">
      <c r="A284" s="11" t="s">
        <v>628</v>
      </c>
      <c r="B284" s="12">
        <v>169500</v>
      </c>
      <c r="C284" s="12">
        <v>626700</v>
      </c>
      <c r="D284" s="12">
        <v>7.0000000000000007E-2</v>
      </c>
      <c r="E284" s="12">
        <v>0.16</v>
      </c>
      <c r="F284" s="12">
        <v>0.04</v>
      </c>
      <c r="G284" s="12">
        <v>0.09</v>
      </c>
      <c r="H284" s="12">
        <v>0.21</v>
      </c>
      <c r="I284" s="12">
        <v>0.05</v>
      </c>
      <c r="J284" s="12">
        <v>0.12</v>
      </c>
      <c r="K284" s="12">
        <v>0.3</v>
      </c>
      <c r="L284" s="12">
        <v>7.0000000000000007E-2</v>
      </c>
      <c r="M284" s="8">
        <v>8</v>
      </c>
      <c r="N284">
        <v>10</v>
      </c>
      <c r="O284" s="12">
        <v>12</v>
      </c>
      <c r="BF284" s="9">
        <v>2.83</v>
      </c>
      <c r="BG284" s="9">
        <f t="shared" si="9"/>
        <v>7.4204946996466431E-2</v>
      </c>
      <c r="BH284" s="9">
        <f t="shared" si="8"/>
        <v>9.6340232205956597E-2</v>
      </c>
      <c r="BQ284" s="8">
        <v>8</v>
      </c>
      <c r="BR284" s="8" t="s">
        <v>629</v>
      </c>
    </row>
    <row r="285" spans="1:70" x14ac:dyDescent="0.3">
      <c r="A285" s="11" t="s">
        <v>630</v>
      </c>
      <c r="B285" s="12">
        <v>182000</v>
      </c>
      <c r="C285" s="12">
        <v>664000</v>
      </c>
      <c r="D285" s="12">
        <v>0.06</v>
      </c>
      <c r="E285" s="12">
        <v>0.14000000000000001</v>
      </c>
      <c r="F285" s="12">
        <v>0.04</v>
      </c>
      <c r="G285" s="12">
        <v>7.0000000000000007E-2</v>
      </c>
      <c r="H285" s="12">
        <v>0.18</v>
      </c>
      <c r="I285" s="12">
        <v>0.05</v>
      </c>
      <c r="J285" s="12">
        <v>0.09</v>
      </c>
      <c r="K285" s="12">
        <v>0.23</v>
      </c>
      <c r="L285" s="12">
        <v>7.0000000000000007E-2</v>
      </c>
      <c r="M285" s="8">
        <v>8</v>
      </c>
      <c r="N285">
        <v>10</v>
      </c>
      <c r="O285" s="12">
        <v>12</v>
      </c>
      <c r="BF285" s="9">
        <v>2.84</v>
      </c>
      <c r="BG285" s="9">
        <f t="shared" si="9"/>
        <v>7.3943661971830985E-2</v>
      </c>
      <c r="BH285" s="9">
        <f t="shared" si="8"/>
        <v>9.6001006036217321E-2</v>
      </c>
      <c r="BQ285" s="8">
        <v>6</v>
      </c>
      <c r="BR285" s="8" t="s">
        <v>631</v>
      </c>
    </row>
    <row r="286" spans="1:70" x14ac:dyDescent="0.3">
      <c r="A286" s="11" t="s">
        <v>632</v>
      </c>
      <c r="B286" s="12">
        <v>163200</v>
      </c>
      <c r="C286" s="12">
        <v>611200</v>
      </c>
      <c r="D286" s="12">
        <v>0.06</v>
      </c>
      <c r="E286" s="12">
        <v>0.15</v>
      </c>
      <c r="F286" s="12">
        <v>0.04</v>
      </c>
      <c r="G286" s="12">
        <v>0.08</v>
      </c>
      <c r="H286" s="12">
        <v>0.2</v>
      </c>
      <c r="I286" s="12">
        <v>0.05</v>
      </c>
      <c r="J286" s="12">
        <v>0.12</v>
      </c>
      <c r="K286" s="12">
        <v>0.28999999999999998</v>
      </c>
      <c r="L286" s="12">
        <v>7.0000000000000007E-2</v>
      </c>
      <c r="M286" s="8">
        <v>8</v>
      </c>
      <c r="N286">
        <v>10</v>
      </c>
      <c r="O286" s="12">
        <v>12</v>
      </c>
      <c r="BF286" s="9">
        <v>2.85</v>
      </c>
      <c r="BG286" s="9">
        <f t="shared" si="9"/>
        <v>7.3684210526315783E-2</v>
      </c>
      <c r="BH286" s="9">
        <f t="shared" si="8"/>
        <v>9.5664160401002521E-2</v>
      </c>
      <c r="BQ286" s="8">
        <v>5</v>
      </c>
      <c r="BR286" s="8" t="s">
        <v>633</v>
      </c>
    </row>
    <row r="287" spans="1:70" x14ac:dyDescent="0.3">
      <c r="A287" s="11" t="s">
        <v>634</v>
      </c>
      <c r="B287" s="12">
        <v>220000</v>
      </c>
      <c r="C287" s="12">
        <v>731200</v>
      </c>
      <c r="D287" s="12">
        <v>0.15</v>
      </c>
      <c r="E287" s="12">
        <v>0.37</v>
      </c>
      <c r="F287" s="12">
        <v>7.0000000000000007E-2</v>
      </c>
      <c r="G287" s="12">
        <v>0.21</v>
      </c>
      <c r="H287" s="12">
        <v>0.51</v>
      </c>
      <c r="I287" s="12">
        <v>0.1</v>
      </c>
      <c r="J287" s="12">
        <v>0.28999999999999998</v>
      </c>
      <c r="K287" s="12">
        <v>0.73</v>
      </c>
      <c r="L287" s="12">
        <v>0.15</v>
      </c>
      <c r="M287" s="8">
        <v>6</v>
      </c>
      <c r="N287">
        <v>7</v>
      </c>
      <c r="O287" s="12">
        <v>8</v>
      </c>
      <c r="BF287" s="9">
        <v>2.86</v>
      </c>
      <c r="BG287" s="9">
        <f t="shared" si="9"/>
        <v>7.3426573426573424E-2</v>
      </c>
      <c r="BH287" s="9">
        <f t="shared" si="8"/>
        <v>9.5329670329670352E-2</v>
      </c>
      <c r="BQ287" s="8">
        <v>6</v>
      </c>
      <c r="BR287" s="8" t="s">
        <v>635</v>
      </c>
    </row>
    <row r="288" spans="1:70" x14ac:dyDescent="0.3">
      <c r="A288" s="11" t="s">
        <v>636</v>
      </c>
      <c r="B288" s="12">
        <v>258300</v>
      </c>
      <c r="C288" s="12">
        <v>769500</v>
      </c>
      <c r="D288" s="12">
        <v>0.28000000000000003</v>
      </c>
      <c r="E288" s="12">
        <v>0.69</v>
      </c>
      <c r="F288" s="12">
        <v>0.13</v>
      </c>
      <c r="G288" s="12">
        <v>0.37</v>
      </c>
      <c r="H288" s="12">
        <v>0.91</v>
      </c>
      <c r="I288" s="12">
        <v>0.18</v>
      </c>
      <c r="J288" s="12">
        <v>0.49</v>
      </c>
      <c r="K288" s="12">
        <v>1.25</v>
      </c>
      <c r="L288" s="12">
        <v>0.27</v>
      </c>
      <c r="M288" s="8">
        <v>5</v>
      </c>
      <c r="N288">
        <v>5</v>
      </c>
      <c r="O288" s="12">
        <v>6</v>
      </c>
      <c r="BF288" s="9">
        <v>2.87</v>
      </c>
      <c r="BG288" s="9">
        <f t="shared" si="9"/>
        <v>7.3170731707317069E-2</v>
      </c>
      <c r="BH288" s="9">
        <f t="shared" si="8"/>
        <v>9.49975111996018E-2</v>
      </c>
      <c r="BQ288" s="8">
        <v>6</v>
      </c>
      <c r="BR288" s="8" t="s">
        <v>637</v>
      </c>
    </row>
    <row r="289" spans="1:70" x14ac:dyDescent="0.3">
      <c r="A289" s="11" t="s">
        <v>638</v>
      </c>
      <c r="B289" s="12">
        <v>223200</v>
      </c>
      <c r="C289" s="12">
        <v>718300</v>
      </c>
      <c r="D289" s="12">
        <v>0.15</v>
      </c>
      <c r="E289" s="12">
        <v>0.37</v>
      </c>
      <c r="F289" s="12">
        <v>0.08</v>
      </c>
      <c r="G289" s="12">
        <v>0.2</v>
      </c>
      <c r="H289" s="12">
        <v>0.51</v>
      </c>
      <c r="I289" s="12">
        <v>0.1</v>
      </c>
      <c r="J289" s="12">
        <v>0.28999999999999998</v>
      </c>
      <c r="K289" s="12">
        <v>0.73</v>
      </c>
      <c r="L289" s="12">
        <v>0.15</v>
      </c>
      <c r="M289" s="8">
        <v>6</v>
      </c>
      <c r="N289">
        <v>7</v>
      </c>
      <c r="O289" s="12">
        <v>8</v>
      </c>
      <c r="BF289" s="9">
        <v>2.88</v>
      </c>
      <c r="BG289" s="9">
        <f t="shared" si="9"/>
        <v>7.2916666666666671E-2</v>
      </c>
      <c r="BH289" s="9">
        <f t="shared" si="8"/>
        <v>9.4667658730158755E-2</v>
      </c>
      <c r="BQ289" s="8">
        <v>8</v>
      </c>
      <c r="BR289" s="8" t="s">
        <v>639</v>
      </c>
    </row>
    <row r="290" spans="1:70" x14ac:dyDescent="0.3">
      <c r="A290" s="11" t="s">
        <v>640</v>
      </c>
      <c r="B290" s="12">
        <v>233900</v>
      </c>
      <c r="C290" s="12">
        <v>717200</v>
      </c>
      <c r="D290" s="12">
        <v>0.17</v>
      </c>
      <c r="E290" s="12">
        <v>0.43</v>
      </c>
      <c r="F290" s="12">
        <v>0.08</v>
      </c>
      <c r="G290" s="12">
        <v>0.22</v>
      </c>
      <c r="H290" s="12">
        <v>0.56000000000000005</v>
      </c>
      <c r="I290" s="12">
        <v>0.11</v>
      </c>
      <c r="J290" s="12">
        <v>0.3</v>
      </c>
      <c r="K290" s="12">
        <v>0.77</v>
      </c>
      <c r="L290" s="12">
        <v>0.16</v>
      </c>
      <c r="M290" s="8">
        <v>6</v>
      </c>
      <c r="N290">
        <v>6</v>
      </c>
      <c r="O290" s="12">
        <v>8</v>
      </c>
      <c r="BF290" s="9">
        <v>2.89</v>
      </c>
      <c r="BG290" s="9">
        <f t="shared" si="9"/>
        <v>7.2664359861591685E-2</v>
      </c>
      <c r="BH290" s="9">
        <f t="shared" si="8"/>
        <v>9.4340088976767184E-2</v>
      </c>
      <c r="BQ290" s="8">
        <v>5</v>
      </c>
      <c r="BR290" s="8" t="s">
        <v>641</v>
      </c>
    </row>
    <row r="291" spans="1:70" x14ac:dyDescent="0.3">
      <c r="A291" s="11" t="s">
        <v>642</v>
      </c>
      <c r="B291" s="12">
        <v>179000</v>
      </c>
      <c r="C291" s="12">
        <v>636000</v>
      </c>
      <c r="D291" s="12">
        <v>0.06</v>
      </c>
      <c r="E291" s="12">
        <v>0.15</v>
      </c>
      <c r="F291" s="12">
        <v>0.04</v>
      </c>
      <c r="G291" s="12">
        <v>0.08</v>
      </c>
      <c r="H291" s="12">
        <v>0.19</v>
      </c>
      <c r="I291" s="12">
        <v>0.05</v>
      </c>
      <c r="J291" s="12">
        <v>0.1</v>
      </c>
      <c r="K291" s="12">
        <v>0.25</v>
      </c>
      <c r="L291" s="12">
        <v>7.0000000000000007E-2</v>
      </c>
      <c r="M291" s="8">
        <v>8</v>
      </c>
      <c r="N291">
        <v>10</v>
      </c>
      <c r="O291" s="12">
        <v>12</v>
      </c>
      <c r="BF291" s="9">
        <v>2.9</v>
      </c>
      <c r="BG291" s="9">
        <f t="shared" si="9"/>
        <v>7.2413793103448282E-2</v>
      </c>
      <c r="BH291" s="9">
        <f t="shared" si="8"/>
        <v>9.4014778325123172E-2</v>
      </c>
      <c r="BQ291" s="8">
        <v>7</v>
      </c>
      <c r="BR291" s="8" t="s">
        <v>643</v>
      </c>
    </row>
    <row r="292" spans="1:70" x14ac:dyDescent="0.3">
      <c r="A292" s="11" t="s">
        <v>644</v>
      </c>
      <c r="B292" s="12">
        <v>260800</v>
      </c>
      <c r="C292" s="12">
        <v>781000</v>
      </c>
      <c r="D292" s="12">
        <v>0.27</v>
      </c>
      <c r="E292" s="12">
        <v>0.66</v>
      </c>
      <c r="F292" s="12">
        <v>0.13</v>
      </c>
      <c r="G292" s="12">
        <v>0.36</v>
      </c>
      <c r="H292" s="12">
        <v>0.88</v>
      </c>
      <c r="I292" s="12">
        <v>0.18</v>
      </c>
      <c r="J292" s="12">
        <v>0.48</v>
      </c>
      <c r="K292" s="12">
        <v>1.22</v>
      </c>
      <c r="L292" s="12">
        <v>0.26</v>
      </c>
      <c r="M292" s="8">
        <v>5</v>
      </c>
      <c r="N292">
        <v>6</v>
      </c>
      <c r="O292" s="12">
        <v>7</v>
      </c>
      <c r="BF292" s="9">
        <v>2.91</v>
      </c>
      <c r="BG292" s="9">
        <f t="shared" si="9"/>
        <v>7.2164948453608241E-2</v>
      </c>
      <c r="BH292" s="9">
        <f t="shared" si="8"/>
        <v>9.3691703485517933E-2</v>
      </c>
      <c r="BQ292" s="8">
        <v>7</v>
      </c>
      <c r="BR292" s="8" t="s">
        <v>645</v>
      </c>
    </row>
    <row r="293" spans="1:70" x14ac:dyDescent="0.3">
      <c r="A293" s="11" t="s">
        <v>646</v>
      </c>
      <c r="B293" s="12">
        <v>222400</v>
      </c>
      <c r="C293" s="12">
        <v>773500</v>
      </c>
      <c r="D293" s="12">
        <v>0.12</v>
      </c>
      <c r="E293" s="12">
        <v>0.3</v>
      </c>
      <c r="F293" s="12">
        <v>0.06</v>
      </c>
      <c r="G293" s="12">
        <v>0.15</v>
      </c>
      <c r="H293" s="12">
        <v>0.39</v>
      </c>
      <c r="I293" s="12">
        <v>0.08</v>
      </c>
      <c r="J293" s="12">
        <v>0.2</v>
      </c>
      <c r="K293" s="12">
        <v>0.51</v>
      </c>
      <c r="L293" s="12">
        <v>0.11</v>
      </c>
      <c r="M293" s="8">
        <v>7</v>
      </c>
      <c r="N293">
        <v>8</v>
      </c>
      <c r="O293" s="12">
        <v>10</v>
      </c>
      <c r="BF293" s="9">
        <v>2.92</v>
      </c>
      <c r="BG293" s="9">
        <f t="shared" si="9"/>
        <v>7.1917808219178078E-2</v>
      </c>
      <c r="BH293" s="9">
        <f t="shared" si="8"/>
        <v>9.3370841487279865E-2</v>
      </c>
      <c r="BQ293" s="8">
        <v>5</v>
      </c>
      <c r="BR293" s="8" t="s">
        <v>647</v>
      </c>
    </row>
    <row r="294" spans="1:70" x14ac:dyDescent="0.3">
      <c r="A294" s="11" t="s">
        <v>648</v>
      </c>
      <c r="B294" s="12">
        <v>223600</v>
      </c>
      <c r="C294" s="12">
        <v>773900</v>
      </c>
      <c r="D294" s="12">
        <v>0.12</v>
      </c>
      <c r="E294" s="12">
        <v>0.31</v>
      </c>
      <c r="F294" s="12">
        <v>7.0000000000000007E-2</v>
      </c>
      <c r="G294" s="12">
        <v>0.15</v>
      </c>
      <c r="H294" s="12">
        <v>0.39</v>
      </c>
      <c r="I294" s="12">
        <v>0.08</v>
      </c>
      <c r="J294" s="12">
        <v>0.2</v>
      </c>
      <c r="K294" s="12">
        <v>0.51</v>
      </c>
      <c r="L294" s="12">
        <v>0.11</v>
      </c>
      <c r="M294" s="8">
        <v>7</v>
      </c>
      <c r="N294">
        <v>8</v>
      </c>
      <c r="O294" s="12">
        <v>10</v>
      </c>
      <c r="BF294" s="9">
        <v>2.93</v>
      </c>
      <c r="BG294" s="9">
        <f t="shared" si="9"/>
        <v>7.1672354948805458E-2</v>
      </c>
      <c r="BH294" s="9">
        <f t="shared" si="8"/>
        <v>9.305216967333009E-2</v>
      </c>
      <c r="BQ294" s="8">
        <v>8</v>
      </c>
      <c r="BR294" s="8" t="s">
        <v>649</v>
      </c>
    </row>
    <row r="295" spans="1:70" x14ac:dyDescent="0.3">
      <c r="A295" s="11" t="s">
        <v>650</v>
      </c>
      <c r="B295" s="12">
        <v>242400</v>
      </c>
      <c r="C295" s="12">
        <v>727200</v>
      </c>
      <c r="D295" s="12">
        <v>0.19</v>
      </c>
      <c r="E295" s="12">
        <v>0.49</v>
      </c>
      <c r="F295" s="12">
        <v>0.09</v>
      </c>
      <c r="G295" s="12">
        <v>0.24</v>
      </c>
      <c r="H295" s="12">
        <v>0.63</v>
      </c>
      <c r="I295" s="12">
        <v>0.12</v>
      </c>
      <c r="J295" s="12">
        <v>0.32</v>
      </c>
      <c r="K295" s="12">
        <v>0.85</v>
      </c>
      <c r="L295" s="12">
        <v>0.18</v>
      </c>
      <c r="M295" s="8">
        <v>5</v>
      </c>
      <c r="N295">
        <v>6</v>
      </c>
      <c r="O295" s="12">
        <v>8</v>
      </c>
      <c r="BF295" s="9">
        <v>2.94</v>
      </c>
      <c r="BG295" s="9">
        <f t="shared" si="9"/>
        <v>7.1428571428571425E-2</v>
      </c>
      <c r="BH295" s="9">
        <f t="shared" si="8"/>
        <v>9.2735665694849381E-2</v>
      </c>
      <c r="BQ295" s="8">
        <v>8</v>
      </c>
      <c r="BR295" s="8" t="s">
        <v>651</v>
      </c>
    </row>
    <row r="296" spans="1:70" x14ac:dyDescent="0.3">
      <c r="A296" s="11" t="s">
        <v>652</v>
      </c>
      <c r="B296" s="12">
        <v>192700</v>
      </c>
      <c r="C296" s="12">
        <v>642600</v>
      </c>
      <c r="D296" s="12">
        <v>0.06</v>
      </c>
      <c r="E296" s="12">
        <v>0.15</v>
      </c>
      <c r="F296" s="12">
        <v>0.04</v>
      </c>
      <c r="G296" s="12">
        <v>0.08</v>
      </c>
      <c r="H296" s="12">
        <v>0.19</v>
      </c>
      <c r="I296" s="12">
        <v>0.06</v>
      </c>
      <c r="J296" s="12">
        <v>0.1</v>
      </c>
      <c r="K296" s="12">
        <v>0.25</v>
      </c>
      <c r="L296" s="12">
        <v>0.08</v>
      </c>
      <c r="M296" s="8">
        <v>8</v>
      </c>
      <c r="N296">
        <v>10</v>
      </c>
      <c r="O296" s="12">
        <v>12</v>
      </c>
      <c r="BF296" s="9">
        <v>2.95</v>
      </c>
      <c r="BG296" s="9">
        <f t="shared" si="9"/>
        <v>7.118644067796609E-2</v>
      </c>
      <c r="BH296" s="9">
        <f t="shared" si="8"/>
        <v>9.2421307506053277E-2</v>
      </c>
      <c r="BQ296" s="8">
        <v>8</v>
      </c>
      <c r="BR296" s="8" t="s">
        <v>653</v>
      </c>
    </row>
    <row r="297" spans="1:70" x14ac:dyDescent="0.3">
      <c r="A297" s="11" t="s">
        <v>654</v>
      </c>
      <c r="B297" s="12">
        <v>162500</v>
      </c>
      <c r="C297" s="12">
        <v>615000</v>
      </c>
      <c r="D297" s="12">
        <v>0.06</v>
      </c>
      <c r="E297" s="12">
        <v>0.15</v>
      </c>
      <c r="F297" s="12">
        <v>0.04</v>
      </c>
      <c r="G297" s="12">
        <v>0.08</v>
      </c>
      <c r="H297" s="12">
        <v>0.2</v>
      </c>
      <c r="I297" s="12">
        <v>0.05</v>
      </c>
      <c r="J297" s="12">
        <v>0.12</v>
      </c>
      <c r="K297" s="12">
        <v>0.28999999999999998</v>
      </c>
      <c r="L297" s="12">
        <v>7.0000000000000007E-2</v>
      </c>
      <c r="M297" s="8">
        <v>8</v>
      </c>
      <c r="N297">
        <v>10</v>
      </c>
      <c r="O297" s="12">
        <v>12</v>
      </c>
      <c r="BF297" s="9">
        <v>2.96</v>
      </c>
      <c r="BG297" s="9">
        <f t="shared" si="9"/>
        <v>7.0945945945945943E-2</v>
      </c>
      <c r="BH297" s="9">
        <f t="shared" si="8"/>
        <v>9.2109073359073382E-2</v>
      </c>
      <c r="BQ297" s="8">
        <v>8</v>
      </c>
      <c r="BR297" s="8" t="s">
        <v>655</v>
      </c>
    </row>
    <row r="298" spans="1:70" x14ac:dyDescent="0.3">
      <c r="A298" s="11" t="s">
        <v>656</v>
      </c>
      <c r="B298" s="12">
        <v>181200</v>
      </c>
      <c r="C298" s="12">
        <v>643900</v>
      </c>
      <c r="D298" s="12">
        <v>0.06</v>
      </c>
      <c r="E298" s="12">
        <v>0.14000000000000001</v>
      </c>
      <c r="F298" s="12">
        <v>0.04</v>
      </c>
      <c r="G298" s="12">
        <v>7.0000000000000007E-2</v>
      </c>
      <c r="H298" s="12">
        <v>0.18</v>
      </c>
      <c r="I298" s="12">
        <v>0.05</v>
      </c>
      <c r="J298" s="12">
        <v>0.09</v>
      </c>
      <c r="K298" s="12">
        <v>0.23</v>
      </c>
      <c r="L298" s="12">
        <v>7.0000000000000007E-2</v>
      </c>
      <c r="M298" s="8">
        <v>8</v>
      </c>
      <c r="N298">
        <v>10</v>
      </c>
      <c r="O298" s="12">
        <v>12</v>
      </c>
      <c r="BF298" s="9">
        <v>2.97</v>
      </c>
      <c r="BG298" s="9">
        <f t="shared" si="9"/>
        <v>7.0707070707070704E-2</v>
      </c>
      <c r="BH298" s="9">
        <f t="shared" si="8"/>
        <v>9.179894179894181E-2</v>
      </c>
      <c r="BQ298" s="8">
        <v>7</v>
      </c>
      <c r="BR298" s="8" t="s">
        <v>657</v>
      </c>
    </row>
    <row r="299" spans="1:70" x14ac:dyDescent="0.3">
      <c r="A299" s="11" t="s">
        <v>658</v>
      </c>
      <c r="B299" s="12">
        <v>194200</v>
      </c>
      <c r="C299" s="12">
        <v>634600</v>
      </c>
      <c r="D299" s="12">
        <v>0.06</v>
      </c>
      <c r="E299" s="12">
        <v>0.16</v>
      </c>
      <c r="F299" s="12">
        <v>0.04</v>
      </c>
      <c r="G299" s="12">
        <v>0.08</v>
      </c>
      <c r="H299" s="12">
        <v>0.2</v>
      </c>
      <c r="I299" s="12">
        <v>0.06</v>
      </c>
      <c r="J299" s="12">
        <v>0.1</v>
      </c>
      <c r="K299" s="12">
        <v>0.26</v>
      </c>
      <c r="L299" s="12">
        <v>0.08</v>
      </c>
      <c r="M299" s="8">
        <v>8</v>
      </c>
      <c r="N299">
        <v>9</v>
      </c>
      <c r="O299" s="12">
        <v>12</v>
      </c>
      <c r="BF299" s="9">
        <v>2.98</v>
      </c>
      <c r="BG299" s="9">
        <f t="shared" si="9"/>
        <v>7.0469798657718116E-2</v>
      </c>
      <c r="BH299" s="9">
        <f t="shared" si="8"/>
        <v>9.1490891658676909E-2</v>
      </c>
      <c r="BQ299" s="8">
        <v>8</v>
      </c>
      <c r="BR299" s="8" t="s">
        <v>659</v>
      </c>
    </row>
    <row r="300" spans="1:70" x14ac:dyDescent="0.3">
      <c r="A300" s="11" t="s">
        <v>660</v>
      </c>
      <c r="B300" s="12">
        <v>222200</v>
      </c>
      <c r="C300" s="12">
        <v>756500</v>
      </c>
      <c r="D300" s="12">
        <v>0.13</v>
      </c>
      <c r="E300" s="12">
        <v>0.33</v>
      </c>
      <c r="F300" s="12">
        <v>7.0000000000000007E-2</v>
      </c>
      <c r="G300" s="12">
        <v>0.17</v>
      </c>
      <c r="H300" s="12">
        <v>0.42</v>
      </c>
      <c r="I300" s="12">
        <v>0.09</v>
      </c>
      <c r="J300" s="12">
        <v>0.22</v>
      </c>
      <c r="K300" s="12">
        <v>0.56999999999999995</v>
      </c>
      <c r="L300" s="12">
        <v>0.12</v>
      </c>
      <c r="M300" s="8">
        <v>7</v>
      </c>
      <c r="N300">
        <v>8</v>
      </c>
      <c r="O300" s="12">
        <v>10</v>
      </c>
      <c r="BF300" s="9">
        <v>2.99</v>
      </c>
      <c r="BG300" s="9">
        <f t="shared" si="9"/>
        <v>7.0234113712374577E-2</v>
      </c>
      <c r="BH300" s="9">
        <f t="shared" si="8"/>
        <v>9.1184902054467276E-2</v>
      </c>
      <c r="BQ300" s="8">
        <v>5</v>
      </c>
      <c r="BR300" s="8" t="s">
        <v>661</v>
      </c>
    </row>
    <row r="301" spans="1:70" x14ac:dyDescent="0.3">
      <c r="A301" s="11" t="s">
        <v>662</v>
      </c>
      <c r="B301" s="12">
        <v>167000</v>
      </c>
      <c r="C301" s="12">
        <v>582000</v>
      </c>
      <c r="D301" s="12">
        <v>0.05</v>
      </c>
      <c r="E301" s="12">
        <v>0.12</v>
      </c>
      <c r="F301" s="12">
        <v>0.04</v>
      </c>
      <c r="G301" s="12">
        <v>0.06</v>
      </c>
      <c r="H301" s="12">
        <v>0.15</v>
      </c>
      <c r="I301" s="12">
        <v>0.05</v>
      </c>
      <c r="J301" s="12">
        <v>0.08</v>
      </c>
      <c r="K301" s="12">
        <v>0.2</v>
      </c>
      <c r="L301" s="12">
        <v>0.06</v>
      </c>
      <c r="M301" s="8">
        <v>8</v>
      </c>
      <c r="N301">
        <v>10</v>
      </c>
      <c r="O301" s="12">
        <v>13</v>
      </c>
      <c r="BF301" s="9">
        <v>3</v>
      </c>
      <c r="BG301" s="9">
        <f t="shared" si="9"/>
        <v>6.9999999999999993E-2</v>
      </c>
      <c r="BH301" s="9">
        <f t="shared" si="8"/>
        <v>9.0880952380952396E-2</v>
      </c>
      <c r="BQ301" s="8">
        <v>6</v>
      </c>
      <c r="BR301" s="8" t="s">
        <v>663</v>
      </c>
    </row>
    <row r="302" spans="1:70" x14ac:dyDescent="0.3">
      <c r="A302" s="11" t="s">
        <v>664</v>
      </c>
      <c r="B302" s="12">
        <v>249400</v>
      </c>
      <c r="C302" s="12">
        <v>750300</v>
      </c>
      <c r="D302" s="12">
        <v>0.25</v>
      </c>
      <c r="E302" s="12">
        <v>0.62</v>
      </c>
      <c r="F302" s="12">
        <v>0.11</v>
      </c>
      <c r="G302" s="12">
        <v>0.32</v>
      </c>
      <c r="H302" s="12">
        <v>0.81</v>
      </c>
      <c r="I302" s="12">
        <v>0.16</v>
      </c>
      <c r="J302" s="12">
        <v>0.43</v>
      </c>
      <c r="K302" s="12">
        <v>1.1100000000000001</v>
      </c>
      <c r="L302" s="12">
        <v>0.23</v>
      </c>
      <c r="M302" s="8">
        <v>5</v>
      </c>
      <c r="N302">
        <v>6</v>
      </c>
      <c r="O302" s="12">
        <v>7</v>
      </c>
      <c r="BF302" s="9">
        <v>3.01</v>
      </c>
      <c r="BG302" s="9">
        <f t="shared" si="9"/>
        <v>6.9767441860465115E-2</v>
      </c>
      <c r="BH302" s="9">
        <f t="shared" si="8"/>
        <v>9.0579022306597076E-2</v>
      </c>
      <c r="BQ302" s="8">
        <v>8</v>
      </c>
      <c r="BR302" s="8" t="s">
        <v>665</v>
      </c>
    </row>
    <row r="303" spans="1:70" x14ac:dyDescent="0.3">
      <c r="A303" s="11" t="s">
        <v>666</v>
      </c>
      <c r="B303" s="12">
        <v>224500</v>
      </c>
      <c r="C303" s="12">
        <v>729700</v>
      </c>
      <c r="D303" s="12">
        <v>0.15</v>
      </c>
      <c r="E303" s="12">
        <v>0.38</v>
      </c>
      <c r="F303" s="12">
        <v>0.08</v>
      </c>
      <c r="G303" s="12">
        <v>0.2</v>
      </c>
      <c r="H303" s="12">
        <v>0.5</v>
      </c>
      <c r="I303" s="12">
        <v>0.1</v>
      </c>
      <c r="J303" s="12">
        <v>0.28000000000000003</v>
      </c>
      <c r="K303" s="12">
        <v>0.71</v>
      </c>
      <c r="L303" s="12">
        <v>0.14000000000000001</v>
      </c>
      <c r="M303" s="8">
        <v>6</v>
      </c>
      <c r="N303">
        <v>7</v>
      </c>
      <c r="O303" s="12">
        <v>8</v>
      </c>
      <c r="BF303" s="9">
        <v>3.02</v>
      </c>
      <c r="BG303" s="9">
        <f t="shared" si="9"/>
        <v>6.9536423841059597E-2</v>
      </c>
      <c r="BH303" s="9">
        <f t="shared" si="8"/>
        <v>9.0279091769158007E-2</v>
      </c>
      <c r="BQ303" s="8">
        <v>7</v>
      </c>
      <c r="BR303" s="8" t="s">
        <v>667</v>
      </c>
    </row>
    <row r="304" spans="1:70" x14ac:dyDescent="0.3">
      <c r="A304" s="11" t="s">
        <v>668</v>
      </c>
      <c r="B304" s="12">
        <v>192000</v>
      </c>
      <c r="C304" s="12">
        <v>652300</v>
      </c>
      <c r="D304" s="12">
        <v>0.06</v>
      </c>
      <c r="E304" s="12">
        <v>0.15</v>
      </c>
      <c r="F304" s="12">
        <v>0.04</v>
      </c>
      <c r="G304" s="12">
        <v>0.08</v>
      </c>
      <c r="H304" s="12">
        <v>0.19</v>
      </c>
      <c r="I304" s="12">
        <v>0.06</v>
      </c>
      <c r="J304" s="12">
        <v>0.1</v>
      </c>
      <c r="K304" s="12">
        <v>0.25</v>
      </c>
      <c r="L304" s="12">
        <v>0.08</v>
      </c>
      <c r="M304" s="8">
        <v>8</v>
      </c>
      <c r="N304">
        <v>10</v>
      </c>
      <c r="O304" s="12">
        <v>12</v>
      </c>
      <c r="BF304" s="9">
        <v>3.03</v>
      </c>
      <c r="BG304" s="9">
        <f t="shared" si="9"/>
        <v>6.9306930693069313E-2</v>
      </c>
      <c r="BH304" s="9">
        <f t="shared" si="8"/>
        <v>8.9981140971240006E-2</v>
      </c>
      <c r="BQ304" s="8">
        <v>5</v>
      </c>
      <c r="BR304" s="8" t="s">
        <v>669</v>
      </c>
    </row>
    <row r="305" spans="1:70" x14ac:dyDescent="0.3">
      <c r="A305" s="11" t="s">
        <v>670</v>
      </c>
      <c r="B305" s="12">
        <v>222700</v>
      </c>
      <c r="C305" s="12">
        <v>763500</v>
      </c>
      <c r="D305" s="12">
        <v>0.13</v>
      </c>
      <c r="E305" s="12">
        <v>0.32</v>
      </c>
      <c r="F305" s="12">
        <v>7.0000000000000007E-2</v>
      </c>
      <c r="G305" s="12">
        <v>0.16</v>
      </c>
      <c r="H305" s="12">
        <v>0.41</v>
      </c>
      <c r="I305" s="12">
        <v>0.09</v>
      </c>
      <c r="J305" s="12">
        <v>0.21</v>
      </c>
      <c r="K305" s="12">
        <v>0.54</v>
      </c>
      <c r="L305" s="12">
        <v>0.12</v>
      </c>
      <c r="M305" s="8">
        <v>7</v>
      </c>
      <c r="N305">
        <v>8</v>
      </c>
      <c r="O305" s="12">
        <v>10</v>
      </c>
      <c r="BF305" s="9">
        <v>3.04</v>
      </c>
      <c r="BG305" s="9">
        <f t="shared" si="9"/>
        <v>6.9078947368421045E-2</v>
      </c>
      <c r="BH305" s="9">
        <f t="shared" si="8"/>
        <v>8.9685150375939868E-2</v>
      </c>
      <c r="BQ305" s="8">
        <v>8</v>
      </c>
      <c r="BR305" s="8" t="s">
        <v>671</v>
      </c>
    </row>
    <row r="306" spans="1:70" x14ac:dyDescent="0.3">
      <c r="A306" s="11" t="s">
        <v>672</v>
      </c>
      <c r="B306" s="12">
        <v>237400</v>
      </c>
      <c r="C306" s="12">
        <v>667300</v>
      </c>
      <c r="D306" s="12">
        <v>0.2</v>
      </c>
      <c r="E306" s="12">
        <v>0.49</v>
      </c>
      <c r="F306" s="12">
        <v>0.09</v>
      </c>
      <c r="G306" s="12">
        <v>0.26</v>
      </c>
      <c r="H306" s="12">
        <v>0.65</v>
      </c>
      <c r="I306" s="12">
        <v>0.13</v>
      </c>
      <c r="J306" s="12">
        <v>0.35</v>
      </c>
      <c r="K306" s="12">
        <v>0.9</v>
      </c>
      <c r="L306" s="12">
        <v>0.18</v>
      </c>
      <c r="M306" s="8">
        <v>5</v>
      </c>
      <c r="N306">
        <v>6</v>
      </c>
      <c r="O306" s="12">
        <v>7</v>
      </c>
      <c r="BF306" s="9">
        <v>3.05</v>
      </c>
      <c r="BG306" s="9">
        <f t="shared" si="9"/>
        <v>6.8852459016393447E-2</v>
      </c>
      <c r="BH306" s="9">
        <f t="shared" si="8"/>
        <v>8.9391100702576137E-2</v>
      </c>
      <c r="BQ306" s="8">
        <v>5</v>
      </c>
      <c r="BR306" s="8" t="s">
        <v>673</v>
      </c>
    </row>
    <row r="307" spans="1:70" x14ac:dyDescent="0.3">
      <c r="A307" s="11" t="s">
        <v>674</v>
      </c>
      <c r="B307" s="12">
        <v>185700</v>
      </c>
      <c r="C307" s="12">
        <v>615800</v>
      </c>
      <c r="D307" s="12">
        <v>7.0000000000000007E-2</v>
      </c>
      <c r="E307" s="12">
        <v>0.17</v>
      </c>
      <c r="F307" s="12">
        <v>0.04</v>
      </c>
      <c r="G307" s="12">
        <v>0.09</v>
      </c>
      <c r="H307" s="12">
        <v>0.22</v>
      </c>
      <c r="I307" s="12">
        <v>0.05</v>
      </c>
      <c r="J307" s="12">
        <v>0.12</v>
      </c>
      <c r="K307" s="12">
        <v>0.3</v>
      </c>
      <c r="L307" s="12">
        <v>7.0000000000000007E-2</v>
      </c>
      <c r="M307" s="8">
        <v>8</v>
      </c>
      <c r="N307">
        <v>9</v>
      </c>
      <c r="O307" s="12">
        <v>12</v>
      </c>
      <c r="BF307" s="9">
        <v>3.06</v>
      </c>
      <c r="BG307" s="9">
        <f t="shared" si="9"/>
        <v>6.8627450980392149E-2</v>
      </c>
      <c r="BH307" s="9">
        <f t="shared" si="8"/>
        <v>8.9098972922502351E-2</v>
      </c>
      <c r="BQ307" s="8">
        <v>8</v>
      </c>
      <c r="BR307" s="8" t="s">
        <v>675</v>
      </c>
    </row>
    <row r="308" spans="1:70" x14ac:dyDescent="0.3">
      <c r="A308" s="11" t="s">
        <v>676</v>
      </c>
      <c r="B308" s="12">
        <v>242200</v>
      </c>
      <c r="C308" s="12">
        <v>656400</v>
      </c>
      <c r="D308" s="12">
        <v>0.23</v>
      </c>
      <c r="E308" s="12">
        <v>0.56000000000000005</v>
      </c>
      <c r="F308" s="12">
        <v>0.11</v>
      </c>
      <c r="G308" s="12">
        <v>0.28999999999999998</v>
      </c>
      <c r="H308" s="12">
        <v>0.75</v>
      </c>
      <c r="I308" s="12">
        <v>0.15</v>
      </c>
      <c r="J308" s="12">
        <v>0.4</v>
      </c>
      <c r="K308" s="12">
        <v>1.02</v>
      </c>
      <c r="L308" s="12">
        <v>0.21</v>
      </c>
      <c r="M308" s="8">
        <v>5</v>
      </c>
      <c r="N308">
        <v>5</v>
      </c>
      <c r="O308" s="12">
        <v>6</v>
      </c>
      <c r="BF308" s="9">
        <v>3.07</v>
      </c>
      <c r="BG308" s="9">
        <f t="shared" si="9"/>
        <v>6.8403908794788276E-2</v>
      </c>
      <c r="BH308" s="9">
        <f t="shared" si="8"/>
        <v>8.8808748255002345E-2</v>
      </c>
      <c r="BQ308" s="8">
        <v>7</v>
      </c>
      <c r="BR308" s="8" t="s">
        <v>677</v>
      </c>
    </row>
    <row r="309" spans="1:70" x14ac:dyDescent="0.3">
      <c r="A309" s="11" t="s">
        <v>678</v>
      </c>
      <c r="B309" s="12">
        <v>184300</v>
      </c>
      <c r="C309" s="12">
        <v>673800</v>
      </c>
      <c r="D309" s="12">
        <v>0.06</v>
      </c>
      <c r="E309" s="12">
        <v>0.15</v>
      </c>
      <c r="F309" s="12">
        <v>0.04</v>
      </c>
      <c r="G309" s="12">
        <v>0.08</v>
      </c>
      <c r="H309" s="12">
        <v>0.19</v>
      </c>
      <c r="I309" s="12">
        <v>0.06</v>
      </c>
      <c r="J309" s="12">
        <v>0.1</v>
      </c>
      <c r="K309" s="12">
        <v>0.25</v>
      </c>
      <c r="L309" s="12">
        <v>7.0000000000000007E-2</v>
      </c>
      <c r="M309" s="8">
        <v>8</v>
      </c>
      <c r="N309">
        <v>10</v>
      </c>
      <c r="O309" s="12">
        <v>12</v>
      </c>
      <c r="BF309" s="9">
        <v>3.08</v>
      </c>
      <c r="BG309" s="9">
        <f t="shared" si="9"/>
        <v>6.8181818181818177E-2</v>
      </c>
      <c r="BH309" s="9">
        <f t="shared" si="8"/>
        <v>8.8520408163265313E-2</v>
      </c>
      <c r="BQ309" s="8">
        <v>8</v>
      </c>
      <c r="BR309" s="8" t="s">
        <v>679</v>
      </c>
    </row>
    <row r="310" spans="1:70" x14ac:dyDescent="0.3">
      <c r="A310" s="11" t="s">
        <v>680</v>
      </c>
      <c r="B310" s="12">
        <v>207400</v>
      </c>
      <c r="C310" s="12">
        <v>718000</v>
      </c>
      <c r="D310" s="12">
        <v>0.11</v>
      </c>
      <c r="E310" s="12">
        <v>0.27</v>
      </c>
      <c r="F310" s="12">
        <v>0.06</v>
      </c>
      <c r="G310" s="12">
        <v>0.14000000000000001</v>
      </c>
      <c r="H310" s="12">
        <v>0.36</v>
      </c>
      <c r="I310" s="12">
        <v>0.08</v>
      </c>
      <c r="J310" s="12">
        <v>0.2</v>
      </c>
      <c r="K310" s="12">
        <v>0.52</v>
      </c>
      <c r="L310" s="12">
        <v>0.11</v>
      </c>
      <c r="M310" s="8">
        <v>7</v>
      </c>
      <c r="N310">
        <v>8</v>
      </c>
      <c r="O310" s="12">
        <v>9</v>
      </c>
      <c r="BF310" s="9">
        <v>3.09</v>
      </c>
      <c r="BG310" s="9">
        <f t="shared" si="9"/>
        <v>6.7961165048543687E-2</v>
      </c>
      <c r="BH310" s="9">
        <f t="shared" si="8"/>
        <v>8.8233934350439219E-2</v>
      </c>
      <c r="BQ310" s="8">
        <v>8</v>
      </c>
      <c r="BR310" s="8" t="s">
        <v>681</v>
      </c>
    </row>
    <row r="311" spans="1:70" x14ac:dyDescent="0.3">
      <c r="A311" s="11" t="s">
        <v>682</v>
      </c>
      <c r="B311" s="12">
        <v>194300</v>
      </c>
      <c r="C311" s="12">
        <v>648300</v>
      </c>
      <c r="D311" s="12">
        <v>0.06</v>
      </c>
      <c r="E311" s="12">
        <v>0.16</v>
      </c>
      <c r="F311" s="12">
        <v>0.04</v>
      </c>
      <c r="G311" s="12">
        <v>0.08</v>
      </c>
      <c r="H311" s="12">
        <v>0.19</v>
      </c>
      <c r="I311" s="12">
        <v>0.06</v>
      </c>
      <c r="J311" s="12">
        <v>0.1</v>
      </c>
      <c r="K311" s="12">
        <v>0.25</v>
      </c>
      <c r="L311" s="12">
        <v>0.08</v>
      </c>
      <c r="M311" s="8">
        <v>8</v>
      </c>
      <c r="N311">
        <v>9</v>
      </c>
      <c r="O311" s="12">
        <v>12</v>
      </c>
      <c r="BF311" s="9">
        <v>3.1</v>
      </c>
      <c r="BG311" s="9">
        <f t="shared" si="9"/>
        <v>6.774193548387096E-2</v>
      </c>
      <c r="BH311" s="9">
        <f t="shared" si="8"/>
        <v>8.7949308755760375E-2</v>
      </c>
      <c r="BQ311" s="8">
        <v>7</v>
      </c>
      <c r="BR311" s="8" t="s">
        <v>683</v>
      </c>
    </row>
    <row r="312" spans="1:70" x14ac:dyDescent="0.3">
      <c r="A312" s="11" t="s">
        <v>684</v>
      </c>
      <c r="B312" s="12">
        <v>171800</v>
      </c>
      <c r="C312" s="12">
        <v>634700</v>
      </c>
      <c r="D312" s="12">
        <v>0.06</v>
      </c>
      <c r="E312" s="12">
        <v>0.15</v>
      </c>
      <c r="F312" s="12">
        <v>0.04</v>
      </c>
      <c r="G312" s="12">
        <v>0.08</v>
      </c>
      <c r="H312" s="12">
        <v>0.2</v>
      </c>
      <c r="I312" s="12">
        <v>0.05</v>
      </c>
      <c r="J312" s="12">
        <v>0.11</v>
      </c>
      <c r="K312" s="12">
        <v>0.27</v>
      </c>
      <c r="L312" s="12">
        <v>7.0000000000000007E-2</v>
      </c>
      <c r="M312" s="8">
        <v>8</v>
      </c>
      <c r="N312">
        <v>10</v>
      </c>
      <c r="O312" s="12">
        <v>12</v>
      </c>
      <c r="BF312" s="9">
        <v>3.11</v>
      </c>
      <c r="BG312" s="9">
        <f t="shared" si="9"/>
        <v>6.7524115755627015E-2</v>
      </c>
      <c r="BH312" s="9">
        <f t="shared" si="8"/>
        <v>8.7666513550757941E-2</v>
      </c>
      <c r="BQ312" s="8">
        <v>8</v>
      </c>
      <c r="BR312" s="8" t="s">
        <v>685</v>
      </c>
    </row>
    <row r="313" spans="1:70" x14ac:dyDescent="0.3">
      <c r="A313" s="11" t="s">
        <v>686</v>
      </c>
      <c r="B313" s="12">
        <v>200100</v>
      </c>
      <c r="C313" s="12">
        <v>708000</v>
      </c>
      <c r="D313" s="12">
        <v>0.08</v>
      </c>
      <c r="E313" s="12">
        <v>0.21</v>
      </c>
      <c r="F313" s="12">
        <v>0.05</v>
      </c>
      <c r="G313" s="12">
        <v>0.11</v>
      </c>
      <c r="H313" s="12">
        <v>0.27</v>
      </c>
      <c r="I313" s="12">
        <v>7.0000000000000007E-2</v>
      </c>
      <c r="J313" s="12">
        <v>0.14000000000000001</v>
      </c>
      <c r="K313" s="12">
        <v>0.35</v>
      </c>
      <c r="L313" s="12">
        <v>0.09</v>
      </c>
      <c r="M313" s="8">
        <v>7</v>
      </c>
      <c r="N313">
        <v>9</v>
      </c>
      <c r="O313" s="12">
        <v>11</v>
      </c>
      <c r="BF313" s="9">
        <v>3.12</v>
      </c>
      <c r="BG313" s="9">
        <f t="shared" si="9"/>
        <v>6.7307692307692304E-2</v>
      </c>
      <c r="BH313" s="9">
        <f t="shared" si="8"/>
        <v>8.7385531135531144E-2</v>
      </c>
      <c r="BQ313" s="8">
        <v>7</v>
      </c>
      <c r="BR313" s="8" t="s">
        <v>687</v>
      </c>
    </row>
    <row r="314" spans="1:70" x14ac:dyDescent="0.3">
      <c r="A314" s="11" t="s">
        <v>688</v>
      </c>
      <c r="B314" s="12">
        <v>191300</v>
      </c>
      <c r="C314" s="12">
        <v>677800</v>
      </c>
      <c r="D314" s="12">
        <v>7.0000000000000007E-2</v>
      </c>
      <c r="E314" s="12">
        <v>0.16</v>
      </c>
      <c r="F314" s="12">
        <v>0.05</v>
      </c>
      <c r="G314" s="12">
        <v>0.08</v>
      </c>
      <c r="H314" s="12">
        <v>0.2</v>
      </c>
      <c r="I314" s="12">
        <v>0.06</v>
      </c>
      <c r="J314" s="12">
        <v>0.1</v>
      </c>
      <c r="K314" s="12">
        <v>0.26</v>
      </c>
      <c r="L314" s="12">
        <v>0.08</v>
      </c>
      <c r="M314" s="8">
        <v>8</v>
      </c>
      <c r="N314">
        <v>10</v>
      </c>
      <c r="O314" s="12">
        <v>12</v>
      </c>
      <c r="BF314" s="9">
        <v>3.13</v>
      </c>
      <c r="BG314" s="9">
        <f t="shared" si="9"/>
        <v>6.7092651757188496E-2</v>
      </c>
      <c r="BH314" s="9">
        <f t="shared" si="8"/>
        <v>8.7106344135098143E-2</v>
      </c>
      <c r="BQ314" s="8">
        <v>8</v>
      </c>
      <c r="BR314" s="8" t="s">
        <v>689</v>
      </c>
    </row>
    <row r="315" spans="1:70" x14ac:dyDescent="0.3">
      <c r="A315" s="11" t="s">
        <v>690</v>
      </c>
      <c r="B315" s="12">
        <v>199700</v>
      </c>
      <c r="C315" s="12">
        <v>694800</v>
      </c>
      <c r="D315" s="12">
        <v>0.08</v>
      </c>
      <c r="E315" s="12">
        <v>0.19</v>
      </c>
      <c r="F315" s="12">
        <v>0.05</v>
      </c>
      <c r="G315" s="12">
        <v>0.09</v>
      </c>
      <c r="H315" s="12">
        <v>0.24</v>
      </c>
      <c r="I315" s="12">
        <v>0.06</v>
      </c>
      <c r="J315" s="12">
        <v>0.12</v>
      </c>
      <c r="K315" s="12">
        <v>0.31</v>
      </c>
      <c r="L315" s="12">
        <v>0.09</v>
      </c>
      <c r="M315" s="8">
        <v>7</v>
      </c>
      <c r="N315">
        <v>9</v>
      </c>
      <c r="O315" s="12">
        <v>11</v>
      </c>
      <c r="BF315" s="9">
        <v>3.14</v>
      </c>
      <c r="BG315" s="9">
        <f t="shared" si="9"/>
        <v>6.6878980891719744E-2</v>
      </c>
      <c r="BH315" s="9">
        <f t="shared" si="8"/>
        <v>8.6828935395814391E-2</v>
      </c>
      <c r="BQ315" s="8">
        <v>6</v>
      </c>
      <c r="BR315" s="8" t="s">
        <v>691</v>
      </c>
    </row>
    <row r="316" spans="1:70" x14ac:dyDescent="0.3">
      <c r="A316" s="11" t="s">
        <v>692</v>
      </c>
      <c r="B316" s="12">
        <v>172500</v>
      </c>
      <c r="C316" s="12">
        <v>632800</v>
      </c>
      <c r="D316" s="12">
        <v>0.06</v>
      </c>
      <c r="E316" s="12">
        <v>0.15</v>
      </c>
      <c r="F316" s="12">
        <v>0.04</v>
      </c>
      <c r="G316" s="12">
        <v>0.08</v>
      </c>
      <c r="H316" s="12">
        <v>0.2</v>
      </c>
      <c r="I316" s="12">
        <v>0.05</v>
      </c>
      <c r="J316" s="12">
        <v>0.11</v>
      </c>
      <c r="K316" s="12">
        <v>0.28000000000000003</v>
      </c>
      <c r="L316" s="12">
        <v>7.0000000000000007E-2</v>
      </c>
      <c r="M316" s="8">
        <v>8</v>
      </c>
      <c r="N316">
        <v>10</v>
      </c>
      <c r="O316" s="12">
        <v>12</v>
      </c>
      <c r="BF316" s="9">
        <v>3.15</v>
      </c>
      <c r="BG316" s="9">
        <f t="shared" si="9"/>
        <v>6.6666666666666666E-2</v>
      </c>
      <c r="BH316" s="9">
        <f t="shared" si="8"/>
        <v>8.6553287981859434E-2</v>
      </c>
      <c r="BQ316" s="8">
        <v>8</v>
      </c>
      <c r="BR316" s="8" t="s">
        <v>693</v>
      </c>
    </row>
    <row r="317" spans="1:70" x14ac:dyDescent="0.3">
      <c r="A317" s="11" t="s">
        <v>694</v>
      </c>
      <c r="B317" s="12">
        <v>231700</v>
      </c>
      <c r="C317" s="12">
        <v>714800</v>
      </c>
      <c r="D317" s="12">
        <v>0.17</v>
      </c>
      <c r="E317" s="12">
        <v>0.42</v>
      </c>
      <c r="F317" s="12">
        <v>0.08</v>
      </c>
      <c r="G317" s="12">
        <v>0.22</v>
      </c>
      <c r="H317" s="12">
        <v>0.56000000000000005</v>
      </c>
      <c r="I317" s="12">
        <v>0.11</v>
      </c>
      <c r="J317" s="12">
        <v>0.3</v>
      </c>
      <c r="K317" s="12">
        <v>0.78</v>
      </c>
      <c r="L317" s="12">
        <v>0.16</v>
      </c>
      <c r="M317" s="8">
        <v>6</v>
      </c>
      <c r="N317">
        <v>6</v>
      </c>
      <c r="O317" s="12">
        <v>8</v>
      </c>
      <c r="BF317" s="9">
        <v>3.16</v>
      </c>
      <c r="BG317" s="9">
        <f t="shared" si="9"/>
        <v>6.6455696202531639E-2</v>
      </c>
      <c r="BH317" s="9">
        <f t="shared" si="8"/>
        <v>8.6279385171790249E-2</v>
      </c>
      <c r="BQ317" s="8">
        <v>8</v>
      </c>
      <c r="BR317" s="8" t="s">
        <v>695</v>
      </c>
    </row>
    <row r="318" spans="1:70" x14ac:dyDescent="0.3">
      <c r="A318" s="11" t="s">
        <v>696</v>
      </c>
      <c r="B318" s="12">
        <v>177000</v>
      </c>
      <c r="C318" s="12">
        <v>650100</v>
      </c>
      <c r="D318" s="12">
        <v>0.06</v>
      </c>
      <c r="E318" s="12">
        <v>0.14000000000000001</v>
      </c>
      <c r="F318" s="12">
        <v>0.04</v>
      </c>
      <c r="G318" s="12">
        <v>7.0000000000000007E-2</v>
      </c>
      <c r="H318" s="12">
        <v>0.17</v>
      </c>
      <c r="I318" s="12">
        <v>0.05</v>
      </c>
      <c r="J318" s="12">
        <v>0.09</v>
      </c>
      <c r="K318" s="12">
        <v>0.22</v>
      </c>
      <c r="L318" s="12">
        <v>7.0000000000000007E-2</v>
      </c>
      <c r="M318" s="8">
        <v>8</v>
      </c>
      <c r="N318">
        <v>10</v>
      </c>
      <c r="O318" s="12">
        <v>12</v>
      </c>
      <c r="BF318" s="9">
        <v>3.17</v>
      </c>
      <c r="BG318" s="9">
        <f t="shared" si="9"/>
        <v>6.6246056782334389E-2</v>
      </c>
      <c r="BH318" s="9">
        <f t="shared" si="8"/>
        <v>8.6007210455159994E-2</v>
      </c>
      <c r="BQ318" s="8">
        <v>7</v>
      </c>
      <c r="BR318" s="8" t="s">
        <v>697</v>
      </c>
    </row>
    <row r="319" spans="1:70" x14ac:dyDescent="0.3">
      <c r="A319" s="11" t="s">
        <v>698</v>
      </c>
      <c r="B319" s="12">
        <v>181100</v>
      </c>
      <c r="C319" s="12">
        <v>642800</v>
      </c>
      <c r="D319" s="12">
        <v>0.06</v>
      </c>
      <c r="E319" s="12">
        <v>0.14000000000000001</v>
      </c>
      <c r="F319" s="12">
        <v>0.04</v>
      </c>
      <c r="G319" s="12">
        <v>7.0000000000000007E-2</v>
      </c>
      <c r="H319" s="12">
        <v>0.18</v>
      </c>
      <c r="I319" s="12">
        <v>0.05</v>
      </c>
      <c r="J319" s="12">
        <v>0.09</v>
      </c>
      <c r="K319" s="12">
        <v>0.23</v>
      </c>
      <c r="L319" s="12">
        <v>7.0000000000000007E-2</v>
      </c>
      <c r="M319" s="8">
        <v>8</v>
      </c>
      <c r="N319">
        <v>10</v>
      </c>
      <c r="O319" s="12">
        <v>12</v>
      </c>
      <c r="BF319" s="9">
        <v>3.18</v>
      </c>
      <c r="BG319" s="9">
        <f t="shared" si="9"/>
        <v>6.6037735849056603E-2</v>
      </c>
      <c r="BH319" s="9">
        <f t="shared" si="8"/>
        <v>8.5736747529200366E-2</v>
      </c>
      <c r="BQ319" s="8">
        <v>8</v>
      </c>
      <c r="BR319" s="8" t="s">
        <v>699</v>
      </c>
    </row>
    <row r="320" spans="1:70" x14ac:dyDescent="0.3">
      <c r="A320" s="11" t="s">
        <v>700</v>
      </c>
      <c r="B320" s="12">
        <v>195500</v>
      </c>
      <c r="C320" s="12">
        <v>706600</v>
      </c>
      <c r="D320" s="12">
        <v>0.08</v>
      </c>
      <c r="E320" s="12">
        <v>0.19</v>
      </c>
      <c r="F320" s="12">
        <v>0.05</v>
      </c>
      <c r="G320" s="12">
        <v>0.1</v>
      </c>
      <c r="H320" s="12">
        <v>0.24</v>
      </c>
      <c r="I320" s="12">
        <v>0.06</v>
      </c>
      <c r="J320" s="12">
        <v>0.13</v>
      </c>
      <c r="K320" s="12">
        <v>0.32</v>
      </c>
      <c r="L320" s="12">
        <v>0.09</v>
      </c>
      <c r="M320" s="8">
        <v>7</v>
      </c>
      <c r="N320">
        <v>9</v>
      </c>
      <c r="O320" s="12">
        <v>11</v>
      </c>
      <c r="BF320" s="9">
        <v>3.19</v>
      </c>
      <c r="BG320" s="9">
        <f t="shared" si="9"/>
        <v>6.5830721003134793E-2</v>
      </c>
      <c r="BH320" s="9">
        <f t="shared" si="8"/>
        <v>8.5467980295566515E-2</v>
      </c>
      <c r="BQ320" s="8">
        <v>8</v>
      </c>
      <c r="BR320" s="8" t="s">
        <v>701</v>
      </c>
    </row>
    <row r="321" spans="1:70" x14ac:dyDescent="0.3">
      <c r="A321" s="11" t="s">
        <v>702</v>
      </c>
      <c r="B321" s="12">
        <v>183700</v>
      </c>
      <c r="C321" s="12">
        <v>658200</v>
      </c>
      <c r="D321" s="12">
        <v>0.06</v>
      </c>
      <c r="E321" s="12">
        <v>0.14000000000000001</v>
      </c>
      <c r="F321" s="12">
        <v>0.04</v>
      </c>
      <c r="G321" s="12">
        <v>7.0000000000000007E-2</v>
      </c>
      <c r="H321" s="12">
        <v>0.18</v>
      </c>
      <c r="I321" s="12">
        <v>0.05</v>
      </c>
      <c r="J321" s="12">
        <v>0.09</v>
      </c>
      <c r="K321" s="12">
        <v>0.23</v>
      </c>
      <c r="L321" s="12">
        <v>7.0000000000000007E-2</v>
      </c>
      <c r="M321" s="8">
        <v>8</v>
      </c>
      <c r="N321">
        <v>10</v>
      </c>
      <c r="O321" s="12">
        <v>12</v>
      </c>
      <c r="BF321" s="9">
        <v>3.2</v>
      </c>
      <c r="BG321" s="9">
        <f t="shared" si="9"/>
        <v>6.5624999999999989E-2</v>
      </c>
      <c r="BH321" s="9">
        <f t="shared" si="8"/>
        <v>8.5200892857142871E-2</v>
      </c>
      <c r="BQ321" s="8">
        <v>8</v>
      </c>
      <c r="BR321" s="8" t="s">
        <v>703</v>
      </c>
    </row>
    <row r="322" spans="1:70" x14ac:dyDescent="0.3">
      <c r="A322" s="11" t="s">
        <v>704</v>
      </c>
      <c r="B322" s="12">
        <v>190700</v>
      </c>
      <c r="C322" s="12">
        <v>692000</v>
      </c>
      <c r="D322" s="12">
        <v>7.0000000000000007E-2</v>
      </c>
      <c r="E322" s="12">
        <v>0.17</v>
      </c>
      <c r="F322" s="12">
        <v>0.05</v>
      </c>
      <c r="G322" s="12">
        <v>0.08</v>
      </c>
      <c r="H322" s="12">
        <v>0.21</v>
      </c>
      <c r="I322" s="12">
        <v>0.06</v>
      </c>
      <c r="J322" s="12">
        <v>0.11</v>
      </c>
      <c r="K322" s="12">
        <v>0.28000000000000003</v>
      </c>
      <c r="L322" s="12">
        <v>0.08</v>
      </c>
      <c r="M322" s="8">
        <v>8</v>
      </c>
      <c r="N322">
        <v>9</v>
      </c>
      <c r="O322" s="12">
        <v>12</v>
      </c>
      <c r="BF322" s="9">
        <v>3.21</v>
      </c>
      <c r="BG322" s="9">
        <f t="shared" si="9"/>
        <v>6.5420560747663545E-2</v>
      </c>
      <c r="BH322" s="9">
        <f t="shared" ref="BH322:BH385" si="10">IFERROR(IF($BF322&lt;AZ$33,AZ$32*(AZ$30/AZ$29+(1-AZ$30/AZ$29)*$BF322/AZ$33),IF($BF322&lt;AZ$34,AZ$32,IF($BF322&lt;AZ$35,AZ$31/$BF322,AZ$31*AZ$35/($BF322^2))))*$BC$29,"")</f>
        <v>8.4935469514908782E-2</v>
      </c>
      <c r="BQ322" s="8">
        <v>8</v>
      </c>
      <c r="BR322" s="8" t="s">
        <v>705</v>
      </c>
    </row>
    <row r="323" spans="1:70" x14ac:dyDescent="0.3">
      <c r="A323" s="11" t="s">
        <v>706</v>
      </c>
      <c r="B323" s="12">
        <v>185600</v>
      </c>
      <c r="C323" s="12">
        <v>642200</v>
      </c>
      <c r="D323" s="12">
        <v>0.06</v>
      </c>
      <c r="E323" s="12">
        <v>0.14000000000000001</v>
      </c>
      <c r="F323" s="12">
        <v>0.04</v>
      </c>
      <c r="G323" s="12">
        <v>7.0000000000000007E-2</v>
      </c>
      <c r="H323" s="12">
        <v>0.18</v>
      </c>
      <c r="I323" s="12">
        <v>0.05</v>
      </c>
      <c r="J323" s="12">
        <v>0.09</v>
      </c>
      <c r="K323" s="12">
        <v>0.23</v>
      </c>
      <c r="L323" s="12">
        <v>7.0000000000000007E-2</v>
      </c>
      <c r="M323" s="8">
        <v>8</v>
      </c>
      <c r="N323">
        <v>10</v>
      </c>
      <c r="O323" s="12">
        <v>12</v>
      </c>
      <c r="BF323" s="9">
        <v>3.22</v>
      </c>
      <c r="BG323" s="9">
        <f t="shared" ref="BG323:BG386" si="11">IF(BF323&lt;AY$33,AY$32*(AY$30/AY$29+(1-AY$30/AY$29)*BF323/AY$33),IF(BF323&lt;AY$34,AY$32,IF(BF323&lt;AY$35,AY$31/BF323,AY$31*AY$35/(BF323^2))))*$BC$29</f>
        <v>6.5217391304347824E-2</v>
      </c>
      <c r="BH323" s="9">
        <f t="shared" si="10"/>
        <v>8.4671694764862471E-2</v>
      </c>
      <c r="BQ323" s="8">
        <v>8</v>
      </c>
      <c r="BR323" s="8" t="s">
        <v>707</v>
      </c>
    </row>
    <row r="324" spans="1:70" x14ac:dyDescent="0.3">
      <c r="A324" s="11" t="s">
        <v>708</v>
      </c>
      <c r="B324" s="12">
        <v>184900</v>
      </c>
      <c r="C324" s="12">
        <v>640700</v>
      </c>
      <c r="D324" s="12">
        <v>0.06</v>
      </c>
      <c r="E324" s="12">
        <v>0.14000000000000001</v>
      </c>
      <c r="F324" s="12">
        <v>0.04</v>
      </c>
      <c r="G324" s="12">
        <v>7.0000000000000007E-2</v>
      </c>
      <c r="H324" s="12">
        <v>0.18</v>
      </c>
      <c r="I324" s="12">
        <v>0.05</v>
      </c>
      <c r="J324" s="12">
        <v>0.09</v>
      </c>
      <c r="K324" s="12">
        <v>0.23</v>
      </c>
      <c r="L324" s="12">
        <v>7.0000000000000007E-2</v>
      </c>
      <c r="M324" s="8">
        <v>8</v>
      </c>
      <c r="N324">
        <v>10</v>
      </c>
      <c r="O324" s="12">
        <v>12</v>
      </c>
      <c r="BF324" s="9">
        <v>3.23</v>
      </c>
      <c r="BG324" s="9">
        <f t="shared" si="11"/>
        <v>6.5015479876160992E-2</v>
      </c>
      <c r="BH324" s="9">
        <f t="shared" si="10"/>
        <v>8.4409553295002229E-2</v>
      </c>
      <c r="BQ324" s="8">
        <v>8</v>
      </c>
      <c r="BR324" s="8" t="s">
        <v>709</v>
      </c>
    </row>
    <row r="325" spans="1:70" x14ac:dyDescent="0.3">
      <c r="A325" s="11" t="s">
        <v>710</v>
      </c>
      <c r="B325" s="12">
        <v>190800</v>
      </c>
      <c r="C325" s="12">
        <v>673100</v>
      </c>
      <c r="D325" s="12">
        <v>0.06</v>
      </c>
      <c r="E325" s="12">
        <v>0.16</v>
      </c>
      <c r="F325" s="12">
        <v>0.04</v>
      </c>
      <c r="G325" s="12">
        <v>0.08</v>
      </c>
      <c r="H325" s="12">
        <v>0.2</v>
      </c>
      <c r="I325" s="12">
        <v>0.06</v>
      </c>
      <c r="J325" s="12">
        <v>0.1</v>
      </c>
      <c r="K325" s="12">
        <v>0.25</v>
      </c>
      <c r="L325" s="12">
        <v>0.08</v>
      </c>
      <c r="M325" s="8">
        <v>8</v>
      </c>
      <c r="N325">
        <v>10</v>
      </c>
      <c r="O325" s="12">
        <v>12</v>
      </c>
      <c r="BF325" s="9">
        <v>3.24</v>
      </c>
      <c r="BG325" s="9">
        <f t="shared" si="11"/>
        <v>6.4814814814814811E-2</v>
      </c>
      <c r="BH325" s="9">
        <f t="shared" si="10"/>
        <v>8.414902998236333E-2</v>
      </c>
      <c r="BQ325" s="8">
        <v>8</v>
      </c>
      <c r="BR325" s="8" t="s">
        <v>711</v>
      </c>
    </row>
    <row r="326" spans="1:70" x14ac:dyDescent="0.3">
      <c r="A326" s="11" t="s">
        <v>712</v>
      </c>
      <c r="B326" s="12">
        <v>188700</v>
      </c>
      <c r="C326" s="12">
        <v>663000</v>
      </c>
      <c r="D326" s="12">
        <v>0.06</v>
      </c>
      <c r="E326" s="12">
        <v>0.15</v>
      </c>
      <c r="F326" s="12">
        <v>0.04</v>
      </c>
      <c r="G326" s="12">
        <v>0.08</v>
      </c>
      <c r="H326" s="12">
        <v>0.19</v>
      </c>
      <c r="I326" s="12">
        <v>0.06</v>
      </c>
      <c r="J326" s="12">
        <v>0.1</v>
      </c>
      <c r="K326" s="12">
        <v>0.24</v>
      </c>
      <c r="L326" s="12">
        <v>0.08</v>
      </c>
      <c r="M326" s="8">
        <v>8</v>
      </c>
      <c r="N326">
        <v>10</v>
      </c>
      <c r="O326" s="12">
        <v>12</v>
      </c>
      <c r="BF326" s="9">
        <v>3.25</v>
      </c>
      <c r="BG326" s="9">
        <f t="shared" si="11"/>
        <v>6.4615384615384616E-2</v>
      </c>
      <c r="BH326" s="9">
        <f t="shared" si="10"/>
        <v>8.3890109890109907E-2</v>
      </c>
      <c r="BQ326" s="8">
        <v>7</v>
      </c>
      <c r="BR326" s="8" t="s">
        <v>713</v>
      </c>
    </row>
    <row r="327" spans="1:70" x14ac:dyDescent="0.3">
      <c r="A327" s="11" t="s">
        <v>714</v>
      </c>
      <c r="B327" s="12">
        <v>183400</v>
      </c>
      <c r="C327" s="12">
        <v>681700</v>
      </c>
      <c r="D327" s="12">
        <v>0.06</v>
      </c>
      <c r="E327" s="12">
        <v>0.15</v>
      </c>
      <c r="F327" s="12">
        <v>0.04</v>
      </c>
      <c r="G327" s="12">
        <v>0.08</v>
      </c>
      <c r="H327" s="12">
        <v>0.19</v>
      </c>
      <c r="I327" s="12">
        <v>0.06</v>
      </c>
      <c r="J327" s="12">
        <v>0.1</v>
      </c>
      <c r="K327" s="12">
        <v>0.26</v>
      </c>
      <c r="L327" s="12">
        <v>0.08</v>
      </c>
      <c r="M327" s="8">
        <v>8</v>
      </c>
      <c r="N327">
        <v>10</v>
      </c>
      <c r="O327" s="12">
        <v>12</v>
      </c>
      <c r="BF327" s="9">
        <v>3.26</v>
      </c>
      <c r="BG327" s="9">
        <f t="shared" si="11"/>
        <v>6.4417177914110432E-2</v>
      </c>
      <c r="BH327" s="9">
        <f t="shared" si="10"/>
        <v>8.363277826468013E-2</v>
      </c>
      <c r="BQ327" s="8">
        <v>8</v>
      </c>
      <c r="BR327" s="8" t="s">
        <v>715</v>
      </c>
    </row>
    <row r="328" spans="1:70" x14ac:dyDescent="0.3">
      <c r="A328" s="11" t="s">
        <v>716</v>
      </c>
      <c r="B328" s="12">
        <v>220300</v>
      </c>
      <c r="C328" s="12">
        <v>767900</v>
      </c>
      <c r="D328" s="12">
        <v>0.12</v>
      </c>
      <c r="E328" s="12">
        <v>0.31</v>
      </c>
      <c r="F328" s="12">
        <v>0.06</v>
      </c>
      <c r="G328" s="12">
        <v>0.16</v>
      </c>
      <c r="H328" s="12">
        <v>0.4</v>
      </c>
      <c r="I328" s="12">
        <v>0.08</v>
      </c>
      <c r="J328" s="12">
        <v>0.21</v>
      </c>
      <c r="K328" s="12">
        <v>0.53</v>
      </c>
      <c r="L328" s="12">
        <v>0.11</v>
      </c>
      <c r="M328" s="8">
        <v>7</v>
      </c>
      <c r="N328">
        <v>8</v>
      </c>
      <c r="O328" s="12">
        <v>10</v>
      </c>
      <c r="BF328" s="9">
        <v>3.27</v>
      </c>
      <c r="BG328" s="9">
        <f t="shared" si="11"/>
        <v>6.4220183486238536E-2</v>
      </c>
      <c r="BH328" s="9">
        <f t="shared" si="10"/>
        <v>8.3377020532983848E-2</v>
      </c>
      <c r="BQ328" s="8">
        <v>5</v>
      </c>
      <c r="BR328" s="8" t="s">
        <v>717</v>
      </c>
    </row>
    <row r="329" spans="1:70" x14ac:dyDescent="0.3">
      <c r="A329" s="11" t="s">
        <v>718</v>
      </c>
      <c r="B329" s="12">
        <v>188600</v>
      </c>
      <c r="C329" s="12">
        <v>627600</v>
      </c>
      <c r="D329" s="12">
        <v>0.06</v>
      </c>
      <c r="E329" s="12">
        <v>0.16</v>
      </c>
      <c r="F329" s="12">
        <v>0.04</v>
      </c>
      <c r="G329" s="12">
        <v>0.08</v>
      </c>
      <c r="H329" s="12">
        <v>0.2</v>
      </c>
      <c r="I329" s="12">
        <v>0.05</v>
      </c>
      <c r="J329" s="12">
        <v>0.11</v>
      </c>
      <c r="K329" s="12">
        <v>0.27</v>
      </c>
      <c r="L329" s="12">
        <v>7.0000000000000007E-2</v>
      </c>
      <c r="M329" s="8">
        <v>8</v>
      </c>
      <c r="N329">
        <v>10</v>
      </c>
      <c r="O329" s="12">
        <v>12</v>
      </c>
      <c r="BF329" s="9">
        <v>3.28</v>
      </c>
      <c r="BG329" s="9">
        <f t="shared" si="11"/>
        <v>6.402439024390244E-2</v>
      </c>
      <c r="BH329" s="9">
        <f t="shared" si="10"/>
        <v>8.312282229965158E-2</v>
      </c>
      <c r="BQ329" s="8">
        <v>5</v>
      </c>
      <c r="BR329" s="8" t="s">
        <v>719</v>
      </c>
    </row>
    <row r="330" spans="1:70" x14ac:dyDescent="0.3">
      <c r="A330" s="11" t="s">
        <v>720</v>
      </c>
      <c r="B330" s="12">
        <v>205700</v>
      </c>
      <c r="C330" s="12">
        <v>428100</v>
      </c>
      <c r="D330" s="12">
        <v>0.18</v>
      </c>
      <c r="E330" s="12">
        <v>0.44</v>
      </c>
      <c r="F330" s="12">
        <v>0.08</v>
      </c>
      <c r="G330" s="12">
        <v>0.25</v>
      </c>
      <c r="H330" s="12">
        <v>0.62</v>
      </c>
      <c r="I330" s="12">
        <v>0.11</v>
      </c>
      <c r="J330" s="12">
        <v>0.36</v>
      </c>
      <c r="K330" s="12">
        <v>0.89</v>
      </c>
      <c r="L330" s="12">
        <v>0.18</v>
      </c>
      <c r="M330" s="8">
        <v>5</v>
      </c>
      <c r="N330">
        <v>5</v>
      </c>
      <c r="O330" s="12">
        <v>6</v>
      </c>
      <c r="BF330" s="9">
        <v>3.29</v>
      </c>
      <c r="BG330" s="9">
        <f t="shared" si="11"/>
        <v>6.3829787234042548E-2</v>
      </c>
      <c r="BH330" s="9">
        <f t="shared" si="10"/>
        <v>8.2870169344333486E-2</v>
      </c>
      <c r="BQ330" s="8">
        <v>5</v>
      </c>
      <c r="BR330" s="8" t="s">
        <v>721</v>
      </c>
    </row>
    <row r="331" spans="1:70" x14ac:dyDescent="0.3">
      <c r="A331" s="11" t="s">
        <v>722</v>
      </c>
      <c r="B331" s="12">
        <v>267500</v>
      </c>
      <c r="C331" s="12">
        <v>747300</v>
      </c>
      <c r="D331" s="12">
        <v>0.23</v>
      </c>
      <c r="E331" s="12">
        <v>0.56999999999999995</v>
      </c>
      <c r="F331" s="12">
        <v>0.11</v>
      </c>
      <c r="G331" s="12">
        <v>0.3</v>
      </c>
      <c r="H331" s="12">
        <v>0.76</v>
      </c>
      <c r="I331" s="12">
        <v>0.15</v>
      </c>
      <c r="J331" s="12">
        <v>0.4</v>
      </c>
      <c r="K331" s="12">
        <v>1.03</v>
      </c>
      <c r="L331" s="12">
        <v>0.22</v>
      </c>
      <c r="M331" s="8">
        <v>5</v>
      </c>
      <c r="N331">
        <v>6</v>
      </c>
      <c r="O331" s="12">
        <v>7</v>
      </c>
      <c r="BF331" s="9">
        <v>3.3</v>
      </c>
      <c r="BG331" s="9">
        <f t="shared" si="11"/>
        <v>6.3636363636363644E-2</v>
      </c>
      <c r="BH331" s="9">
        <f t="shared" si="10"/>
        <v>8.2619047619047634E-2</v>
      </c>
      <c r="BQ331" s="8">
        <v>7</v>
      </c>
      <c r="BR331" s="8" t="s">
        <v>723</v>
      </c>
    </row>
    <row r="332" spans="1:70" x14ac:dyDescent="0.3">
      <c r="A332" s="11" t="s">
        <v>724</v>
      </c>
      <c r="B332" s="12">
        <v>252000</v>
      </c>
      <c r="C332" s="12">
        <v>725200</v>
      </c>
      <c r="D332" s="12">
        <v>0.25</v>
      </c>
      <c r="E332" s="12">
        <v>0.62</v>
      </c>
      <c r="F332" s="12">
        <v>0.12</v>
      </c>
      <c r="G332" s="12">
        <v>0.33</v>
      </c>
      <c r="H332" s="12">
        <v>0.82</v>
      </c>
      <c r="I332" s="12">
        <v>0.16</v>
      </c>
      <c r="J332" s="12">
        <v>0.44</v>
      </c>
      <c r="K332" s="12">
        <v>1.1299999999999999</v>
      </c>
      <c r="L332" s="12">
        <v>0.24</v>
      </c>
      <c r="M332" s="8">
        <v>5</v>
      </c>
      <c r="N332">
        <v>6</v>
      </c>
      <c r="O332" s="12">
        <v>6</v>
      </c>
      <c r="BF332" s="9">
        <v>3.31</v>
      </c>
      <c r="BG332" s="9">
        <f t="shared" si="11"/>
        <v>6.3444108761329304E-2</v>
      </c>
      <c r="BH332" s="9">
        <f t="shared" si="10"/>
        <v>8.2369443245576185E-2</v>
      </c>
      <c r="BQ332" s="8">
        <v>8</v>
      </c>
      <c r="BR332" s="8" t="s">
        <v>725</v>
      </c>
    </row>
    <row r="333" spans="1:70" x14ac:dyDescent="0.3">
      <c r="A333" s="11" t="s">
        <v>726</v>
      </c>
      <c r="B333" s="12">
        <v>210700</v>
      </c>
      <c r="C333" s="12">
        <v>771700</v>
      </c>
      <c r="D333" s="12">
        <v>0.12</v>
      </c>
      <c r="E333" s="12">
        <v>0.28999999999999998</v>
      </c>
      <c r="F333" s="12">
        <v>0.06</v>
      </c>
      <c r="G333" s="12">
        <v>0.15</v>
      </c>
      <c r="H333" s="12">
        <v>0.38</v>
      </c>
      <c r="I333" s="12">
        <v>0.08</v>
      </c>
      <c r="J333" s="12">
        <v>0.21</v>
      </c>
      <c r="K333" s="12">
        <v>0.53</v>
      </c>
      <c r="L333" s="12">
        <v>0.11</v>
      </c>
      <c r="M333" s="8">
        <v>7</v>
      </c>
      <c r="N333">
        <v>8</v>
      </c>
      <c r="O333" s="12">
        <v>10</v>
      </c>
      <c r="BF333" s="9">
        <v>3.32</v>
      </c>
      <c r="BG333" s="9">
        <f t="shared" si="11"/>
        <v>6.3253012048192767E-2</v>
      </c>
      <c r="BH333" s="9">
        <f t="shared" si="10"/>
        <v>8.2121342512908799E-2</v>
      </c>
      <c r="BQ333" s="8">
        <v>8</v>
      </c>
      <c r="BR333" s="8" t="s">
        <v>727</v>
      </c>
    </row>
    <row r="334" spans="1:70" x14ac:dyDescent="0.3">
      <c r="A334" s="11" t="s">
        <v>728</v>
      </c>
      <c r="B334" s="12">
        <v>180600</v>
      </c>
      <c r="C334" s="12">
        <v>615100</v>
      </c>
      <c r="D334" s="12">
        <v>7.0000000000000007E-2</v>
      </c>
      <c r="E334" s="12">
        <v>0.17</v>
      </c>
      <c r="F334" s="12">
        <v>0.04</v>
      </c>
      <c r="G334" s="12">
        <v>0.09</v>
      </c>
      <c r="H334" s="12">
        <v>0.22</v>
      </c>
      <c r="I334" s="12">
        <v>0.05</v>
      </c>
      <c r="J334" s="12">
        <v>0.13</v>
      </c>
      <c r="K334" s="12">
        <v>0.31</v>
      </c>
      <c r="L334" s="12">
        <v>7.0000000000000007E-2</v>
      </c>
      <c r="M334" s="8">
        <v>8</v>
      </c>
      <c r="N334">
        <v>10</v>
      </c>
      <c r="O334" s="12">
        <v>12</v>
      </c>
      <c r="BF334" s="9">
        <v>3.33</v>
      </c>
      <c r="BG334" s="9">
        <f t="shared" si="11"/>
        <v>6.3063063063063057E-2</v>
      </c>
      <c r="BH334" s="9">
        <f t="shared" si="10"/>
        <v>8.187473187473189E-2</v>
      </c>
      <c r="BQ334" s="8">
        <v>6</v>
      </c>
      <c r="BR334" s="8" t="s">
        <v>729</v>
      </c>
    </row>
    <row r="335" spans="1:70" x14ac:dyDescent="0.3">
      <c r="A335" s="11" t="s">
        <v>730</v>
      </c>
      <c r="B335" s="12">
        <v>188900</v>
      </c>
      <c r="C335" s="12">
        <v>664000</v>
      </c>
      <c r="D335" s="12">
        <v>0.06</v>
      </c>
      <c r="E335" s="12">
        <v>0.15</v>
      </c>
      <c r="F335" s="12">
        <v>0.04</v>
      </c>
      <c r="G335" s="12">
        <v>0.08</v>
      </c>
      <c r="H335" s="12">
        <v>0.19</v>
      </c>
      <c r="I335" s="12">
        <v>0.06</v>
      </c>
      <c r="J335" s="12">
        <v>0.1</v>
      </c>
      <c r="K335" s="12">
        <v>0.24</v>
      </c>
      <c r="L335" s="12">
        <v>0.08</v>
      </c>
      <c r="M335" s="8">
        <v>8</v>
      </c>
      <c r="N335">
        <v>10</v>
      </c>
      <c r="O335" s="12">
        <v>12</v>
      </c>
      <c r="BF335" s="9">
        <v>3.34</v>
      </c>
      <c r="BG335" s="9">
        <f t="shared" si="11"/>
        <v>6.2874251497005984E-2</v>
      </c>
      <c r="BH335" s="9">
        <f t="shared" si="10"/>
        <v>8.1629597946963228E-2</v>
      </c>
      <c r="BQ335" s="8">
        <v>6</v>
      </c>
      <c r="BR335" s="8" t="s">
        <v>731</v>
      </c>
    </row>
    <row r="336" spans="1:70" x14ac:dyDescent="0.3">
      <c r="A336" s="11" t="s">
        <v>732</v>
      </c>
      <c r="B336" s="12">
        <v>204900</v>
      </c>
      <c r="C336" s="12">
        <v>733000</v>
      </c>
      <c r="D336" s="12">
        <v>0.12</v>
      </c>
      <c r="E336" s="12">
        <v>0.31</v>
      </c>
      <c r="F336" s="12">
        <v>0.06</v>
      </c>
      <c r="G336" s="12">
        <v>0.17</v>
      </c>
      <c r="H336" s="12">
        <v>0.43</v>
      </c>
      <c r="I336" s="12">
        <v>0.09</v>
      </c>
      <c r="J336" s="12">
        <v>0.25</v>
      </c>
      <c r="K336" s="12">
        <v>0.63</v>
      </c>
      <c r="L336" s="12">
        <v>0.13</v>
      </c>
      <c r="M336" s="8">
        <v>6</v>
      </c>
      <c r="N336">
        <v>7</v>
      </c>
      <c r="O336" s="12">
        <v>9</v>
      </c>
      <c r="BF336" s="9">
        <v>3.35</v>
      </c>
      <c r="BG336" s="9">
        <f t="shared" si="11"/>
        <v>6.2686567164179099E-2</v>
      </c>
      <c r="BH336" s="9">
        <f t="shared" si="10"/>
        <v>8.1385927505330496E-2</v>
      </c>
      <c r="BQ336" s="8">
        <v>6</v>
      </c>
      <c r="BR336" s="8" t="s">
        <v>733</v>
      </c>
    </row>
    <row r="337" spans="1:70" x14ac:dyDescent="0.3">
      <c r="A337" s="11" t="s">
        <v>734</v>
      </c>
      <c r="B337" s="12">
        <v>225000</v>
      </c>
      <c r="C337" s="12">
        <v>717600</v>
      </c>
      <c r="D337" s="12">
        <v>0.15</v>
      </c>
      <c r="E337" s="12">
        <v>0.38</v>
      </c>
      <c r="F337" s="12">
        <v>0.08</v>
      </c>
      <c r="G337" s="12">
        <v>0.21</v>
      </c>
      <c r="H337" s="12">
        <v>0.52</v>
      </c>
      <c r="I337" s="12">
        <v>0.1</v>
      </c>
      <c r="J337" s="12">
        <v>0.28999999999999998</v>
      </c>
      <c r="K337" s="12">
        <v>0.74</v>
      </c>
      <c r="L337" s="12">
        <v>0.15</v>
      </c>
      <c r="M337" s="8">
        <v>6</v>
      </c>
      <c r="N337">
        <v>7</v>
      </c>
      <c r="O337" s="12">
        <v>8</v>
      </c>
      <c r="BF337" s="9">
        <v>3.36</v>
      </c>
      <c r="BG337" s="9">
        <f t="shared" si="11"/>
        <v>6.25E-2</v>
      </c>
      <c r="BH337" s="9">
        <f t="shared" si="10"/>
        <v>8.114370748299321E-2</v>
      </c>
      <c r="BQ337" s="8">
        <v>8</v>
      </c>
      <c r="BR337" s="8" t="s">
        <v>735</v>
      </c>
    </row>
    <row r="338" spans="1:70" x14ac:dyDescent="0.3">
      <c r="A338" s="11" t="s">
        <v>736</v>
      </c>
      <c r="B338" s="12">
        <v>235000</v>
      </c>
      <c r="C338" s="12">
        <v>733000</v>
      </c>
      <c r="D338" s="12">
        <v>0.16</v>
      </c>
      <c r="E338" s="12">
        <v>0.41</v>
      </c>
      <c r="F338" s="12">
        <v>0.08</v>
      </c>
      <c r="G338" s="12">
        <v>0.2</v>
      </c>
      <c r="H338" s="12">
        <v>0.52</v>
      </c>
      <c r="I338" s="12">
        <v>0.11</v>
      </c>
      <c r="J338" s="12">
        <v>0.26</v>
      </c>
      <c r="K338" s="12">
        <v>0.68</v>
      </c>
      <c r="L338" s="12">
        <v>0.14000000000000001</v>
      </c>
      <c r="M338" s="8">
        <v>6</v>
      </c>
      <c r="N338">
        <v>7</v>
      </c>
      <c r="O338" s="12">
        <v>8</v>
      </c>
      <c r="BF338" s="9">
        <v>3.37</v>
      </c>
      <c r="BG338" s="9">
        <f t="shared" si="11"/>
        <v>6.2314540059347175E-2</v>
      </c>
      <c r="BH338" s="9">
        <f t="shared" si="10"/>
        <v>8.0902924968206877E-2</v>
      </c>
      <c r="BQ338" s="8">
        <v>6</v>
      </c>
      <c r="BR338" s="8" t="s">
        <v>737</v>
      </c>
    </row>
    <row r="339" spans="1:70" x14ac:dyDescent="0.3">
      <c r="A339" s="11" t="s">
        <v>738</v>
      </c>
      <c r="B339" s="12">
        <v>183400</v>
      </c>
      <c r="C339" s="12">
        <v>591200</v>
      </c>
      <c r="D339" s="12">
        <v>7.0000000000000007E-2</v>
      </c>
      <c r="E339" s="12">
        <v>0.16</v>
      </c>
      <c r="F339" s="12">
        <v>0.04</v>
      </c>
      <c r="G339" s="12">
        <v>0.09</v>
      </c>
      <c r="H339" s="12">
        <v>0.22</v>
      </c>
      <c r="I339" s="12">
        <v>0.05</v>
      </c>
      <c r="J339" s="12">
        <v>0.12</v>
      </c>
      <c r="K339" s="12">
        <v>0.3</v>
      </c>
      <c r="L339" s="12">
        <v>7.0000000000000007E-2</v>
      </c>
      <c r="M339" s="8">
        <v>8</v>
      </c>
      <c r="N339">
        <v>9</v>
      </c>
      <c r="O339" s="12">
        <v>12</v>
      </c>
      <c r="BF339" s="9">
        <v>3.38</v>
      </c>
      <c r="BG339" s="9">
        <f t="shared" si="11"/>
        <v>6.2130177514792898E-2</v>
      </c>
      <c r="BH339" s="9">
        <f t="shared" si="10"/>
        <v>8.066356720202876E-2</v>
      </c>
      <c r="BQ339" s="8">
        <v>5</v>
      </c>
      <c r="BR339" s="8" t="s">
        <v>739</v>
      </c>
    </row>
    <row r="340" spans="1:70" x14ac:dyDescent="0.3">
      <c r="A340" s="11" t="s">
        <v>740</v>
      </c>
      <c r="B340" s="12">
        <v>233100</v>
      </c>
      <c r="C340" s="12">
        <v>728100</v>
      </c>
      <c r="D340" s="12">
        <v>0.16</v>
      </c>
      <c r="E340" s="12">
        <v>0.41</v>
      </c>
      <c r="F340" s="12">
        <v>0.08</v>
      </c>
      <c r="G340" s="12">
        <v>0.21</v>
      </c>
      <c r="H340" s="12">
        <v>0.53</v>
      </c>
      <c r="I340" s="12">
        <v>0.11</v>
      </c>
      <c r="J340" s="12">
        <v>0.27</v>
      </c>
      <c r="K340" s="12">
        <v>0.71</v>
      </c>
      <c r="L340" s="12">
        <v>0.15</v>
      </c>
      <c r="M340" s="8">
        <v>6</v>
      </c>
      <c r="N340">
        <v>7</v>
      </c>
      <c r="O340" s="12">
        <v>8</v>
      </c>
      <c r="BF340" s="9">
        <v>3.39</v>
      </c>
      <c r="BG340" s="9">
        <f t="shared" si="11"/>
        <v>6.1946902654867249E-2</v>
      </c>
      <c r="BH340" s="9">
        <f t="shared" si="10"/>
        <v>8.042562157606406E-2</v>
      </c>
      <c r="BQ340" s="8">
        <v>5</v>
      </c>
      <c r="BR340" s="8" t="s">
        <v>741</v>
      </c>
    </row>
    <row r="341" spans="1:70" x14ac:dyDescent="0.3">
      <c r="A341" s="11" t="s">
        <v>742</v>
      </c>
      <c r="B341" s="12">
        <v>254300</v>
      </c>
      <c r="C341" s="12">
        <v>734900</v>
      </c>
      <c r="D341" s="12">
        <v>0.27</v>
      </c>
      <c r="E341" s="12">
        <v>0.65</v>
      </c>
      <c r="F341" s="12">
        <v>0.12</v>
      </c>
      <c r="G341" s="12">
        <v>0.35</v>
      </c>
      <c r="H341" s="12">
        <v>0.87</v>
      </c>
      <c r="I341" s="12">
        <v>0.17</v>
      </c>
      <c r="J341" s="12">
        <v>0.47</v>
      </c>
      <c r="K341" s="12">
        <v>1.19</v>
      </c>
      <c r="L341" s="12">
        <v>0.25</v>
      </c>
      <c r="M341" s="8">
        <v>5</v>
      </c>
      <c r="N341">
        <v>5</v>
      </c>
      <c r="O341" s="12">
        <v>6</v>
      </c>
      <c r="BF341" s="9">
        <v>3.4</v>
      </c>
      <c r="BG341" s="9">
        <f t="shared" si="11"/>
        <v>6.1764705882352944E-2</v>
      </c>
      <c r="BH341" s="9">
        <f t="shared" si="10"/>
        <v>8.0189075630252113E-2</v>
      </c>
      <c r="BQ341" s="8">
        <v>6</v>
      </c>
      <c r="BR341" s="8" t="s">
        <v>743</v>
      </c>
    </row>
    <row r="342" spans="1:70" x14ac:dyDescent="0.3">
      <c r="A342" s="11" t="s">
        <v>744</v>
      </c>
      <c r="B342" s="12">
        <v>254400</v>
      </c>
      <c r="C342" s="12">
        <v>734100</v>
      </c>
      <c r="D342" s="12">
        <v>0.26</v>
      </c>
      <c r="E342" s="12">
        <v>0.65</v>
      </c>
      <c r="F342" s="12">
        <v>0.12</v>
      </c>
      <c r="G342" s="12">
        <v>0.35</v>
      </c>
      <c r="H342" s="12">
        <v>0.87</v>
      </c>
      <c r="I342" s="12">
        <v>0.17</v>
      </c>
      <c r="J342" s="12">
        <v>0.47</v>
      </c>
      <c r="K342" s="12">
        <v>1.19</v>
      </c>
      <c r="L342" s="12">
        <v>0.25</v>
      </c>
      <c r="M342" s="8">
        <v>5</v>
      </c>
      <c r="N342">
        <v>5</v>
      </c>
      <c r="O342" s="12">
        <v>6</v>
      </c>
      <c r="BF342" s="9">
        <v>3.41</v>
      </c>
      <c r="BG342" s="9">
        <f t="shared" si="11"/>
        <v>6.1583577712609965E-2</v>
      </c>
      <c r="BH342" s="9">
        <f t="shared" si="10"/>
        <v>7.9953917050691256E-2</v>
      </c>
      <c r="BQ342" s="8">
        <v>7</v>
      </c>
      <c r="BR342" s="8" t="s">
        <v>745</v>
      </c>
    </row>
    <row r="343" spans="1:70" x14ac:dyDescent="0.3">
      <c r="A343" s="11" t="s">
        <v>746</v>
      </c>
      <c r="B343" s="12">
        <v>238400</v>
      </c>
      <c r="C343" s="12">
        <v>772900</v>
      </c>
      <c r="D343" s="12">
        <v>0.16</v>
      </c>
      <c r="E343" s="12">
        <v>0.41</v>
      </c>
      <c r="F343" s="12">
        <v>0.08</v>
      </c>
      <c r="G343" s="12">
        <v>0.2</v>
      </c>
      <c r="H343" s="12">
        <v>0.52</v>
      </c>
      <c r="I343" s="12">
        <v>0.11</v>
      </c>
      <c r="J343" s="12">
        <v>0.26</v>
      </c>
      <c r="K343" s="12">
        <v>0.69</v>
      </c>
      <c r="L343" s="12">
        <v>0.15</v>
      </c>
      <c r="M343" s="8">
        <v>6</v>
      </c>
      <c r="N343">
        <v>7</v>
      </c>
      <c r="O343" s="12">
        <v>9</v>
      </c>
      <c r="BF343" s="9">
        <v>3.42</v>
      </c>
      <c r="BG343" s="9">
        <f t="shared" si="11"/>
        <v>6.1403508771929821E-2</v>
      </c>
      <c r="BH343" s="9">
        <f t="shared" si="10"/>
        <v>7.9720133667502108E-2</v>
      </c>
      <c r="BQ343" s="8">
        <v>7</v>
      </c>
      <c r="BR343" s="8" t="s">
        <v>747</v>
      </c>
    </row>
    <row r="344" spans="1:70" x14ac:dyDescent="0.3">
      <c r="A344" s="11" t="s">
        <v>748</v>
      </c>
      <c r="B344" s="12">
        <v>212900</v>
      </c>
      <c r="C344" s="12">
        <v>648100</v>
      </c>
      <c r="D344" s="12">
        <v>0.09</v>
      </c>
      <c r="E344" s="12">
        <v>0.22</v>
      </c>
      <c r="F344" s="12">
        <v>0.05</v>
      </c>
      <c r="G344" s="12">
        <v>0.11</v>
      </c>
      <c r="H344" s="12">
        <v>0.28000000000000003</v>
      </c>
      <c r="I344" s="12">
        <v>7.0000000000000007E-2</v>
      </c>
      <c r="J344" s="12">
        <v>0.14000000000000001</v>
      </c>
      <c r="K344" s="12">
        <v>0.36</v>
      </c>
      <c r="L344" s="12">
        <v>0.1</v>
      </c>
      <c r="M344" s="8">
        <v>7</v>
      </c>
      <c r="N344">
        <v>8</v>
      </c>
      <c r="O344" s="12">
        <v>10</v>
      </c>
      <c r="BF344" s="9">
        <v>3.43</v>
      </c>
      <c r="BG344" s="9">
        <f t="shared" si="11"/>
        <v>6.1224489795918359E-2</v>
      </c>
      <c r="BH344" s="9">
        <f t="shared" si="10"/>
        <v>7.9487713452728037E-2</v>
      </c>
      <c r="BQ344" s="8">
        <v>8</v>
      </c>
      <c r="BR344" s="8" t="s">
        <v>749</v>
      </c>
    </row>
    <row r="345" spans="1:70" x14ac:dyDescent="0.3">
      <c r="A345" s="11" t="s">
        <v>750</v>
      </c>
      <c r="B345" s="12">
        <v>193000</v>
      </c>
      <c r="C345" s="12">
        <v>723700</v>
      </c>
      <c r="D345" s="12">
        <v>0.09</v>
      </c>
      <c r="E345" s="12">
        <v>0.22</v>
      </c>
      <c r="F345" s="12">
        <v>0.05</v>
      </c>
      <c r="G345" s="12">
        <v>0.11</v>
      </c>
      <c r="H345" s="12">
        <v>0.28999999999999998</v>
      </c>
      <c r="I345" s="12">
        <v>7.0000000000000007E-2</v>
      </c>
      <c r="J345" s="12">
        <v>0.16</v>
      </c>
      <c r="K345" s="12">
        <v>0.4</v>
      </c>
      <c r="L345" s="12">
        <v>0.09</v>
      </c>
      <c r="M345" s="8">
        <v>7</v>
      </c>
      <c r="N345">
        <v>9</v>
      </c>
      <c r="O345" s="12">
        <v>11</v>
      </c>
      <c r="BF345" s="9">
        <v>3.44</v>
      </c>
      <c r="BG345" s="9">
        <f t="shared" si="11"/>
        <v>6.1046511627906974E-2</v>
      </c>
      <c r="BH345" s="9">
        <f t="shared" si="10"/>
        <v>7.925664451827244E-2</v>
      </c>
      <c r="BQ345" s="8">
        <v>6</v>
      </c>
      <c r="BR345" s="8" t="s">
        <v>751</v>
      </c>
    </row>
    <row r="346" spans="1:70" x14ac:dyDescent="0.3">
      <c r="A346" s="11" t="s">
        <v>752</v>
      </c>
      <c r="B346" s="12">
        <v>166500</v>
      </c>
      <c r="C346" s="12">
        <v>601600</v>
      </c>
      <c r="D346" s="12">
        <v>0.06</v>
      </c>
      <c r="E346" s="12">
        <v>0.14000000000000001</v>
      </c>
      <c r="F346" s="12">
        <v>0.04</v>
      </c>
      <c r="G346" s="12">
        <v>0.08</v>
      </c>
      <c r="H346" s="12">
        <v>0.19</v>
      </c>
      <c r="I346" s="12">
        <v>0.05</v>
      </c>
      <c r="J346" s="12">
        <v>0.11</v>
      </c>
      <c r="K346" s="12">
        <v>0.27</v>
      </c>
      <c r="L346" s="12">
        <v>7.0000000000000007E-2</v>
      </c>
      <c r="M346" s="8">
        <v>8</v>
      </c>
      <c r="N346">
        <v>10</v>
      </c>
      <c r="O346" s="12">
        <v>12</v>
      </c>
      <c r="BF346" s="9">
        <v>3.45</v>
      </c>
      <c r="BG346" s="9">
        <f t="shared" si="11"/>
        <v>6.08695652173913E-2</v>
      </c>
      <c r="BH346" s="9">
        <f t="shared" si="10"/>
        <v>7.9026915113871637E-2</v>
      </c>
      <c r="BQ346" s="8">
        <v>7</v>
      </c>
      <c r="BR346" s="8" t="s">
        <v>753</v>
      </c>
    </row>
    <row r="347" spans="1:70" x14ac:dyDescent="0.3">
      <c r="A347" s="11" t="s">
        <v>754</v>
      </c>
      <c r="B347" s="12">
        <v>232500</v>
      </c>
      <c r="C347" s="12">
        <v>725200</v>
      </c>
      <c r="D347" s="12">
        <v>0.16</v>
      </c>
      <c r="E347" s="12">
        <v>0.41</v>
      </c>
      <c r="F347" s="12">
        <v>0.08</v>
      </c>
      <c r="G347" s="12">
        <v>0.21</v>
      </c>
      <c r="H347" s="12">
        <v>0.54</v>
      </c>
      <c r="I347" s="12">
        <v>0.11</v>
      </c>
      <c r="J347" s="12">
        <v>0.28000000000000003</v>
      </c>
      <c r="K347" s="12">
        <v>0.73</v>
      </c>
      <c r="L347" s="12">
        <v>0.15</v>
      </c>
      <c r="M347" s="8">
        <v>6</v>
      </c>
      <c r="N347">
        <v>7</v>
      </c>
      <c r="O347" s="12">
        <v>8</v>
      </c>
      <c r="BF347" s="9">
        <v>3.46</v>
      </c>
      <c r="BG347" s="9">
        <f t="shared" si="11"/>
        <v>6.0693641618497107E-2</v>
      </c>
      <c r="BH347" s="9">
        <f t="shared" si="10"/>
        <v>7.8798513625103234E-2</v>
      </c>
      <c r="BQ347" s="8">
        <v>6</v>
      </c>
      <c r="BR347" s="8" t="s">
        <v>755</v>
      </c>
    </row>
    <row r="348" spans="1:70" x14ac:dyDescent="0.3">
      <c r="A348" s="11" t="s">
        <v>756</v>
      </c>
      <c r="B348" s="12">
        <v>225500</v>
      </c>
      <c r="C348" s="12">
        <v>759900</v>
      </c>
      <c r="D348" s="12">
        <v>0.13</v>
      </c>
      <c r="E348" s="12">
        <v>0.33</v>
      </c>
      <c r="F348" s="12">
        <v>7.0000000000000007E-2</v>
      </c>
      <c r="G348" s="12">
        <v>0.16</v>
      </c>
      <c r="H348" s="12">
        <v>0.42</v>
      </c>
      <c r="I348" s="12">
        <v>0.09</v>
      </c>
      <c r="J348" s="12">
        <v>0.21</v>
      </c>
      <c r="K348" s="12">
        <v>0.55000000000000004</v>
      </c>
      <c r="L348" s="12">
        <v>0.12</v>
      </c>
      <c r="M348" s="8">
        <v>7</v>
      </c>
      <c r="N348">
        <v>8</v>
      </c>
      <c r="O348" s="12">
        <v>10</v>
      </c>
      <c r="BF348" s="9">
        <v>3.47</v>
      </c>
      <c r="BG348" s="9">
        <f t="shared" si="11"/>
        <v>6.0518731988472615E-2</v>
      </c>
      <c r="BH348" s="9">
        <f t="shared" si="10"/>
        <v>7.8571428571428584E-2</v>
      </c>
      <c r="BQ348" s="8">
        <v>8</v>
      </c>
      <c r="BR348" s="8" t="s">
        <v>757</v>
      </c>
    </row>
    <row r="349" spans="1:70" x14ac:dyDescent="0.3">
      <c r="A349" s="11" t="s">
        <v>758</v>
      </c>
      <c r="B349" s="12">
        <v>234500</v>
      </c>
      <c r="C349" s="12">
        <v>751900</v>
      </c>
      <c r="D349" s="12">
        <v>0.15</v>
      </c>
      <c r="E349" s="12">
        <v>0.38</v>
      </c>
      <c r="F349" s="12">
        <v>0.08</v>
      </c>
      <c r="G349" s="12">
        <v>0.19</v>
      </c>
      <c r="H349" s="12">
        <v>0.48</v>
      </c>
      <c r="I349" s="12">
        <v>0.1</v>
      </c>
      <c r="J349" s="12">
        <v>0.24</v>
      </c>
      <c r="K349" s="12">
        <v>0.63</v>
      </c>
      <c r="L349" s="12">
        <v>0.14000000000000001</v>
      </c>
      <c r="M349" s="8">
        <v>6</v>
      </c>
      <c r="N349">
        <v>7</v>
      </c>
      <c r="O349" s="12">
        <v>9</v>
      </c>
      <c r="BF349" s="9">
        <v>3.48</v>
      </c>
      <c r="BG349" s="9">
        <f t="shared" si="11"/>
        <v>6.0344827586206892E-2</v>
      </c>
      <c r="BH349" s="9">
        <f t="shared" si="10"/>
        <v>7.8345648604269305E-2</v>
      </c>
      <c r="BQ349" s="8">
        <v>7</v>
      </c>
      <c r="BR349" s="8" t="s">
        <v>759</v>
      </c>
    </row>
    <row r="350" spans="1:70" x14ac:dyDescent="0.3">
      <c r="A350" s="11" t="s">
        <v>760</v>
      </c>
      <c r="B350" s="12">
        <v>195000</v>
      </c>
      <c r="C350" s="12">
        <v>631500</v>
      </c>
      <c r="D350" s="12">
        <v>7.0000000000000007E-2</v>
      </c>
      <c r="E350" s="12">
        <v>0.16</v>
      </c>
      <c r="F350" s="12">
        <v>0.04</v>
      </c>
      <c r="G350" s="12">
        <v>0.08</v>
      </c>
      <c r="H350" s="12">
        <v>0.2</v>
      </c>
      <c r="I350" s="12">
        <v>0.06</v>
      </c>
      <c r="J350" s="12">
        <v>0.1</v>
      </c>
      <c r="K350" s="12">
        <v>0.26</v>
      </c>
      <c r="L350" s="12">
        <v>0.08</v>
      </c>
      <c r="M350" s="8">
        <v>8</v>
      </c>
      <c r="N350">
        <v>9</v>
      </c>
      <c r="O350" s="12">
        <v>12</v>
      </c>
      <c r="BF350" s="9">
        <v>3.49</v>
      </c>
      <c r="BG350" s="9">
        <f t="shared" si="11"/>
        <v>6.017191977077363E-2</v>
      </c>
      <c r="BH350" s="9">
        <f t="shared" si="10"/>
        <v>7.8121162505116665E-2</v>
      </c>
      <c r="BQ350" s="8">
        <v>5</v>
      </c>
      <c r="BR350" s="8" t="s">
        <v>761</v>
      </c>
    </row>
    <row r="351" spans="1:70" x14ac:dyDescent="0.3">
      <c r="A351" s="11" t="s">
        <v>762</v>
      </c>
      <c r="B351" s="12">
        <v>203000</v>
      </c>
      <c r="C351" s="12">
        <v>552700</v>
      </c>
      <c r="D351" s="12">
        <v>0.08</v>
      </c>
      <c r="E351" s="12">
        <v>0.2</v>
      </c>
      <c r="F351" s="12">
        <v>0.05</v>
      </c>
      <c r="G351" s="12">
        <v>0.1</v>
      </c>
      <c r="H351" s="12">
        <v>0.25</v>
      </c>
      <c r="I351" s="12">
        <v>0.06</v>
      </c>
      <c r="J351" s="12">
        <v>0.13</v>
      </c>
      <c r="K351" s="12">
        <v>0.34</v>
      </c>
      <c r="L351" s="12">
        <v>0.09</v>
      </c>
      <c r="M351" s="8">
        <v>7</v>
      </c>
      <c r="N351">
        <v>8</v>
      </c>
      <c r="O351" s="12">
        <v>10</v>
      </c>
      <c r="BF351" s="9">
        <v>3.5</v>
      </c>
      <c r="BG351" s="9">
        <f t="shared" si="11"/>
        <v>0.06</v>
      </c>
      <c r="BH351" s="9">
        <f t="shared" si="10"/>
        <v>7.7897959183673482E-2</v>
      </c>
      <c r="BQ351" s="8">
        <v>7</v>
      </c>
      <c r="BR351" s="8" t="s">
        <v>763</v>
      </c>
    </row>
    <row r="352" spans="1:70" x14ac:dyDescent="0.3">
      <c r="A352" s="11" t="s">
        <v>764</v>
      </c>
      <c r="B352" s="12">
        <v>248600</v>
      </c>
      <c r="C352" s="12">
        <v>776200</v>
      </c>
      <c r="D352" s="12">
        <v>0.23</v>
      </c>
      <c r="E352" s="12">
        <v>0.57999999999999996</v>
      </c>
      <c r="F352" s="12">
        <v>0.11</v>
      </c>
      <c r="G352" s="12">
        <v>0.31</v>
      </c>
      <c r="H352" s="12">
        <v>0.77</v>
      </c>
      <c r="I352" s="12">
        <v>0.15</v>
      </c>
      <c r="J352" s="12">
        <v>0.41</v>
      </c>
      <c r="K352" s="12">
        <v>1.06</v>
      </c>
      <c r="L352" s="12">
        <v>0.22</v>
      </c>
      <c r="M352" s="8">
        <v>5</v>
      </c>
      <c r="N352">
        <v>6</v>
      </c>
      <c r="O352" s="12">
        <v>7</v>
      </c>
      <c r="BF352" s="9">
        <v>3.51</v>
      </c>
      <c r="BG352" s="9">
        <f t="shared" si="11"/>
        <v>5.9829059829059832E-2</v>
      </c>
      <c r="BH352" s="9">
        <f t="shared" si="10"/>
        <v>7.7676027676027687E-2</v>
      </c>
      <c r="BQ352" s="8">
        <v>5</v>
      </c>
      <c r="BR352" s="8" t="s">
        <v>765</v>
      </c>
    </row>
    <row r="353" spans="1:70" x14ac:dyDescent="0.3">
      <c r="A353" s="11" t="s">
        <v>766</v>
      </c>
      <c r="B353" s="12">
        <v>207300</v>
      </c>
      <c r="C353" s="12">
        <v>721700</v>
      </c>
      <c r="D353" s="12">
        <v>0.11</v>
      </c>
      <c r="E353" s="12">
        <v>0.28000000000000003</v>
      </c>
      <c r="F353" s="12">
        <v>0.06</v>
      </c>
      <c r="G353" s="12">
        <v>0.15</v>
      </c>
      <c r="H353" s="12">
        <v>0.38</v>
      </c>
      <c r="I353" s="12">
        <v>0.08</v>
      </c>
      <c r="J353" s="12">
        <v>0.22</v>
      </c>
      <c r="K353" s="12">
        <v>0.55000000000000004</v>
      </c>
      <c r="L353" s="12">
        <v>0.12</v>
      </c>
      <c r="M353" s="8">
        <v>7</v>
      </c>
      <c r="N353">
        <v>8</v>
      </c>
      <c r="O353" s="12">
        <v>9</v>
      </c>
      <c r="BF353" s="9">
        <v>3.52</v>
      </c>
      <c r="BG353" s="9">
        <f t="shared" si="11"/>
        <v>5.9659090909090905E-2</v>
      </c>
      <c r="BH353" s="9">
        <f t="shared" si="10"/>
        <v>7.7455357142857159E-2</v>
      </c>
      <c r="BQ353" s="8">
        <v>6</v>
      </c>
      <c r="BR353" s="8" t="s">
        <v>767</v>
      </c>
    </row>
    <row r="354" spans="1:70" x14ac:dyDescent="0.3">
      <c r="A354" s="11" t="s">
        <v>768</v>
      </c>
      <c r="B354" s="12">
        <v>246200</v>
      </c>
      <c r="C354" s="12">
        <v>769000</v>
      </c>
      <c r="D354" s="12">
        <v>0.21</v>
      </c>
      <c r="E354" s="12">
        <v>0.54</v>
      </c>
      <c r="F354" s="12">
        <v>0.1</v>
      </c>
      <c r="G354" s="12">
        <v>0.28000000000000003</v>
      </c>
      <c r="H354" s="12">
        <v>0.71</v>
      </c>
      <c r="I354" s="12">
        <v>0.14000000000000001</v>
      </c>
      <c r="J354" s="12">
        <v>0.36</v>
      </c>
      <c r="K354" s="12">
        <v>0.96</v>
      </c>
      <c r="L354" s="12">
        <v>0.2</v>
      </c>
      <c r="M354" s="8">
        <v>5</v>
      </c>
      <c r="N354">
        <v>6</v>
      </c>
      <c r="O354" s="12">
        <v>7</v>
      </c>
      <c r="BF354" s="9">
        <v>3.53</v>
      </c>
      <c r="BG354" s="9">
        <f t="shared" si="11"/>
        <v>5.9490084985835696E-2</v>
      </c>
      <c r="BH354" s="9">
        <f t="shared" si="10"/>
        <v>7.7235936867664931E-2</v>
      </c>
      <c r="BQ354" s="8">
        <v>5</v>
      </c>
      <c r="BR354" s="8" t="s">
        <v>769</v>
      </c>
    </row>
    <row r="355" spans="1:70" x14ac:dyDescent="0.3">
      <c r="A355" s="11" t="s">
        <v>770</v>
      </c>
      <c r="B355" s="12">
        <v>221700</v>
      </c>
      <c r="C355" s="12">
        <v>746600</v>
      </c>
      <c r="D355" s="12">
        <v>0.14000000000000001</v>
      </c>
      <c r="E355" s="12">
        <v>0.35</v>
      </c>
      <c r="F355" s="12">
        <v>7.0000000000000007E-2</v>
      </c>
      <c r="G355" s="12">
        <v>0.18</v>
      </c>
      <c r="H355" s="12">
        <v>0.45</v>
      </c>
      <c r="I355" s="12">
        <v>0.09</v>
      </c>
      <c r="J355" s="12">
        <v>0.24</v>
      </c>
      <c r="K355" s="12">
        <v>0.62</v>
      </c>
      <c r="L355" s="12">
        <v>0.13</v>
      </c>
      <c r="M355" s="8">
        <v>6</v>
      </c>
      <c r="N355">
        <v>7</v>
      </c>
      <c r="O355" s="12">
        <v>9</v>
      </c>
      <c r="BF355" s="9">
        <v>3.54</v>
      </c>
      <c r="BG355" s="9">
        <f t="shared" si="11"/>
        <v>5.9322033898305079E-2</v>
      </c>
      <c r="BH355" s="9">
        <f t="shared" si="10"/>
        <v>7.7017756255044409E-2</v>
      </c>
      <c r="BQ355" s="8">
        <v>5</v>
      </c>
      <c r="BR355" s="8" t="s">
        <v>771</v>
      </c>
    </row>
    <row r="356" spans="1:70" x14ac:dyDescent="0.3">
      <c r="A356" s="11" t="s">
        <v>772</v>
      </c>
      <c r="B356" s="12">
        <v>261400</v>
      </c>
      <c r="C356" s="12">
        <v>793900</v>
      </c>
      <c r="D356" s="12">
        <v>0.25</v>
      </c>
      <c r="E356" s="12">
        <v>0.63</v>
      </c>
      <c r="F356" s="12">
        <v>0.12</v>
      </c>
      <c r="G356" s="12">
        <v>0.33</v>
      </c>
      <c r="H356" s="12">
        <v>0.84</v>
      </c>
      <c r="I356" s="12">
        <v>0.17</v>
      </c>
      <c r="J356" s="12">
        <v>0.45</v>
      </c>
      <c r="K356" s="12">
        <v>1.1499999999999999</v>
      </c>
      <c r="L356" s="12">
        <v>0.24</v>
      </c>
      <c r="M356" s="8">
        <v>5</v>
      </c>
      <c r="N356">
        <v>6</v>
      </c>
      <c r="O356" s="12">
        <v>7</v>
      </c>
      <c r="BF356" s="9">
        <v>3.55</v>
      </c>
      <c r="BG356" s="9">
        <f t="shared" si="11"/>
        <v>5.9154929577464786E-2</v>
      </c>
      <c r="BH356" s="9">
        <f t="shared" si="10"/>
        <v>7.6800804828973862E-2</v>
      </c>
      <c r="BQ356" s="8">
        <v>9</v>
      </c>
      <c r="BR356" s="8" t="s">
        <v>773</v>
      </c>
    </row>
    <row r="357" spans="1:70" x14ac:dyDescent="0.3">
      <c r="A357" s="11" t="s">
        <v>774</v>
      </c>
      <c r="B357" s="12">
        <v>260000</v>
      </c>
      <c r="C357" s="12">
        <v>792800</v>
      </c>
      <c r="D357" s="12">
        <v>0.26</v>
      </c>
      <c r="E357" s="12">
        <v>0.64</v>
      </c>
      <c r="F357" s="12">
        <v>0.12</v>
      </c>
      <c r="G357" s="12">
        <v>0.34</v>
      </c>
      <c r="H357" s="12">
        <v>0.85</v>
      </c>
      <c r="I357" s="12">
        <v>0.17</v>
      </c>
      <c r="J357" s="12">
        <v>0.46</v>
      </c>
      <c r="K357" s="12">
        <v>1.17</v>
      </c>
      <c r="L357" s="12">
        <v>0.25</v>
      </c>
      <c r="M357" s="8">
        <v>5</v>
      </c>
      <c r="N357">
        <v>6</v>
      </c>
      <c r="O357" s="12">
        <v>7</v>
      </c>
      <c r="BF357" s="9">
        <v>3.56</v>
      </c>
      <c r="BG357" s="9">
        <f t="shared" si="11"/>
        <v>5.8988764044943819E-2</v>
      </c>
      <c r="BH357" s="9">
        <f t="shared" si="10"/>
        <v>7.6585072231139653E-2</v>
      </c>
      <c r="BQ357" s="8">
        <v>7</v>
      </c>
      <c r="BR357" s="8" t="s">
        <v>775</v>
      </c>
    </row>
    <row r="358" spans="1:70" x14ac:dyDescent="0.3">
      <c r="A358" s="11" t="s">
        <v>776</v>
      </c>
      <c r="B358" s="12">
        <v>137600</v>
      </c>
      <c r="C358" s="12">
        <v>567500</v>
      </c>
      <c r="D358" s="12">
        <v>0.04</v>
      </c>
      <c r="E358" s="12">
        <v>0.09</v>
      </c>
      <c r="F358" s="12">
        <v>0.03</v>
      </c>
      <c r="G358" s="12">
        <v>0.05</v>
      </c>
      <c r="H358" s="12">
        <v>0.11</v>
      </c>
      <c r="I358" s="12">
        <v>0.04</v>
      </c>
      <c r="J358" s="12">
        <v>0.06</v>
      </c>
      <c r="K358" s="12">
        <v>0.14000000000000001</v>
      </c>
      <c r="L358" s="12">
        <v>0.05</v>
      </c>
      <c r="M358" s="8">
        <v>9</v>
      </c>
      <c r="N358">
        <v>11</v>
      </c>
      <c r="O358" s="12">
        <v>14</v>
      </c>
      <c r="BF358" s="9">
        <v>3.57</v>
      </c>
      <c r="BG358" s="9">
        <f t="shared" si="11"/>
        <v>5.8823529411764705E-2</v>
      </c>
      <c r="BH358" s="9">
        <f t="shared" si="10"/>
        <v>7.6370548219287737E-2</v>
      </c>
      <c r="BQ358" s="8">
        <v>5</v>
      </c>
      <c r="BR358" s="8" t="s">
        <v>777</v>
      </c>
    </row>
    <row r="359" spans="1:70" x14ac:dyDescent="0.3">
      <c r="A359" s="11" t="s">
        <v>778</v>
      </c>
      <c r="B359" s="12">
        <v>207300</v>
      </c>
      <c r="C359" s="12">
        <v>578400</v>
      </c>
      <c r="D359" s="12">
        <v>0.09</v>
      </c>
      <c r="E359" s="12">
        <v>0.22</v>
      </c>
      <c r="F359" s="12">
        <v>0.05</v>
      </c>
      <c r="G359" s="12">
        <v>0.11</v>
      </c>
      <c r="H359" s="12">
        <v>0.28999999999999998</v>
      </c>
      <c r="I359" s="12">
        <v>7.0000000000000007E-2</v>
      </c>
      <c r="J359" s="12">
        <v>0.15</v>
      </c>
      <c r="K359" s="12">
        <v>0.39</v>
      </c>
      <c r="L359" s="12">
        <v>0.09</v>
      </c>
      <c r="M359" s="8">
        <v>7</v>
      </c>
      <c r="N359">
        <v>8</v>
      </c>
      <c r="O359" s="12">
        <v>10</v>
      </c>
      <c r="BF359" s="9">
        <v>3.58</v>
      </c>
      <c r="BG359" s="9">
        <f t="shared" si="11"/>
        <v>5.8659217877094966E-2</v>
      </c>
      <c r="BH359" s="9">
        <f t="shared" si="10"/>
        <v>7.615722266560257E-2</v>
      </c>
      <c r="BQ359" s="8">
        <v>7</v>
      </c>
      <c r="BR359" s="8" t="s">
        <v>779</v>
      </c>
    </row>
    <row r="360" spans="1:70" x14ac:dyDescent="0.3">
      <c r="A360" s="11" t="s">
        <v>780</v>
      </c>
      <c r="B360" s="12">
        <v>258800</v>
      </c>
      <c r="C360" s="12">
        <v>737000</v>
      </c>
      <c r="D360" s="12">
        <v>0.28000000000000003</v>
      </c>
      <c r="E360" s="12">
        <v>0.68</v>
      </c>
      <c r="F360" s="12">
        <v>0.13</v>
      </c>
      <c r="G360" s="12">
        <v>0.36</v>
      </c>
      <c r="H360" s="12">
        <v>0.9</v>
      </c>
      <c r="I360" s="12">
        <v>0.18</v>
      </c>
      <c r="J360" s="12">
        <v>0.49</v>
      </c>
      <c r="K360" s="12">
        <v>1.24</v>
      </c>
      <c r="L360" s="12">
        <v>0.26</v>
      </c>
      <c r="M360" s="8">
        <v>5</v>
      </c>
      <c r="N360">
        <v>5</v>
      </c>
      <c r="O360" s="12">
        <v>6</v>
      </c>
      <c r="BF360" s="9">
        <v>3.59</v>
      </c>
      <c r="BG360" s="9">
        <f t="shared" si="11"/>
        <v>5.8495821727019497E-2</v>
      </c>
      <c r="BH360" s="9">
        <f t="shared" si="10"/>
        <v>7.5945085555113423E-2</v>
      </c>
      <c r="BQ360" s="8">
        <v>5</v>
      </c>
      <c r="BR360" s="8" t="s">
        <v>781</v>
      </c>
    </row>
    <row r="361" spans="1:70" x14ac:dyDescent="0.3">
      <c r="A361" s="11" t="s">
        <v>782</v>
      </c>
      <c r="B361" s="12">
        <v>193900</v>
      </c>
      <c r="C361" s="12">
        <v>726900</v>
      </c>
      <c r="D361" s="12">
        <v>0.09</v>
      </c>
      <c r="E361" s="12">
        <v>0.23</v>
      </c>
      <c r="F361" s="12">
        <v>0.05</v>
      </c>
      <c r="G361" s="12">
        <v>0.12</v>
      </c>
      <c r="H361" s="12">
        <v>0.31</v>
      </c>
      <c r="I361" s="12">
        <v>7.0000000000000007E-2</v>
      </c>
      <c r="J361" s="12">
        <v>0.17</v>
      </c>
      <c r="K361" s="12">
        <v>0.43</v>
      </c>
      <c r="L361" s="12">
        <v>0.1</v>
      </c>
      <c r="M361" s="8">
        <v>7</v>
      </c>
      <c r="N361">
        <v>8</v>
      </c>
      <c r="O361" s="12">
        <v>10</v>
      </c>
      <c r="BF361" s="9">
        <v>3.6</v>
      </c>
      <c r="BG361" s="9">
        <f t="shared" si="11"/>
        <v>5.8333333333333327E-2</v>
      </c>
      <c r="BH361" s="9">
        <f t="shared" si="10"/>
        <v>7.5734126984127001E-2</v>
      </c>
      <c r="BQ361" s="8">
        <v>8</v>
      </c>
      <c r="BR361" s="8" t="s">
        <v>783</v>
      </c>
    </row>
    <row r="362" spans="1:70" x14ac:dyDescent="0.3">
      <c r="A362" s="11" t="s">
        <v>784</v>
      </c>
      <c r="B362" s="12">
        <v>258500</v>
      </c>
      <c r="C362" s="12">
        <v>791700</v>
      </c>
      <c r="D362" s="12">
        <v>0.26</v>
      </c>
      <c r="E362" s="12">
        <v>0.63</v>
      </c>
      <c r="F362" s="12">
        <v>0.12</v>
      </c>
      <c r="G362" s="12">
        <v>0.34</v>
      </c>
      <c r="H362" s="12">
        <v>0.85</v>
      </c>
      <c r="I362" s="12">
        <v>0.17</v>
      </c>
      <c r="J362" s="12">
        <v>0.46</v>
      </c>
      <c r="K362" s="12">
        <v>1.17</v>
      </c>
      <c r="L362" s="12">
        <v>0.25</v>
      </c>
      <c r="M362" s="8">
        <v>5</v>
      </c>
      <c r="N362">
        <v>6</v>
      </c>
      <c r="O362" s="12">
        <v>7</v>
      </c>
      <c r="BF362" s="9">
        <v>3.61</v>
      </c>
      <c r="BG362" s="9">
        <f t="shared" si="11"/>
        <v>5.817174515235457E-2</v>
      </c>
      <c r="BH362" s="9">
        <f t="shared" si="10"/>
        <v>7.55243371586862E-2</v>
      </c>
      <c r="BQ362" s="8">
        <v>8</v>
      </c>
      <c r="BR362" s="8" t="s">
        <v>785</v>
      </c>
    </row>
    <row r="363" spans="1:70" x14ac:dyDescent="0.3">
      <c r="A363" s="11" t="s">
        <v>786</v>
      </c>
      <c r="B363" s="12">
        <v>190800</v>
      </c>
      <c r="C363" s="12">
        <v>695400</v>
      </c>
      <c r="D363" s="12">
        <v>7.0000000000000007E-2</v>
      </c>
      <c r="E363" s="12">
        <v>0.17</v>
      </c>
      <c r="F363" s="12">
        <v>0.05</v>
      </c>
      <c r="G363" s="12">
        <v>0.09</v>
      </c>
      <c r="H363" s="12">
        <v>0.21</v>
      </c>
      <c r="I363" s="12">
        <v>0.06</v>
      </c>
      <c r="J363" s="12">
        <v>0.11</v>
      </c>
      <c r="K363" s="12">
        <v>0.28000000000000003</v>
      </c>
      <c r="L363" s="12">
        <v>0.08</v>
      </c>
      <c r="M363" s="8">
        <v>8</v>
      </c>
      <c r="N363">
        <v>9</v>
      </c>
      <c r="O363" s="12">
        <v>12</v>
      </c>
      <c r="BF363" s="9">
        <v>3.62</v>
      </c>
      <c r="BG363" s="9">
        <f t="shared" si="11"/>
        <v>5.8011049723756904E-2</v>
      </c>
      <c r="BH363" s="9">
        <f t="shared" si="10"/>
        <v>7.5315706393054474E-2</v>
      </c>
      <c r="BQ363" s="8">
        <v>6</v>
      </c>
      <c r="BR363" s="8" t="s">
        <v>787</v>
      </c>
    </row>
    <row r="364" spans="1:70" x14ac:dyDescent="0.3">
      <c r="A364" s="11" t="s">
        <v>788</v>
      </c>
      <c r="B364" s="12">
        <v>190500</v>
      </c>
      <c r="C364" s="12">
        <v>673600</v>
      </c>
      <c r="D364" s="12">
        <v>0.06</v>
      </c>
      <c r="E364" s="12">
        <v>0.16</v>
      </c>
      <c r="F364" s="12">
        <v>0.04</v>
      </c>
      <c r="G364" s="12">
        <v>0.08</v>
      </c>
      <c r="H364" s="12">
        <v>0.19</v>
      </c>
      <c r="I364" s="12">
        <v>0.06</v>
      </c>
      <c r="J364" s="12">
        <v>0.1</v>
      </c>
      <c r="K364" s="12">
        <v>0.25</v>
      </c>
      <c r="L364" s="12">
        <v>0.08</v>
      </c>
      <c r="M364" s="8">
        <v>8</v>
      </c>
      <c r="N364">
        <v>10</v>
      </c>
      <c r="O364" s="12">
        <v>12</v>
      </c>
      <c r="BF364" s="9">
        <v>3.63</v>
      </c>
      <c r="BG364" s="9">
        <f t="shared" si="11"/>
        <v>5.7851239669421489E-2</v>
      </c>
      <c r="BH364" s="9">
        <f t="shared" si="10"/>
        <v>7.5108225108225124E-2</v>
      </c>
      <c r="BQ364" s="8">
        <v>8</v>
      </c>
      <c r="BR364" s="8" t="s">
        <v>789</v>
      </c>
    </row>
    <row r="365" spans="1:70" x14ac:dyDescent="0.3">
      <c r="A365" s="11" t="s">
        <v>790</v>
      </c>
      <c r="B365" s="12">
        <v>241000</v>
      </c>
      <c r="C365" s="12">
        <v>743700</v>
      </c>
      <c r="D365" s="12">
        <v>0.18</v>
      </c>
      <c r="E365" s="12">
        <v>0.46</v>
      </c>
      <c r="F365" s="12">
        <v>0.09</v>
      </c>
      <c r="G365" s="12">
        <v>0.23</v>
      </c>
      <c r="H365" s="12">
        <v>0.59</v>
      </c>
      <c r="I365" s="12">
        <v>0.12</v>
      </c>
      <c r="J365" s="12">
        <v>0.28999999999999998</v>
      </c>
      <c r="K365" s="12">
        <v>0.78</v>
      </c>
      <c r="L365" s="12">
        <v>0.16</v>
      </c>
      <c r="M365" s="8">
        <v>6</v>
      </c>
      <c r="N365">
        <v>7</v>
      </c>
      <c r="O365" s="12">
        <v>8</v>
      </c>
      <c r="BF365" s="9">
        <v>3.64</v>
      </c>
      <c r="BG365" s="9">
        <f t="shared" si="11"/>
        <v>5.7692307692307689E-2</v>
      </c>
      <c r="BH365" s="9">
        <f t="shared" si="10"/>
        <v>7.4901883830455263E-2</v>
      </c>
      <c r="BQ365" s="8">
        <v>7</v>
      </c>
      <c r="BR365" s="8" t="s">
        <v>791</v>
      </c>
    </row>
    <row r="366" spans="1:70" x14ac:dyDescent="0.3">
      <c r="A366" s="11" t="s">
        <v>792</v>
      </c>
      <c r="B366" s="12">
        <v>165800</v>
      </c>
      <c r="C366" s="12">
        <v>620600</v>
      </c>
      <c r="D366" s="12">
        <v>7.0000000000000007E-2</v>
      </c>
      <c r="E366" s="12">
        <v>0.16</v>
      </c>
      <c r="F366" s="12">
        <v>0.04</v>
      </c>
      <c r="G366" s="12">
        <v>0.09</v>
      </c>
      <c r="H366" s="12">
        <v>0.21</v>
      </c>
      <c r="I366" s="12">
        <v>0.05</v>
      </c>
      <c r="J366" s="12">
        <v>0.12</v>
      </c>
      <c r="K366" s="12">
        <v>0.3</v>
      </c>
      <c r="L366" s="12">
        <v>7.0000000000000007E-2</v>
      </c>
      <c r="M366" s="8">
        <v>8</v>
      </c>
      <c r="N366">
        <v>10</v>
      </c>
      <c r="O366" s="12">
        <v>12</v>
      </c>
      <c r="BF366" s="9">
        <v>3.65</v>
      </c>
      <c r="BG366" s="9">
        <f t="shared" si="11"/>
        <v>5.7534246575342465E-2</v>
      </c>
      <c r="BH366" s="9">
        <f t="shared" si="10"/>
        <v>7.4696673189823884E-2</v>
      </c>
      <c r="BQ366" s="8">
        <v>8</v>
      </c>
      <c r="BR366" s="8" t="s">
        <v>793</v>
      </c>
    </row>
    <row r="367" spans="1:70" x14ac:dyDescent="0.3">
      <c r="A367" s="11" t="s">
        <v>794</v>
      </c>
      <c r="B367" s="12">
        <v>202000</v>
      </c>
      <c r="C367" s="12">
        <v>559000</v>
      </c>
      <c r="D367" s="12">
        <v>0.08</v>
      </c>
      <c r="E367" s="12">
        <v>0.19</v>
      </c>
      <c r="F367" s="12">
        <v>0.05</v>
      </c>
      <c r="G367" s="12">
        <v>0.1</v>
      </c>
      <c r="H367" s="12">
        <v>0.24</v>
      </c>
      <c r="I367" s="12">
        <v>0.06</v>
      </c>
      <c r="J367" s="12">
        <v>0.13</v>
      </c>
      <c r="K367" s="12">
        <v>0.32</v>
      </c>
      <c r="L367" s="12">
        <v>0.09</v>
      </c>
      <c r="M367" s="8">
        <v>7</v>
      </c>
      <c r="N367">
        <v>8</v>
      </c>
      <c r="O367" s="12">
        <v>10</v>
      </c>
      <c r="BF367" s="9">
        <v>3.66</v>
      </c>
      <c r="BG367" s="9">
        <f t="shared" si="11"/>
        <v>5.7377049180327863E-2</v>
      </c>
      <c r="BH367" s="9">
        <f t="shared" si="10"/>
        <v>7.4492583918813429E-2</v>
      </c>
      <c r="BQ367" s="8">
        <v>6</v>
      </c>
      <c r="BR367" s="8" t="s">
        <v>795</v>
      </c>
    </row>
    <row r="368" spans="1:70" x14ac:dyDescent="0.3">
      <c r="A368" s="11" t="s">
        <v>796</v>
      </c>
      <c r="B368" s="12">
        <v>176200</v>
      </c>
      <c r="C368" s="12">
        <v>590800</v>
      </c>
      <c r="D368" s="12">
        <v>0.06</v>
      </c>
      <c r="E368" s="12">
        <v>0.15</v>
      </c>
      <c r="F368" s="12">
        <v>0.04</v>
      </c>
      <c r="G368" s="12">
        <v>0.08</v>
      </c>
      <c r="H368" s="12">
        <v>0.19</v>
      </c>
      <c r="I368" s="12">
        <v>0.05</v>
      </c>
      <c r="J368" s="12">
        <v>0.11</v>
      </c>
      <c r="K368" s="12">
        <v>0.27</v>
      </c>
      <c r="L368" s="12">
        <v>7.0000000000000007E-2</v>
      </c>
      <c r="M368" s="8">
        <v>8</v>
      </c>
      <c r="N368">
        <v>10</v>
      </c>
      <c r="O368" s="12">
        <v>12</v>
      </c>
      <c r="BF368" s="9">
        <v>3.67</v>
      </c>
      <c r="BG368" s="9">
        <f t="shared" si="11"/>
        <v>5.7220708446866483E-2</v>
      </c>
      <c r="BH368" s="9">
        <f t="shared" si="10"/>
        <v>7.4289606850914763E-2</v>
      </c>
      <c r="BQ368" s="8">
        <v>6</v>
      </c>
      <c r="BR368" s="8" t="s">
        <v>797</v>
      </c>
    </row>
    <row r="369" spans="1:70" x14ac:dyDescent="0.3">
      <c r="A369" s="11" t="s">
        <v>798</v>
      </c>
      <c r="B369" s="12">
        <v>228100</v>
      </c>
      <c r="C369" s="12">
        <v>740200</v>
      </c>
      <c r="D369" s="12">
        <v>0.15</v>
      </c>
      <c r="E369" s="12">
        <v>0.37</v>
      </c>
      <c r="F369" s="12">
        <v>7.0000000000000007E-2</v>
      </c>
      <c r="G369" s="12">
        <v>0.18</v>
      </c>
      <c r="H369" s="12">
        <v>0.47</v>
      </c>
      <c r="I369" s="12">
        <v>0.1</v>
      </c>
      <c r="J369" s="12">
        <v>0.24</v>
      </c>
      <c r="K369" s="12">
        <v>0.63</v>
      </c>
      <c r="L369" s="12">
        <v>0.13</v>
      </c>
      <c r="M369" s="8">
        <v>6</v>
      </c>
      <c r="N369">
        <v>7</v>
      </c>
      <c r="O369" s="12">
        <v>9</v>
      </c>
      <c r="BF369" s="9">
        <v>3.68</v>
      </c>
      <c r="BG369" s="9">
        <f t="shared" si="11"/>
        <v>5.7065217391304345E-2</v>
      </c>
      <c r="BH369" s="9">
        <f t="shared" si="10"/>
        <v>7.4087732919254662E-2</v>
      </c>
      <c r="BQ369" s="8">
        <v>5</v>
      </c>
      <c r="BR369" s="8" t="s">
        <v>799</v>
      </c>
    </row>
    <row r="370" spans="1:70" x14ac:dyDescent="0.3">
      <c r="A370" s="11" t="s">
        <v>800</v>
      </c>
      <c r="B370" s="12">
        <v>211500</v>
      </c>
      <c r="C370" s="12">
        <v>727500</v>
      </c>
      <c r="D370" s="12">
        <v>0.13</v>
      </c>
      <c r="E370" s="12">
        <v>0.33</v>
      </c>
      <c r="F370" s="12">
        <v>7.0000000000000007E-2</v>
      </c>
      <c r="G370" s="12">
        <v>0.19</v>
      </c>
      <c r="H370" s="12">
        <v>0.46</v>
      </c>
      <c r="I370" s="12">
        <v>0.09</v>
      </c>
      <c r="J370" s="12">
        <v>0.27</v>
      </c>
      <c r="K370" s="12">
        <v>0.67</v>
      </c>
      <c r="L370" s="12">
        <v>0.13</v>
      </c>
      <c r="M370" s="8">
        <v>6</v>
      </c>
      <c r="N370">
        <v>7</v>
      </c>
      <c r="O370" s="12">
        <v>8</v>
      </c>
      <c r="BF370" s="9">
        <v>3.69</v>
      </c>
      <c r="BG370" s="9">
        <f t="shared" si="11"/>
        <v>5.6910569105691054E-2</v>
      </c>
      <c r="BH370" s="9">
        <f t="shared" si="10"/>
        <v>7.3886953155245849E-2</v>
      </c>
      <c r="BQ370" s="8">
        <v>7</v>
      </c>
      <c r="BR370" s="8" t="s">
        <v>801</v>
      </c>
    </row>
    <row r="371" spans="1:70" x14ac:dyDescent="0.3">
      <c r="A371" s="11" t="s">
        <v>802</v>
      </c>
      <c r="B371" s="12">
        <v>247500</v>
      </c>
      <c r="C371" s="12">
        <v>739300</v>
      </c>
      <c r="D371" s="12">
        <v>0.23</v>
      </c>
      <c r="E371" s="12">
        <v>0.56999999999999995</v>
      </c>
      <c r="F371" s="12">
        <v>0.11</v>
      </c>
      <c r="G371" s="12">
        <v>0.28999999999999998</v>
      </c>
      <c r="H371" s="12">
        <v>0.74</v>
      </c>
      <c r="I371" s="12">
        <v>0.15</v>
      </c>
      <c r="J371" s="12">
        <v>0.39</v>
      </c>
      <c r="K371" s="12">
        <v>1.01</v>
      </c>
      <c r="L371" s="12">
        <v>0.21</v>
      </c>
      <c r="M371" s="8">
        <v>5</v>
      </c>
      <c r="N371">
        <v>6</v>
      </c>
      <c r="O371" s="12">
        <v>7</v>
      </c>
      <c r="BF371" s="9">
        <v>3.7</v>
      </c>
      <c r="BG371" s="9">
        <f t="shared" si="11"/>
        <v>5.6756756756756753E-2</v>
      </c>
      <c r="BH371" s="9">
        <f t="shared" si="10"/>
        <v>7.36872586872587E-2</v>
      </c>
      <c r="BQ371" s="8">
        <v>6</v>
      </c>
      <c r="BR371" s="8" t="s">
        <v>803</v>
      </c>
    </row>
    <row r="372" spans="1:70" x14ac:dyDescent="0.3">
      <c r="A372" s="11" t="s">
        <v>804</v>
      </c>
      <c r="B372" s="12">
        <v>196100</v>
      </c>
      <c r="C372" s="12">
        <v>739600</v>
      </c>
      <c r="D372" s="12">
        <v>0.12</v>
      </c>
      <c r="E372" s="12">
        <v>0.28000000000000003</v>
      </c>
      <c r="F372" s="12">
        <v>0.06</v>
      </c>
      <c r="G372" s="12">
        <v>0.16</v>
      </c>
      <c r="H372" s="12">
        <v>0.4</v>
      </c>
      <c r="I372" s="12">
        <v>0.08</v>
      </c>
      <c r="J372" s="12">
        <v>0.23</v>
      </c>
      <c r="K372" s="12">
        <v>0.57999999999999996</v>
      </c>
      <c r="L372" s="12">
        <v>0.12</v>
      </c>
      <c r="M372" s="8">
        <v>7</v>
      </c>
      <c r="N372">
        <v>8</v>
      </c>
      <c r="O372" s="12">
        <v>9</v>
      </c>
      <c r="BF372" s="9">
        <v>3.71</v>
      </c>
      <c r="BG372" s="9">
        <f t="shared" si="11"/>
        <v>5.6603773584905662E-2</v>
      </c>
      <c r="BH372" s="9">
        <f t="shared" si="10"/>
        <v>7.3488640739314604E-2</v>
      </c>
      <c r="BQ372" s="8">
        <v>7</v>
      </c>
      <c r="BR372" s="8" t="s">
        <v>805</v>
      </c>
    </row>
    <row r="373" spans="1:70" x14ac:dyDescent="0.3">
      <c r="A373" s="11" t="s">
        <v>806</v>
      </c>
      <c r="B373" s="12">
        <v>219300</v>
      </c>
      <c r="C373" s="12">
        <v>724200</v>
      </c>
      <c r="D373" s="12">
        <v>0.15</v>
      </c>
      <c r="E373" s="12">
        <v>0.36</v>
      </c>
      <c r="F373" s="12">
        <v>7.0000000000000007E-2</v>
      </c>
      <c r="G373" s="12">
        <v>0.2</v>
      </c>
      <c r="H373" s="12">
        <v>0.5</v>
      </c>
      <c r="I373" s="12">
        <v>0.1</v>
      </c>
      <c r="J373" s="12">
        <v>0.28999999999999998</v>
      </c>
      <c r="K373" s="12">
        <v>0.73</v>
      </c>
      <c r="L373" s="12">
        <v>0.14000000000000001</v>
      </c>
      <c r="M373" s="8">
        <v>6</v>
      </c>
      <c r="N373">
        <v>7</v>
      </c>
      <c r="O373" s="12">
        <v>8</v>
      </c>
      <c r="BF373" s="9">
        <v>3.72</v>
      </c>
      <c r="BG373" s="9">
        <f t="shared" si="11"/>
        <v>5.6451612903225798E-2</v>
      </c>
      <c r="BH373" s="9">
        <f t="shared" si="10"/>
        <v>7.3291090629800312E-2</v>
      </c>
      <c r="BQ373" s="8">
        <v>7</v>
      </c>
      <c r="BR373" s="8" t="s">
        <v>807</v>
      </c>
    </row>
    <row r="374" spans="1:70" x14ac:dyDescent="0.3">
      <c r="A374" s="11" t="s">
        <v>808</v>
      </c>
      <c r="B374" s="12">
        <v>223000</v>
      </c>
      <c r="C374" s="12">
        <v>771100</v>
      </c>
      <c r="D374" s="12">
        <v>0.12</v>
      </c>
      <c r="E374" s="12">
        <v>0.31</v>
      </c>
      <c r="F374" s="12">
        <v>7.0000000000000007E-2</v>
      </c>
      <c r="G374" s="12">
        <v>0.16</v>
      </c>
      <c r="H374" s="12">
        <v>0.39</v>
      </c>
      <c r="I374" s="12">
        <v>0.08</v>
      </c>
      <c r="J374" s="12">
        <v>0.2</v>
      </c>
      <c r="K374" s="12">
        <v>0.52</v>
      </c>
      <c r="L374" s="12">
        <v>0.11</v>
      </c>
      <c r="M374" s="8">
        <v>7</v>
      </c>
      <c r="N374">
        <v>8</v>
      </c>
      <c r="O374" s="12">
        <v>10</v>
      </c>
      <c r="BF374" s="9">
        <v>3.73</v>
      </c>
      <c r="BG374" s="9">
        <f t="shared" si="11"/>
        <v>5.6300268096514741E-2</v>
      </c>
      <c r="BH374" s="9">
        <f t="shared" si="10"/>
        <v>7.3094599770202995E-2</v>
      </c>
      <c r="BQ374" s="8">
        <v>8</v>
      </c>
      <c r="BR374" s="8" t="s">
        <v>809</v>
      </c>
    </row>
    <row r="375" spans="1:70" x14ac:dyDescent="0.3">
      <c r="A375" s="11" t="s">
        <v>810</v>
      </c>
      <c r="B375" s="12">
        <v>198400</v>
      </c>
      <c r="C375" s="12">
        <v>698100</v>
      </c>
      <c r="D375" s="12">
        <v>0.08</v>
      </c>
      <c r="E375" s="12">
        <v>0.19</v>
      </c>
      <c r="F375" s="12">
        <v>0.05</v>
      </c>
      <c r="G375" s="12">
        <v>0.09</v>
      </c>
      <c r="H375" s="12">
        <v>0.24</v>
      </c>
      <c r="I375" s="12">
        <v>0.06</v>
      </c>
      <c r="J375" s="12">
        <v>0.12</v>
      </c>
      <c r="K375" s="12">
        <v>0.31</v>
      </c>
      <c r="L375" s="12">
        <v>0.09</v>
      </c>
      <c r="M375" s="8">
        <v>7</v>
      </c>
      <c r="N375">
        <v>9</v>
      </c>
      <c r="O375" s="12">
        <v>11</v>
      </c>
      <c r="BF375" s="9">
        <v>3.74</v>
      </c>
      <c r="BG375" s="9">
        <f t="shared" si="11"/>
        <v>5.6149732620320851E-2</v>
      </c>
      <c r="BH375" s="9">
        <f t="shared" si="10"/>
        <v>7.2899159663865551E-2</v>
      </c>
      <c r="BQ375" s="8">
        <v>6</v>
      </c>
      <c r="BR375" s="8" t="s">
        <v>811</v>
      </c>
    </row>
    <row r="376" spans="1:70" x14ac:dyDescent="0.3">
      <c r="A376" s="11" t="s">
        <v>812</v>
      </c>
      <c r="B376" s="12">
        <v>171000</v>
      </c>
      <c r="C376" s="12">
        <v>645000</v>
      </c>
      <c r="D376" s="12">
        <v>0.06</v>
      </c>
      <c r="E376" s="12">
        <v>0.14000000000000001</v>
      </c>
      <c r="F376" s="12">
        <v>0.04</v>
      </c>
      <c r="G376" s="12">
        <v>7.0000000000000007E-2</v>
      </c>
      <c r="H376" s="12">
        <v>0.18</v>
      </c>
      <c r="I376" s="12">
        <v>0.05</v>
      </c>
      <c r="J376" s="12">
        <v>0.1</v>
      </c>
      <c r="K376" s="12">
        <v>0.24</v>
      </c>
      <c r="L376" s="12">
        <v>7.0000000000000007E-2</v>
      </c>
      <c r="M376" s="8">
        <v>8</v>
      </c>
      <c r="N376">
        <v>10</v>
      </c>
      <c r="O376" s="12">
        <v>13</v>
      </c>
      <c r="BF376" s="9">
        <v>3.75</v>
      </c>
      <c r="BG376" s="9">
        <f t="shared" si="11"/>
        <v>5.6000000000000001E-2</v>
      </c>
      <c r="BH376" s="9">
        <f t="shared" si="10"/>
        <v>7.2704761904761911E-2</v>
      </c>
      <c r="BQ376" s="8">
        <v>8</v>
      </c>
      <c r="BR376" s="8" t="s">
        <v>813</v>
      </c>
    </row>
    <row r="377" spans="1:70" x14ac:dyDescent="0.3">
      <c r="A377" s="11" t="s">
        <v>814</v>
      </c>
      <c r="B377" s="12">
        <v>222500</v>
      </c>
      <c r="C377" s="12">
        <v>739700</v>
      </c>
      <c r="D377" s="12">
        <v>0.14000000000000001</v>
      </c>
      <c r="E377" s="12">
        <v>0.36</v>
      </c>
      <c r="F377" s="12">
        <v>7.0000000000000007E-2</v>
      </c>
      <c r="G377" s="12">
        <v>0.19</v>
      </c>
      <c r="H377" s="12">
        <v>0.48</v>
      </c>
      <c r="I377" s="12">
        <v>0.1</v>
      </c>
      <c r="J377" s="12">
        <v>0.26</v>
      </c>
      <c r="K377" s="12">
        <v>0.66</v>
      </c>
      <c r="L377" s="12">
        <v>0.13</v>
      </c>
      <c r="M377" s="8">
        <v>6</v>
      </c>
      <c r="N377">
        <v>7</v>
      </c>
      <c r="O377" s="12">
        <v>9</v>
      </c>
      <c r="BF377" s="9">
        <v>3.76</v>
      </c>
      <c r="BG377" s="9">
        <f t="shared" si="11"/>
        <v>5.5851063829787238E-2</v>
      </c>
      <c r="BH377" s="9">
        <f t="shared" si="10"/>
        <v>7.2511398176291805E-2</v>
      </c>
      <c r="BQ377" s="8">
        <v>7</v>
      </c>
      <c r="BR377" s="8" t="s">
        <v>815</v>
      </c>
    </row>
    <row r="378" spans="1:70" x14ac:dyDescent="0.3">
      <c r="A378" s="11" t="s">
        <v>816</v>
      </c>
      <c r="B378" s="12">
        <v>193100</v>
      </c>
      <c r="C378" s="12">
        <v>696300</v>
      </c>
      <c r="D378" s="12">
        <v>7.0000000000000007E-2</v>
      </c>
      <c r="E378" s="12">
        <v>0.17</v>
      </c>
      <c r="F378" s="12">
        <v>0.05</v>
      </c>
      <c r="G378" s="12">
        <v>0.09</v>
      </c>
      <c r="H378" s="12">
        <v>0.22</v>
      </c>
      <c r="I378" s="12">
        <v>0.06</v>
      </c>
      <c r="J378" s="12">
        <v>0.11</v>
      </c>
      <c r="K378" s="12">
        <v>0.28999999999999998</v>
      </c>
      <c r="L378" s="12">
        <v>0.08</v>
      </c>
      <c r="M378" s="8">
        <v>8</v>
      </c>
      <c r="N378">
        <v>9</v>
      </c>
      <c r="O378" s="12">
        <v>12</v>
      </c>
      <c r="BF378" s="9">
        <v>3.77</v>
      </c>
      <c r="BG378" s="9">
        <f t="shared" si="11"/>
        <v>5.5702917771883284E-2</v>
      </c>
      <c r="BH378" s="9">
        <f t="shared" si="10"/>
        <v>7.2319060250094741E-2</v>
      </c>
      <c r="BQ378" s="8">
        <v>7</v>
      </c>
      <c r="BR378" s="8" t="s">
        <v>817</v>
      </c>
    </row>
    <row r="379" spans="1:70" x14ac:dyDescent="0.3">
      <c r="A379" s="11" t="s">
        <v>818</v>
      </c>
      <c r="B379" s="12">
        <v>212400</v>
      </c>
      <c r="C379" s="12">
        <v>636800</v>
      </c>
      <c r="D379" s="12">
        <v>0.08</v>
      </c>
      <c r="E379" s="12">
        <v>0.21</v>
      </c>
      <c r="F379" s="12">
        <v>0.05</v>
      </c>
      <c r="G379" s="12">
        <v>0.1</v>
      </c>
      <c r="H379" s="12">
        <v>0.26</v>
      </c>
      <c r="I379" s="12">
        <v>7.0000000000000007E-2</v>
      </c>
      <c r="J379" s="12">
        <v>0.13</v>
      </c>
      <c r="K379" s="12">
        <v>0.35</v>
      </c>
      <c r="L379" s="12">
        <v>0.09</v>
      </c>
      <c r="M379" s="8">
        <v>7</v>
      </c>
      <c r="N379">
        <v>9</v>
      </c>
      <c r="O379" s="12">
        <v>10</v>
      </c>
      <c r="BF379" s="9">
        <v>3.78</v>
      </c>
      <c r="BG379" s="9">
        <f t="shared" si="11"/>
        <v>5.5555555555555559E-2</v>
      </c>
      <c r="BH379" s="9">
        <f t="shared" si="10"/>
        <v>7.2127739984882852E-2</v>
      </c>
      <c r="BQ379" s="8">
        <v>7</v>
      </c>
      <c r="BR379" s="8" t="s">
        <v>819</v>
      </c>
    </row>
    <row r="380" spans="1:70" x14ac:dyDescent="0.3">
      <c r="A380" s="11" t="s">
        <v>820</v>
      </c>
      <c r="B380" s="12">
        <v>216300</v>
      </c>
      <c r="C380" s="12">
        <v>625500</v>
      </c>
      <c r="D380" s="12">
        <v>0.09</v>
      </c>
      <c r="E380" s="12">
        <v>0.22</v>
      </c>
      <c r="F380" s="12">
        <v>0.05</v>
      </c>
      <c r="G380" s="12">
        <v>0.11</v>
      </c>
      <c r="H380" s="12">
        <v>0.28000000000000003</v>
      </c>
      <c r="I380" s="12">
        <v>7.0000000000000007E-2</v>
      </c>
      <c r="J380" s="12">
        <v>0.14000000000000001</v>
      </c>
      <c r="K380" s="12">
        <v>0.38</v>
      </c>
      <c r="L380" s="12">
        <v>0.1</v>
      </c>
      <c r="M380" s="8">
        <v>7</v>
      </c>
      <c r="N380">
        <v>8</v>
      </c>
      <c r="O380" s="12">
        <v>10</v>
      </c>
      <c r="BF380" s="9">
        <v>3.79</v>
      </c>
      <c r="BG380" s="9">
        <f t="shared" si="11"/>
        <v>5.5408970976253295E-2</v>
      </c>
      <c r="BH380" s="9">
        <f t="shared" si="10"/>
        <v>7.1937429325292138E-2</v>
      </c>
      <c r="BQ380" s="8">
        <v>8</v>
      </c>
      <c r="BR380" s="8" t="s">
        <v>821</v>
      </c>
    </row>
    <row r="381" spans="1:70" x14ac:dyDescent="0.3">
      <c r="A381" s="11" t="s">
        <v>822</v>
      </c>
      <c r="B381" s="12">
        <v>209600</v>
      </c>
      <c r="C381" s="12">
        <v>583500</v>
      </c>
      <c r="D381" s="12">
        <v>0.09</v>
      </c>
      <c r="E381" s="12">
        <v>0.23</v>
      </c>
      <c r="F381" s="12">
        <v>0.05</v>
      </c>
      <c r="G381" s="12">
        <v>0.12</v>
      </c>
      <c r="H381" s="12">
        <v>0.3</v>
      </c>
      <c r="I381" s="12">
        <v>7.0000000000000007E-2</v>
      </c>
      <c r="J381" s="12">
        <v>0.16</v>
      </c>
      <c r="K381" s="12">
        <v>0.41</v>
      </c>
      <c r="L381" s="12">
        <v>0.1</v>
      </c>
      <c r="M381" s="8">
        <v>7</v>
      </c>
      <c r="N381">
        <v>8</v>
      </c>
      <c r="O381" s="12">
        <v>10</v>
      </c>
      <c r="BF381" s="9">
        <v>3.8</v>
      </c>
      <c r="BG381" s="9">
        <f t="shared" si="11"/>
        <v>5.526315789473684E-2</v>
      </c>
      <c r="BH381" s="9">
        <f t="shared" si="10"/>
        <v>7.1748120300751894E-2</v>
      </c>
      <c r="BQ381" s="8">
        <v>6</v>
      </c>
      <c r="BR381" s="8" t="s">
        <v>823</v>
      </c>
    </row>
    <row r="382" spans="1:70" x14ac:dyDescent="0.3">
      <c r="A382" s="11" t="s">
        <v>824</v>
      </c>
      <c r="B382" s="12">
        <v>195400</v>
      </c>
      <c r="C382" s="12">
        <v>635200</v>
      </c>
      <c r="D382" s="12">
        <v>7.0000000000000007E-2</v>
      </c>
      <c r="E382" s="12">
        <v>0.16</v>
      </c>
      <c r="F382" s="12">
        <v>0.04</v>
      </c>
      <c r="G382" s="12">
        <v>0.08</v>
      </c>
      <c r="H382" s="12">
        <v>0.2</v>
      </c>
      <c r="I382" s="12">
        <v>0.06</v>
      </c>
      <c r="J382" s="12">
        <v>0.1</v>
      </c>
      <c r="K382" s="12">
        <v>0.26</v>
      </c>
      <c r="L382" s="12">
        <v>0.08</v>
      </c>
      <c r="M382" s="8">
        <v>8</v>
      </c>
      <c r="N382">
        <v>9</v>
      </c>
      <c r="O382" s="12">
        <v>12</v>
      </c>
      <c r="BF382" s="9">
        <v>3.81</v>
      </c>
      <c r="BG382" s="9">
        <f t="shared" si="11"/>
        <v>5.5118110236220472E-2</v>
      </c>
      <c r="BH382" s="9">
        <f t="shared" si="10"/>
        <v>7.1559805024371967E-2</v>
      </c>
      <c r="BQ382" s="8">
        <v>8</v>
      </c>
      <c r="BR382" s="8" t="s">
        <v>825</v>
      </c>
    </row>
    <row r="383" spans="1:70" x14ac:dyDescent="0.3">
      <c r="A383" s="11" t="s">
        <v>826</v>
      </c>
      <c r="B383" s="12">
        <v>216400</v>
      </c>
      <c r="C383" s="12">
        <v>741300</v>
      </c>
      <c r="D383" s="12">
        <v>0.14000000000000001</v>
      </c>
      <c r="E383" s="12">
        <v>0.35</v>
      </c>
      <c r="F383" s="12">
        <v>7.0000000000000007E-2</v>
      </c>
      <c r="G383" s="12">
        <v>0.19</v>
      </c>
      <c r="H383" s="12">
        <v>0.48</v>
      </c>
      <c r="I383" s="12">
        <v>0.1</v>
      </c>
      <c r="J383" s="12">
        <v>0.27</v>
      </c>
      <c r="K383" s="12">
        <v>0.69</v>
      </c>
      <c r="L383" s="12">
        <v>0.14000000000000001</v>
      </c>
      <c r="M383" s="8">
        <v>6</v>
      </c>
      <c r="N383">
        <v>7</v>
      </c>
      <c r="O383" s="12">
        <v>8</v>
      </c>
      <c r="BF383" s="9">
        <v>3.82</v>
      </c>
      <c r="BG383" s="9">
        <f t="shared" si="11"/>
        <v>5.4973821989528798E-2</v>
      </c>
      <c r="BH383" s="9">
        <f t="shared" si="10"/>
        <v>7.1372475691847431E-2</v>
      </c>
      <c r="BQ383" s="8">
        <v>6</v>
      </c>
      <c r="BR383" s="8" t="s">
        <v>827</v>
      </c>
    </row>
    <row r="384" spans="1:70" x14ac:dyDescent="0.3">
      <c r="A384" s="11" t="s">
        <v>828</v>
      </c>
      <c r="B384" s="12">
        <v>185300</v>
      </c>
      <c r="C384" s="12">
        <v>674600</v>
      </c>
      <c r="D384" s="12">
        <v>0.06</v>
      </c>
      <c r="E384" s="12">
        <v>0.15</v>
      </c>
      <c r="F384" s="12">
        <v>0.04</v>
      </c>
      <c r="G384" s="12">
        <v>0.08</v>
      </c>
      <c r="H384" s="12">
        <v>0.19</v>
      </c>
      <c r="I384" s="12">
        <v>0.06</v>
      </c>
      <c r="J384" s="12">
        <v>0.1</v>
      </c>
      <c r="K384" s="12">
        <v>0.25</v>
      </c>
      <c r="L384" s="12">
        <v>0.08</v>
      </c>
      <c r="M384" s="8">
        <v>8</v>
      </c>
      <c r="N384">
        <v>10</v>
      </c>
      <c r="O384" s="12">
        <v>12</v>
      </c>
      <c r="BF384" s="9">
        <v>3.83</v>
      </c>
      <c r="BG384" s="9">
        <f t="shared" si="11"/>
        <v>5.4830287206266315E-2</v>
      </c>
      <c r="BH384" s="9">
        <f t="shared" si="10"/>
        <v>7.1186124580380469E-2</v>
      </c>
      <c r="BQ384" s="8">
        <v>5</v>
      </c>
      <c r="BR384" s="8" t="s">
        <v>829</v>
      </c>
    </row>
    <row r="385" spans="1:70" x14ac:dyDescent="0.3">
      <c r="A385" s="11" t="s">
        <v>830</v>
      </c>
      <c r="B385" s="12">
        <v>234700</v>
      </c>
      <c r="C385" s="12">
        <v>750000</v>
      </c>
      <c r="D385" s="12">
        <v>0.15</v>
      </c>
      <c r="E385" s="12">
        <v>0.39</v>
      </c>
      <c r="F385" s="12">
        <v>0.08</v>
      </c>
      <c r="G385" s="12">
        <v>0.19</v>
      </c>
      <c r="H385" s="12">
        <v>0.49</v>
      </c>
      <c r="I385" s="12">
        <v>0.1</v>
      </c>
      <c r="J385" s="12">
        <v>0.24</v>
      </c>
      <c r="K385" s="12">
        <v>0.64</v>
      </c>
      <c r="L385" s="12">
        <v>0.14000000000000001</v>
      </c>
      <c r="M385" s="8">
        <v>6</v>
      </c>
      <c r="N385">
        <v>7</v>
      </c>
      <c r="O385" s="12">
        <v>9</v>
      </c>
      <c r="BF385" s="9">
        <v>3.84</v>
      </c>
      <c r="BG385" s="9">
        <f t="shared" si="11"/>
        <v>5.46875E-2</v>
      </c>
      <c r="BH385" s="9">
        <f t="shared" si="10"/>
        <v>7.1000744047619066E-2</v>
      </c>
      <c r="BQ385" s="8">
        <v>8</v>
      </c>
      <c r="BR385" s="8" t="s">
        <v>831</v>
      </c>
    </row>
    <row r="386" spans="1:70" x14ac:dyDescent="0.3">
      <c r="A386" s="11" t="s">
        <v>832</v>
      </c>
      <c r="B386" s="12">
        <v>241200</v>
      </c>
      <c r="C386" s="12">
        <v>637200</v>
      </c>
      <c r="D386" s="12">
        <v>0.2</v>
      </c>
      <c r="E386" s="12">
        <v>0.51</v>
      </c>
      <c r="F386" s="12">
        <v>0.1</v>
      </c>
      <c r="G386" s="12">
        <v>0.27</v>
      </c>
      <c r="H386" s="12">
        <v>0.68</v>
      </c>
      <c r="I386" s="12">
        <v>0.13</v>
      </c>
      <c r="J386" s="12">
        <v>0.37</v>
      </c>
      <c r="K386" s="12">
        <v>0.94</v>
      </c>
      <c r="L386" s="12">
        <v>0.2</v>
      </c>
      <c r="M386" s="8">
        <v>5</v>
      </c>
      <c r="N386">
        <v>6</v>
      </c>
      <c r="O386" s="12">
        <v>7</v>
      </c>
      <c r="BF386" s="9">
        <v>3.85</v>
      </c>
      <c r="BG386" s="9">
        <f t="shared" si="11"/>
        <v>5.4545454545454543E-2</v>
      </c>
      <c r="BH386" s="9">
        <f t="shared" ref="BH386:BH449" si="12">IFERROR(IF($BF386&lt;AZ$33,AZ$32*(AZ$30/AZ$29+(1-AZ$30/AZ$29)*$BF386/AZ$33),IF($BF386&lt;AZ$34,AZ$32,IF($BF386&lt;AZ$35,AZ$31/$BF386,AZ$31*AZ$35/($BF386^2))))*$BC$29,"")</f>
        <v>7.0816326530612261E-2</v>
      </c>
      <c r="BQ386" s="8">
        <v>7</v>
      </c>
      <c r="BR386" s="8" t="s">
        <v>833</v>
      </c>
    </row>
    <row r="387" spans="1:70" x14ac:dyDescent="0.3">
      <c r="A387" s="11" t="s">
        <v>834</v>
      </c>
      <c r="B387" s="12">
        <v>179400</v>
      </c>
      <c r="C387" s="12">
        <v>619100</v>
      </c>
      <c r="D387" s="12">
        <v>7.0000000000000007E-2</v>
      </c>
      <c r="E387" s="12">
        <v>0.16</v>
      </c>
      <c r="F387" s="12">
        <v>0.04</v>
      </c>
      <c r="G387" s="12">
        <v>0.09</v>
      </c>
      <c r="H387" s="12">
        <v>0.22</v>
      </c>
      <c r="I387" s="12">
        <v>0.05</v>
      </c>
      <c r="J387" s="12">
        <v>0.12</v>
      </c>
      <c r="K387" s="12">
        <v>0.3</v>
      </c>
      <c r="L387" s="12">
        <v>7.0000000000000007E-2</v>
      </c>
      <c r="M387" s="8">
        <v>8</v>
      </c>
      <c r="N387">
        <v>10</v>
      </c>
      <c r="O387" s="12">
        <v>12</v>
      </c>
      <c r="BF387" s="9">
        <v>3.86</v>
      </c>
      <c r="BG387" s="9">
        <f t="shared" ref="BG387:BG450" si="13">IF(BF387&lt;AY$33,AY$32*(AY$30/AY$29+(1-AY$30/AY$29)*BF387/AY$33),IF(BF387&lt;AY$34,AY$32,IF(BF387&lt;AY$35,AY$31/BF387,AY$31*AY$35/(BF387^2))))*$BC$29</f>
        <v>5.4404145077720206E-2</v>
      </c>
      <c r="BH387" s="9">
        <f t="shared" si="12"/>
        <v>7.0632864544781654E-2</v>
      </c>
      <c r="BQ387" s="8">
        <v>8</v>
      </c>
      <c r="BR387" s="8" t="s">
        <v>835</v>
      </c>
    </row>
    <row r="388" spans="1:70" x14ac:dyDescent="0.3">
      <c r="A388" s="11" t="s">
        <v>836</v>
      </c>
      <c r="B388" s="12">
        <v>203200</v>
      </c>
      <c r="C388" s="12">
        <v>571700</v>
      </c>
      <c r="D388" s="12">
        <v>0.08</v>
      </c>
      <c r="E388" s="12">
        <v>0.2</v>
      </c>
      <c r="F388" s="12">
        <v>0.05</v>
      </c>
      <c r="G388" s="12">
        <v>0.1</v>
      </c>
      <c r="H388" s="12">
        <v>0.26</v>
      </c>
      <c r="I388" s="12">
        <v>0.06</v>
      </c>
      <c r="J388" s="12">
        <v>0.13</v>
      </c>
      <c r="K388" s="12">
        <v>0.34</v>
      </c>
      <c r="L388" s="12">
        <v>0.09</v>
      </c>
      <c r="M388" s="8">
        <v>7</v>
      </c>
      <c r="N388">
        <v>8</v>
      </c>
      <c r="O388" s="12">
        <v>10</v>
      </c>
      <c r="BF388" s="9">
        <v>3.87</v>
      </c>
      <c r="BG388" s="9">
        <f t="shared" si="13"/>
        <v>5.4263565891472867E-2</v>
      </c>
      <c r="BH388" s="9">
        <f t="shared" si="12"/>
        <v>7.0450350682908836E-2</v>
      </c>
      <c r="BQ388" s="8">
        <v>8</v>
      </c>
      <c r="BR388" s="8" t="s">
        <v>837</v>
      </c>
    </row>
    <row r="389" spans="1:70" x14ac:dyDescent="0.3">
      <c r="A389" s="11" t="s">
        <v>838</v>
      </c>
      <c r="B389" s="12">
        <v>177400</v>
      </c>
      <c r="C389" s="12">
        <v>618600</v>
      </c>
      <c r="D389" s="12">
        <v>7.0000000000000007E-2</v>
      </c>
      <c r="E389" s="12">
        <v>0.16</v>
      </c>
      <c r="F389" s="12">
        <v>0.04</v>
      </c>
      <c r="G389" s="12">
        <v>0.09</v>
      </c>
      <c r="H389" s="12">
        <v>0.22</v>
      </c>
      <c r="I389" s="12">
        <v>0.05</v>
      </c>
      <c r="J389" s="12">
        <v>0.12</v>
      </c>
      <c r="K389" s="12">
        <v>0.3</v>
      </c>
      <c r="L389" s="12">
        <v>7.0000000000000007E-2</v>
      </c>
      <c r="M389" s="8">
        <v>8</v>
      </c>
      <c r="N389">
        <v>10</v>
      </c>
      <c r="O389" s="12">
        <v>12</v>
      </c>
      <c r="BF389" s="9">
        <v>3.88</v>
      </c>
      <c r="BG389" s="9">
        <f t="shared" si="13"/>
        <v>5.4123711340206188E-2</v>
      </c>
      <c r="BH389" s="9">
        <f t="shared" si="12"/>
        <v>7.0268777614138453E-2</v>
      </c>
      <c r="BQ389" s="8">
        <v>8</v>
      </c>
      <c r="BR389" s="8" t="s">
        <v>839</v>
      </c>
    </row>
    <row r="390" spans="1:70" x14ac:dyDescent="0.3">
      <c r="A390" s="11" t="s">
        <v>840</v>
      </c>
      <c r="B390" s="12">
        <v>170800</v>
      </c>
      <c r="C390" s="12">
        <v>611600</v>
      </c>
      <c r="D390" s="12">
        <v>7.0000000000000007E-2</v>
      </c>
      <c r="E390" s="12">
        <v>0.16</v>
      </c>
      <c r="F390" s="12">
        <v>0.04</v>
      </c>
      <c r="G390" s="12">
        <v>0.09</v>
      </c>
      <c r="H390" s="12">
        <v>0.21</v>
      </c>
      <c r="I390" s="12">
        <v>0.05</v>
      </c>
      <c r="J390" s="12">
        <v>0.12</v>
      </c>
      <c r="K390" s="12">
        <v>0.3</v>
      </c>
      <c r="L390" s="12">
        <v>7.0000000000000007E-2</v>
      </c>
      <c r="M390" s="8">
        <v>8</v>
      </c>
      <c r="N390">
        <v>10</v>
      </c>
      <c r="O390" s="12">
        <v>12</v>
      </c>
      <c r="BF390" s="9">
        <v>3.89</v>
      </c>
      <c r="BG390" s="9">
        <f t="shared" si="13"/>
        <v>5.3984575835475578E-2</v>
      </c>
      <c r="BH390" s="9">
        <f t="shared" si="12"/>
        <v>7.0088138082996701E-2</v>
      </c>
      <c r="BQ390" s="8">
        <v>8</v>
      </c>
      <c r="BR390" s="8" t="s">
        <v>841</v>
      </c>
    </row>
    <row r="391" spans="1:70" x14ac:dyDescent="0.3">
      <c r="A391" s="11" t="s">
        <v>842</v>
      </c>
      <c r="B391" s="12">
        <v>154700</v>
      </c>
      <c r="C391" s="12">
        <v>613000</v>
      </c>
      <c r="D391" s="12">
        <v>0.06</v>
      </c>
      <c r="E391" s="12">
        <v>0.14000000000000001</v>
      </c>
      <c r="F391" s="12">
        <v>0.04</v>
      </c>
      <c r="G391" s="12">
        <v>0.08</v>
      </c>
      <c r="H391" s="12">
        <v>0.18</v>
      </c>
      <c r="I391" s="12">
        <v>0.05</v>
      </c>
      <c r="J391" s="12">
        <v>0.11</v>
      </c>
      <c r="K391" s="12">
        <v>0.26</v>
      </c>
      <c r="L391" s="12">
        <v>0.06</v>
      </c>
      <c r="M391" s="8">
        <v>8</v>
      </c>
      <c r="N391">
        <v>10</v>
      </c>
      <c r="O391" s="12">
        <v>13</v>
      </c>
      <c r="BF391" s="9">
        <v>3.9</v>
      </c>
      <c r="BG391" s="9">
        <f t="shared" si="13"/>
        <v>5.3846153846153842E-2</v>
      </c>
      <c r="BH391" s="9">
        <f t="shared" si="12"/>
        <v>6.9908424908424915E-2</v>
      </c>
      <c r="BQ391" s="8">
        <v>7</v>
      </c>
      <c r="BR391" s="8" t="s">
        <v>843</v>
      </c>
    </row>
    <row r="392" spans="1:70" x14ac:dyDescent="0.3">
      <c r="A392" s="11" t="s">
        <v>844</v>
      </c>
      <c r="B392" s="12">
        <v>189500</v>
      </c>
      <c r="C392" s="12">
        <v>653700</v>
      </c>
      <c r="D392" s="12">
        <v>0.06</v>
      </c>
      <c r="E392" s="12">
        <v>0.15</v>
      </c>
      <c r="F392" s="12">
        <v>0.04</v>
      </c>
      <c r="G392" s="12">
        <v>7.0000000000000007E-2</v>
      </c>
      <c r="H392" s="12">
        <v>0.18</v>
      </c>
      <c r="I392" s="12">
        <v>0.06</v>
      </c>
      <c r="J392" s="12">
        <v>0.09</v>
      </c>
      <c r="K392" s="12">
        <v>0.24</v>
      </c>
      <c r="L392" s="12">
        <v>7.0000000000000007E-2</v>
      </c>
      <c r="M392" s="8">
        <v>8</v>
      </c>
      <c r="N392">
        <v>10</v>
      </c>
      <c r="O392" s="12">
        <v>12</v>
      </c>
      <c r="BF392" s="9">
        <v>3.91</v>
      </c>
      <c r="BG392" s="9">
        <f t="shared" si="13"/>
        <v>5.3708439897698204E-2</v>
      </c>
      <c r="BH392" s="9">
        <f t="shared" si="12"/>
        <v>6.9729630982827917E-2</v>
      </c>
      <c r="BQ392" s="8">
        <v>8</v>
      </c>
      <c r="BR392" s="8" t="s">
        <v>845</v>
      </c>
    </row>
    <row r="393" spans="1:70" x14ac:dyDescent="0.3">
      <c r="A393" s="11" t="s">
        <v>846</v>
      </c>
      <c r="B393" s="12">
        <v>195700</v>
      </c>
      <c r="C393" s="12">
        <v>720000</v>
      </c>
      <c r="D393" s="12">
        <v>0.09</v>
      </c>
      <c r="E393" s="12">
        <v>0.22</v>
      </c>
      <c r="F393" s="12">
        <v>0.05</v>
      </c>
      <c r="G393" s="12">
        <v>0.11</v>
      </c>
      <c r="H393" s="12">
        <v>0.28000000000000003</v>
      </c>
      <c r="I393" s="12">
        <v>7.0000000000000007E-2</v>
      </c>
      <c r="J393" s="12">
        <v>0.15</v>
      </c>
      <c r="K393" s="12">
        <v>0.39</v>
      </c>
      <c r="L393" s="12">
        <v>0.09</v>
      </c>
      <c r="M393" s="8">
        <v>7</v>
      </c>
      <c r="N393">
        <v>9</v>
      </c>
      <c r="O393" s="12">
        <v>11</v>
      </c>
      <c r="BF393" s="9">
        <v>3.92</v>
      </c>
      <c r="BG393" s="9">
        <f t="shared" si="13"/>
        <v>5.3571428571428568E-2</v>
      </c>
      <c r="BH393" s="9">
        <f t="shared" si="12"/>
        <v>6.9551749271137039E-2</v>
      </c>
      <c r="BQ393" s="8">
        <v>7</v>
      </c>
      <c r="BR393" s="8" t="s">
        <v>847</v>
      </c>
    </row>
    <row r="394" spans="1:70" x14ac:dyDescent="0.3">
      <c r="A394" s="11" t="s">
        <v>848</v>
      </c>
      <c r="B394" s="12">
        <v>194900</v>
      </c>
      <c r="C394" s="12">
        <v>624100</v>
      </c>
      <c r="D394" s="12">
        <v>7.0000000000000007E-2</v>
      </c>
      <c r="E394" s="12">
        <v>0.17</v>
      </c>
      <c r="F394" s="12">
        <v>0.04</v>
      </c>
      <c r="G394" s="12">
        <v>0.08</v>
      </c>
      <c r="H394" s="12">
        <v>0.21</v>
      </c>
      <c r="I394" s="12">
        <v>0.06</v>
      </c>
      <c r="J394" s="12">
        <v>0.11</v>
      </c>
      <c r="K394" s="12">
        <v>0.28000000000000003</v>
      </c>
      <c r="L394" s="12">
        <v>0.08</v>
      </c>
      <c r="M394" s="8">
        <v>8</v>
      </c>
      <c r="N394">
        <v>9</v>
      </c>
      <c r="O394" s="12">
        <v>11</v>
      </c>
      <c r="BF394" s="9">
        <v>3.93</v>
      </c>
      <c r="BG394" s="9">
        <f t="shared" si="13"/>
        <v>5.3435114503816793E-2</v>
      </c>
      <c r="BH394" s="9">
        <f t="shared" si="12"/>
        <v>6.9374772809887325E-2</v>
      </c>
      <c r="BQ394" s="8">
        <v>8</v>
      </c>
      <c r="BR394" s="8" t="s">
        <v>849</v>
      </c>
    </row>
    <row r="395" spans="1:70" x14ac:dyDescent="0.3">
      <c r="A395" s="11" t="s">
        <v>850</v>
      </c>
      <c r="B395" s="12">
        <v>203300</v>
      </c>
      <c r="C395" s="12">
        <v>696800</v>
      </c>
      <c r="D395" s="12">
        <v>0.08</v>
      </c>
      <c r="E395" s="12">
        <v>0.2</v>
      </c>
      <c r="F395" s="12">
        <v>0.05</v>
      </c>
      <c r="G395" s="12">
        <v>0.1</v>
      </c>
      <c r="H395" s="12">
        <v>0.26</v>
      </c>
      <c r="I395" s="12">
        <v>7.0000000000000007E-2</v>
      </c>
      <c r="J395" s="12">
        <v>0.13</v>
      </c>
      <c r="K395" s="12">
        <v>0.34</v>
      </c>
      <c r="L395" s="12">
        <v>0.09</v>
      </c>
      <c r="M395" s="8">
        <v>7</v>
      </c>
      <c r="N395">
        <v>9</v>
      </c>
      <c r="O395" s="12">
        <v>11</v>
      </c>
      <c r="BF395" s="9">
        <v>3.94</v>
      </c>
      <c r="BG395" s="9">
        <f t="shared" si="13"/>
        <v>5.3299492385786802E-2</v>
      </c>
      <c r="BH395" s="9">
        <f t="shared" si="12"/>
        <v>6.9198694706308933E-2</v>
      </c>
      <c r="BQ395" s="8">
        <v>8</v>
      </c>
      <c r="BR395" s="8" t="s">
        <v>851</v>
      </c>
    </row>
    <row r="396" spans="1:70" x14ac:dyDescent="0.3">
      <c r="A396" s="11" t="s">
        <v>852</v>
      </c>
      <c r="B396" s="12">
        <v>157500</v>
      </c>
      <c r="C396" s="12">
        <v>595300</v>
      </c>
      <c r="D396" s="12">
        <v>0.05</v>
      </c>
      <c r="E396" s="12">
        <v>0.12</v>
      </c>
      <c r="F396" s="12">
        <v>0.03</v>
      </c>
      <c r="G396" s="12">
        <v>0.06</v>
      </c>
      <c r="H396" s="12">
        <v>0.15</v>
      </c>
      <c r="I396" s="12">
        <v>0.04</v>
      </c>
      <c r="J396" s="12">
        <v>0.08</v>
      </c>
      <c r="K396" s="12">
        <v>0.21</v>
      </c>
      <c r="L396" s="12">
        <v>0.06</v>
      </c>
      <c r="M396" s="8">
        <v>8</v>
      </c>
      <c r="N396">
        <v>10</v>
      </c>
      <c r="O396" s="12">
        <v>13</v>
      </c>
      <c r="BF396" s="9">
        <v>3.95</v>
      </c>
      <c r="BG396" s="9">
        <f t="shared" si="13"/>
        <v>5.3164556962025315E-2</v>
      </c>
      <c r="BH396" s="9">
        <f t="shared" si="12"/>
        <v>6.9023508137432202E-2</v>
      </c>
      <c r="BQ396" s="8">
        <v>8</v>
      </c>
      <c r="BR396" s="8" t="s">
        <v>853</v>
      </c>
    </row>
    <row r="397" spans="1:70" x14ac:dyDescent="0.3">
      <c r="A397" s="11" t="s">
        <v>854</v>
      </c>
      <c r="B397" s="12">
        <v>200000</v>
      </c>
      <c r="C397" s="12">
        <v>626700</v>
      </c>
      <c r="D397" s="12">
        <v>7.0000000000000007E-2</v>
      </c>
      <c r="E397" s="12">
        <v>0.17</v>
      </c>
      <c r="F397" s="12">
        <v>0.05</v>
      </c>
      <c r="G397" s="12">
        <v>0.09</v>
      </c>
      <c r="H397" s="12">
        <v>0.21</v>
      </c>
      <c r="I397" s="12">
        <v>0.06</v>
      </c>
      <c r="J397" s="12">
        <v>0.11</v>
      </c>
      <c r="K397" s="12">
        <v>0.28000000000000003</v>
      </c>
      <c r="L397" s="12">
        <v>0.08</v>
      </c>
      <c r="M397" s="8">
        <v>8</v>
      </c>
      <c r="N397">
        <v>9</v>
      </c>
      <c r="O397" s="12">
        <v>11</v>
      </c>
      <c r="BF397" s="9">
        <v>3.96</v>
      </c>
      <c r="BG397" s="9">
        <f t="shared" si="13"/>
        <v>5.3030303030303032E-2</v>
      </c>
      <c r="BH397" s="9">
        <f t="shared" si="12"/>
        <v>6.8849206349206354E-2</v>
      </c>
      <c r="BQ397" s="8">
        <v>6</v>
      </c>
      <c r="BR397" s="8" t="s">
        <v>855</v>
      </c>
    </row>
    <row r="398" spans="1:70" x14ac:dyDescent="0.3">
      <c r="A398" s="11" t="s">
        <v>856</v>
      </c>
      <c r="B398" s="12">
        <v>164200</v>
      </c>
      <c r="C398" s="12">
        <v>596600</v>
      </c>
      <c r="D398" s="12">
        <v>0.06</v>
      </c>
      <c r="E398" s="12">
        <v>0.13</v>
      </c>
      <c r="F398" s="12">
        <v>0.04</v>
      </c>
      <c r="G398" s="12">
        <v>7.0000000000000007E-2</v>
      </c>
      <c r="H398" s="12">
        <v>0.17</v>
      </c>
      <c r="I398" s="12">
        <v>0.05</v>
      </c>
      <c r="J398" s="12">
        <v>0.1</v>
      </c>
      <c r="K398" s="12">
        <v>0.24</v>
      </c>
      <c r="L398" s="12">
        <v>0.06</v>
      </c>
      <c r="M398" s="8">
        <v>8</v>
      </c>
      <c r="N398">
        <v>10</v>
      </c>
      <c r="O398" s="12">
        <v>13</v>
      </c>
      <c r="BF398" s="9">
        <v>3.97</v>
      </c>
      <c r="BG398" s="9">
        <f t="shared" si="13"/>
        <v>5.2896725440806043E-2</v>
      </c>
      <c r="BH398" s="9">
        <f t="shared" si="12"/>
        <v>6.8675782655631526E-2</v>
      </c>
      <c r="BQ398" s="8">
        <v>8</v>
      </c>
      <c r="BR398" s="8" t="s">
        <v>857</v>
      </c>
    </row>
    <row r="399" spans="1:70" x14ac:dyDescent="0.3">
      <c r="A399" s="11" t="s">
        <v>858</v>
      </c>
      <c r="B399" s="12">
        <v>220500</v>
      </c>
      <c r="C399" s="12">
        <v>737000</v>
      </c>
      <c r="D399" s="12">
        <v>0.15</v>
      </c>
      <c r="E399" s="12">
        <v>0.36</v>
      </c>
      <c r="F399" s="12">
        <v>7.0000000000000007E-2</v>
      </c>
      <c r="G399" s="12">
        <v>0.2</v>
      </c>
      <c r="H399" s="12">
        <v>0.49</v>
      </c>
      <c r="I399" s="12">
        <v>0.1</v>
      </c>
      <c r="J399" s="12">
        <v>0.28000000000000003</v>
      </c>
      <c r="K399" s="12">
        <v>0.69</v>
      </c>
      <c r="L399" s="12">
        <v>0.14000000000000001</v>
      </c>
      <c r="M399" s="8">
        <v>6</v>
      </c>
      <c r="N399">
        <v>7</v>
      </c>
      <c r="O399" s="12">
        <v>8</v>
      </c>
      <c r="BF399" s="9">
        <v>3.98</v>
      </c>
      <c r="BG399" s="9">
        <f t="shared" si="13"/>
        <v>5.2763819095477386E-2</v>
      </c>
      <c r="BH399" s="9">
        <f t="shared" si="12"/>
        <v>6.8503230437903823E-2</v>
      </c>
      <c r="BQ399" s="8">
        <v>6</v>
      </c>
      <c r="BR399" s="8" t="s">
        <v>859</v>
      </c>
    </row>
    <row r="400" spans="1:70" x14ac:dyDescent="0.3">
      <c r="A400" s="11" t="s">
        <v>860</v>
      </c>
      <c r="B400" s="12">
        <v>175900</v>
      </c>
      <c r="C400" s="12">
        <v>621000</v>
      </c>
      <c r="D400" s="12">
        <v>7.0000000000000007E-2</v>
      </c>
      <c r="E400" s="12">
        <v>0.16</v>
      </c>
      <c r="F400" s="12">
        <v>0.04</v>
      </c>
      <c r="G400" s="12">
        <v>0.09</v>
      </c>
      <c r="H400" s="12">
        <v>0.21</v>
      </c>
      <c r="I400" s="12">
        <v>0.05</v>
      </c>
      <c r="J400" s="12">
        <v>0.12</v>
      </c>
      <c r="K400" s="12">
        <v>0.3</v>
      </c>
      <c r="L400" s="12">
        <v>7.0000000000000007E-2</v>
      </c>
      <c r="M400" s="8">
        <v>8</v>
      </c>
      <c r="N400">
        <v>10</v>
      </c>
      <c r="O400" s="12">
        <v>12</v>
      </c>
      <c r="BF400" s="9">
        <v>3.99</v>
      </c>
      <c r="BG400" s="9">
        <f t="shared" si="13"/>
        <v>5.2631578947368418E-2</v>
      </c>
      <c r="BH400" s="9">
        <f t="shared" si="12"/>
        <v>6.8331543143573231E-2</v>
      </c>
      <c r="BQ400" s="8">
        <v>6</v>
      </c>
      <c r="BR400" s="8" t="s">
        <v>861</v>
      </c>
    </row>
    <row r="401" spans="1:70" x14ac:dyDescent="0.3">
      <c r="A401" s="11" t="s">
        <v>862</v>
      </c>
      <c r="B401" s="12">
        <v>213100</v>
      </c>
      <c r="C401" s="12">
        <v>741800</v>
      </c>
      <c r="D401" s="12">
        <v>0.14000000000000001</v>
      </c>
      <c r="E401" s="12">
        <v>0.35</v>
      </c>
      <c r="F401" s="12">
        <v>7.0000000000000007E-2</v>
      </c>
      <c r="G401" s="12">
        <v>0.2</v>
      </c>
      <c r="H401" s="12">
        <v>0.48</v>
      </c>
      <c r="I401" s="12">
        <v>0.1</v>
      </c>
      <c r="J401" s="12">
        <v>0.28000000000000003</v>
      </c>
      <c r="K401" s="12">
        <v>0.7</v>
      </c>
      <c r="L401" s="12">
        <v>0.14000000000000001</v>
      </c>
      <c r="M401" s="8">
        <v>6</v>
      </c>
      <c r="N401">
        <v>7</v>
      </c>
      <c r="O401" s="12">
        <v>8</v>
      </c>
      <c r="BF401" s="9">
        <v>4</v>
      </c>
      <c r="BG401" s="9">
        <f t="shared" si="13"/>
        <v>5.2499999999999998E-2</v>
      </c>
      <c r="BH401" s="9">
        <f t="shared" si="12"/>
        <v>6.8160714285714297E-2</v>
      </c>
      <c r="BQ401" s="8">
        <v>8</v>
      </c>
      <c r="BR401" s="8" t="s">
        <v>863</v>
      </c>
    </row>
    <row r="402" spans="1:70" x14ac:dyDescent="0.3">
      <c r="A402" s="11" t="s">
        <v>864</v>
      </c>
      <c r="B402" s="12">
        <v>214900</v>
      </c>
      <c r="C402" s="12">
        <v>740700</v>
      </c>
      <c r="D402" s="12">
        <v>0.14000000000000001</v>
      </c>
      <c r="E402" s="12">
        <v>0.35</v>
      </c>
      <c r="F402" s="12">
        <v>7.0000000000000007E-2</v>
      </c>
      <c r="G402" s="12">
        <v>0.2</v>
      </c>
      <c r="H402" s="12">
        <v>0.48</v>
      </c>
      <c r="I402" s="12">
        <v>0.1</v>
      </c>
      <c r="J402" s="12">
        <v>0.28000000000000003</v>
      </c>
      <c r="K402" s="12">
        <v>0.7</v>
      </c>
      <c r="L402" s="12">
        <v>0.14000000000000001</v>
      </c>
      <c r="M402" s="8">
        <v>6</v>
      </c>
      <c r="N402">
        <v>7</v>
      </c>
      <c r="O402" s="12">
        <v>8</v>
      </c>
      <c r="BF402" s="9">
        <v>4.01</v>
      </c>
      <c r="BG402" s="9">
        <f t="shared" si="13"/>
        <v>5.2369077306733167E-2</v>
      </c>
      <c r="BH402" s="9">
        <f t="shared" si="12"/>
        <v>6.7990737442109025E-2</v>
      </c>
      <c r="BQ402" s="8">
        <v>6</v>
      </c>
      <c r="BR402" s="8" t="s">
        <v>865</v>
      </c>
    </row>
    <row r="403" spans="1:70" x14ac:dyDescent="0.3">
      <c r="A403" s="11" t="s">
        <v>866</v>
      </c>
      <c r="B403" s="12">
        <v>187200</v>
      </c>
      <c r="C403" s="12">
        <v>696300</v>
      </c>
      <c r="D403" s="12">
        <v>7.0000000000000007E-2</v>
      </c>
      <c r="E403" s="12">
        <v>0.16</v>
      </c>
      <c r="F403" s="12">
        <v>0.05</v>
      </c>
      <c r="G403" s="12">
        <v>0.08</v>
      </c>
      <c r="H403" s="12">
        <v>0.21</v>
      </c>
      <c r="I403" s="12">
        <v>0.06</v>
      </c>
      <c r="J403" s="12">
        <v>0.11</v>
      </c>
      <c r="K403" s="12">
        <v>0.28000000000000003</v>
      </c>
      <c r="L403" s="12">
        <v>0.08</v>
      </c>
      <c r="M403" s="8">
        <v>8</v>
      </c>
      <c r="N403">
        <v>9</v>
      </c>
      <c r="O403" s="12">
        <v>12</v>
      </c>
      <c r="BF403" s="9">
        <v>4.0199999999999996</v>
      </c>
      <c r="BG403" s="9">
        <f t="shared" si="13"/>
        <v>5.2238805970149259E-2</v>
      </c>
      <c r="BH403" s="9">
        <f t="shared" si="12"/>
        <v>6.7821606254442099E-2</v>
      </c>
      <c r="BQ403" s="8">
        <v>8</v>
      </c>
      <c r="BR403" s="8" t="s">
        <v>867</v>
      </c>
    </row>
    <row r="404" spans="1:70" x14ac:dyDescent="0.3">
      <c r="A404" s="11" t="s">
        <v>868</v>
      </c>
      <c r="B404" s="12">
        <v>225000</v>
      </c>
      <c r="C404" s="12">
        <v>716900</v>
      </c>
      <c r="D404" s="12">
        <v>0.15</v>
      </c>
      <c r="E404" s="12">
        <v>0.38</v>
      </c>
      <c r="F404" s="12">
        <v>0.08</v>
      </c>
      <c r="G404" s="12">
        <v>0.21</v>
      </c>
      <c r="H404" s="12">
        <v>0.52</v>
      </c>
      <c r="I404" s="12">
        <v>0.1</v>
      </c>
      <c r="J404" s="12">
        <v>0.28999999999999998</v>
      </c>
      <c r="K404" s="12">
        <v>0.74</v>
      </c>
      <c r="L404" s="12">
        <v>0.15</v>
      </c>
      <c r="M404" s="8">
        <v>6</v>
      </c>
      <c r="N404">
        <v>7</v>
      </c>
      <c r="O404" s="12">
        <v>8</v>
      </c>
      <c r="BF404" s="9">
        <v>4.03</v>
      </c>
      <c r="BG404" s="9">
        <f t="shared" si="13"/>
        <v>5.2109181141439198E-2</v>
      </c>
      <c r="BH404" s="9">
        <f t="shared" si="12"/>
        <v>6.765331442750798E-2</v>
      </c>
      <c r="BQ404" s="8">
        <v>7</v>
      </c>
      <c r="BR404" s="8" t="s">
        <v>869</v>
      </c>
    </row>
    <row r="405" spans="1:70" x14ac:dyDescent="0.3">
      <c r="A405" s="11" t="s">
        <v>870</v>
      </c>
      <c r="B405" s="12">
        <v>195300</v>
      </c>
      <c r="C405" s="12">
        <v>671700</v>
      </c>
      <c r="D405" s="12">
        <v>7.0000000000000007E-2</v>
      </c>
      <c r="E405" s="12">
        <v>0.16</v>
      </c>
      <c r="F405" s="12">
        <v>0.05</v>
      </c>
      <c r="G405" s="12">
        <v>0.08</v>
      </c>
      <c r="H405" s="12">
        <v>0.2</v>
      </c>
      <c r="I405" s="12">
        <v>0.06</v>
      </c>
      <c r="J405" s="12">
        <v>0.1</v>
      </c>
      <c r="K405" s="12">
        <v>0.27</v>
      </c>
      <c r="L405" s="12">
        <v>0.08</v>
      </c>
      <c r="M405" s="8">
        <v>8</v>
      </c>
      <c r="N405">
        <v>9</v>
      </c>
      <c r="O405" s="12">
        <v>12</v>
      </c>
      <c r="BF405" s="9">
        <v>4.04</v>
      </c>
      <c r="BG405" s="9">
        <f t="shared" si="13"/>
        <v>5.1980198019801978E-2</v>
      </c>
      <c r="BH405" s="9">
        <f t="shared" si="12"/>
        <v>6.7485855728429994E-2</v>
      </c>
      <c r="BQ405" s="8">
        <v>8</v>
      </c>
      <c r="BR405" s="8" t="s">
        <v>871</v>
      </c>
    </row>
    <row r="406" spans="1:70" x14ac:dyDescent="0.3">
      <c r="A406" s="11" t="s">
        <v>872</v>
      </c>
      <c r="B406" s="12">
        <v>207800</v>
      </c>
      <c r="C406" s="12">
        <v>600500</v>
      </c>
      <c r="D406" s="12">
        <v>0.09</v>
      </c>
      <c r="E406" s="12">
        <v>0.21</v>
      </c>
      <c r="F406" s="12">
        <v>0.05</v>
      </c>
      <c r="G406" s="12">
        <v>0.11</v>
      </c>
      <c r="H406" s="12">
        <v>0.28000000000000003</v>
      </c>
      <c r="I406" s="12">
        <v>7.0000000000000007E-2</v>
      </c>
      <c r="J406" s="12">
        <v>0.14000000000000001</v>
      </c>
      <c r="K406" s="12">
        <v>0.37</v>
      </c>
      <c r="L406" s="12">
        <v>0.09</v>
      </c>
      <c r="M406" s="8">
        <v>7</v>
      </c>
      <c r="N406">
        <v>8</v>
      </c>
      <c r="O406" s="12">
        <v>10</v>
      </c>
      <c r="BF406" s="9">
        <v>4.05</v>
      </c>
      <c r="BG406" s="9">
        <f t="shared" si="13"/>
        <v>5.185185185185185E-2</v>
      </c>
      <c r="BH406" s="9">
        <f t="shared" si="12"/>
        <v>6.7319223985890672E-2</v>
      </c>
      <c r="BQ406" s="8">
        <v>5</v>
      </c>
      <c r="BR406" s="8" t="s">
        <v>873</v>
      </c>
    </row>
    <row r="407" spans="1:70" x14ac:dyDescent="0.3">
      <c r="A407" s="11" t="s">
        <v>874</v>
      </c>
      <c r="B407" s="12">
        <v>193400</v>
      </c>
      <c r="C407" s="12">
        <v>699300</v>
      </c>
      <c r="D407" s="12">
        <v>7.0000000000000007E-2</v>
      </c>
      <c r="E407" s="12">
        <v>0.18</v>
      </c>
      <c r="F407" s="12">
        <v>0.05</v>
      </c>
      <c r="G407" s="12">
        <v>0.09</v>
      </c>
      <c r="H407" s="12">
        <v>0.22</v>
      </c>
      <c r="I407" s="12">
        <v>0.06</v>
      </c>
      <c r="J407" s="12">
        <v>0.12</v>
      </c>
      <c r="K407" s="12">
        <v>0.3</v>
      </c>
      <c r="L407" s="12">
        <v>0.08</v>
      </c>
      <c r="M407" s="8">
        <v>8</v>
      </c>
      <c r="N407">
        <v>9</v>
      </c>
      <c r="O407" s="12">
        <v>11</v>
      </c>
      <c r="BF407" s="9">
        <v>4.0599999999999996</v>
      </c>
      <c r="BG407" s="9">
        <f t="shared" si="13"/>
        <v>5.1724137931034489E-2</v>
      </c>
      <c r="BH407" s="9">
        <f t="shared" si="12"/>
        <v>6.7153413089373698E-2</v>
      </c>
      <c r="BQ407" s="8">
        <v>8</v>
      </c>
      <c r="BR407" s="8" t="s">
        <v>875</v>
      </c>
    </row>
    <row r="408" spans="1:70" x14ac:dyDescent="0.3">
      <c r="A408" s="11" t="s">
        <v>876</v>
      </c>
      <c r="B408" s="12">
        <v>260500</v>
      </c>
      <c r="C408" s="12">
        <v>759200</v>
      </c>
      <c r="D408" s="12">
        <v>0.28999999999999998</v>
      </c>
      <c r="E408" s="12">
        <v>0.71</v>
      </c>
      <c r="F408" s="12">
        <v>0.13</v>
      </c>
      <c r="G408" s="12">
        <v>0.38</v>
      </c>
      <c r="H408" s="12">
        <v>0.94</v>
      </c>
      <c r="I408" s="12">
        <v>0.19</v>
      </c>
      <c r="J408" s="12">
        <v>0.5</v>
      </c>
      <c r="K408" s="12">
        <v>1.28</v>
      </c>
      <c r="L408" s="12">
        <v>0.27</v>
      </c>
      <c r="M408" s="8">
        <v>5</v>
      </c>
      <c r="N408">
        <v>5</v>
      </c>
      <c r="O408" s="12">
        <v>6</v>
      </c>
      <c r="BF408" s="9">
        <v>4.07</v>
      </c>
      <c r="BG408" s="9">
        <f t="shared" si="13"/>
        <v>5.1597051597051594E-2</v>
      </c>
      <c r="BH408" s="9">
        <f t="shared" si="12"/>
        <v>6.6988416988416996E-2</v>
      </c>
      <c r="BQ408" s="8">
        <v>7</v>
      </c>
      <c r="BR408" s="8" t="s">
        <v>877</v>
      </c>
    </row>
    <row r="409" spans="1:70" x14ac:dyDescent="0.3">
      <c r="A409" s="11" t="s">
        <v>878</v>
      </c>
      <c r="B409" s="12">
        <v>193700</v>
      </c>
      <c r="C409" s="12">
        <v>652800</v>
      </c>
      <c r="D409" s="12">
        <v>0.06</v>
      </c>
      <c r="E409" s="12">
        <v>0.16</v>
      </c>
      <c r="F409" s="12">
        <v>0.04</v>
      </c>
      <c r="G409" s="12">
        <v>0.08</v>
      </c>
      <c r="H409" s="12">
        <v>0.19</v>
      </c>
      <c r="I409" s="12">
        <v>0.06</v>
      </c>
      <c r="J409" s="12">
        <v>0.1</v>
      </c>
      <c r="K409" s="12">
        <v>0.25</v>
      </c>
      <c r="L409" s="12">
        <v>0.08</v>
      </c>
      <c r="M409" s="8">
        <v>8</v>
      </c>
      <c r="N409">
        <v>10</v>
      </c>
      <c r="O409" s="12">
        <v>12</v>
      </c>
      <c r="BF409" s="9">
        <v>4.08</v>
      </c>
      <c r="BG409" s="9">
        <f t="shared" si="13"/>
        <v>5.1470588235294115E-2</v>
      </c>
      <c r="BH409" s="9">
        <f t="shared" si="12"/>
        <v>6.6824229691876763E-2</v>
      </c>
      <c r="BQ409" s="8">
        <v>6</v>
      </c>
      <c r="BR409" s="8" t="s">
        <v>879</v>
      </c>
    </row>
    <row r="410" spans="1:70" x14ac:dyDescent="0.3">
      <c r="A410" s="11" t="s">
        <v>880</v>
      </c>
      <c r="B410" s="12">
        <v>192100</v>
      </c>
      <c r="C410" s="12">
        <v>704600</v>
      </c>
      <c r="D410" s="12">
        <v>7.0000000000000007E-2</v>
      </c>
      <c r="E410" s="12">
        <v>0.18</v>
      </c>
      <c r="F410" s="12">
        <v>0.05</v>
      </c>
      <c r="G410" s="12">
        <v>0.09</v>
      </c>
      <c r="H410" s="12">
        <v>0.23</v>
      </c>
      <c r="I410" s="12">
        <v>0.06</v>
      </c>
      <c r="J410" s="12">
        <v>0.12</v>
      </c>
      <c r="K410" s="12">
        <v>0.31</v>
      </c>
      <c r="L410" s="12">
        <v>0.08</v>
      </c>
      <c r="M410" s="8">
        <v>7</v>
      </c>
      <c r="N410">
        <v>9</v>
      </c>
      <c r="O410" s="12">
        <v>11</v>
      </c>
      <c r="BF410" s="9">
        <v>4.09</v>
      </c>
      <c r="BG410" s="9">
        <f t="shared" si="13"/>
        <v>5.1344743276283619E-2</v>
      </c>
      <c r="BH410" s="9">
        <f t="shared" si="12"/>
        <v>6.6660845267202243E-2</v>
      </c>
      <c r="BQ410" s="8">
        <v>8</v>
      </c>
      <c r="BR410" s="8" t="s">
        <v>881</v>
      </c>
    </row>
    <row r="411" spans="1:70" x14ac:dyDescent="0.3">
      <c r="A411" s="11" t="s">
        <v>882</v>
      </c>
      <c r="B411" s="12">
        <v>227800</v>
      </c>
      <c r="C411" s="12">
        <v>748800</v>
      </c>
      <c r="D411" s="12">
        <v>0.14000000000000001</v>
      </c>
      <c r="E411" s="12">
        <v>0.36</v>
      </c>
      <c r="F411" s="12">
        <v>7.0000000000000007E-2</v>
      </c>
      <c r="G411" s="12">
        <v>0.18</v>
      </c>
      <c r="H411" s="12">
        <v>0.45</v>
      </c>
      <c r="I411" s="12">
        <v>0.09</v>
      </c>
      <c r="J411" s="12">
        <v>0.23</v>
      </c>
      <c r="K411" s="12">
        <v>0.59</v>
      </c>
      <c r="L411" s="12">
        <v>0.13</v>
      </c>
      <c r="M411" s="8">
        <v>6</v>
      </c>
      <c r="N411">
        <v>8</v>
      </c>
      <c r="O411" s="12">
        <v>9</v>
      </c>
      <c r="BF411" s="9">
        <v>4.0999999999999996</v>
      </c>
      <c r="BG411" s="9">
        <f t="shared" si="13"/>
        <v>5.1219512195121955E-2</v>
      </c>
      <c r="BH411" s="9">
        <f t="shared" si="12"/>
        <v>6.649825783972127E-2</v>
      </c>
      <c r="BQ411" s="8">
        <v>8</v>
      </c>
      <c r="BR411" s="8" t="s">
        <v>883</v>
      </c>
    </row>
    <row r="412" spans="1:70" x14ac:dyDescent="0.3">
      <c r="A412" s="11" t="s">
        <v>884</v>
      </c>
      <c r="B412" s="12">
        <v>188900</v>
      </c>
      <c r="C412" s="12">
        <v>637700</v>
      </c>
      <c r="D412" s="12">
        <v>0.06</v>
      </c>
      <c r="E412" s="12">
        <v>0.15</v>
      </c>
      <c r="F412" s="12">
        <v>0.04</v>
      </c>
      <c r="G412" s="12">
        <v>0.08</v>
      </c>
      <c r="H412" s="12">
        <v>0.19</v>
      </c>
      <c r="I412" s="12">
        <v>0.05</v>
      </c>
      <c r="J412" s="12">
        <v>0.1</v>
      </c>
      <c r="K412" s="12">
        <v>0.24</v>
      </c>
      <c r="L412" s="12">
        <v>7.0000000000000007E-2</v>
      </c>
      <c r="M412" s="8">
        <v>8</v>
      </c>
      <c r="N412">
        <v>10</v>
      </c>
      <c r="O412" s="12">
        <v>12</v>
      </c>
      <c r="BF412" s="9">
        <v>4.1100000000000003</v>
      </c>
      <c r="BG412" s="9">
        <f t="shared" si="13"/>
        <v>5.1094890510948898E-2</v>
      </c>
      <c r="BH412" s="9">
        <f t="shared" si="12"/>
        <v>6.6336461591936055E-2</v>
      </c>
      <c r="BQ412" s="8">
        <v>9</v>
      </c>
      <c r="BR412" s="8" t="s">
        <v>885</v>
      </c>
    </row>
    <row r="413" spans="1:70" x14ac:dyDescent="0.3">
      <c r="A413" s="11" t="s">
        <v>886</v>
      </c>
      <c r="B413" s="12">
        <v>178300</v>
      </c>
      <c r="C413" s="12">
        <v>658300</v>
      </c>
      <c r="D413" s="12">
        <v>0.06</v>
      </c>
      <c r="E413" s="12">
        <v>0.14000000000000001</v>
      </c>
      <c r="F413" s="12">
        <v>0.04</v>
      </c>
      <c r="G413" s="12">
        <v>7.0000000000000007E-2</v>
      </c>
      <c r="H413" s="12">
        <v>0.17</v>
      </c>
      <c r="I413" s="12">
        <v>0.05</v>
      </c>
      <c r="J413" s="12">
        <v>0.09</v>
      </c>
      <c r="K413" s="12">
        <v>0.22</v>
      </c>
      <c r="L413" s="12">
        <v>7.0000000000000007E-2</v>
      </c>
      <c r="M413" s="8">
        <v>8</v>
      </c>
      <c r="N413">
        <v>10</v>
      </c>
      <c r="O413" s="12">
        <v>12</v>
      </c>
      <c r="BF413" s="9">
        <v>4.12</v>
      </c>
      <c r="BG413" s="9">
        <f t="shared" si="13"/>
        <v>5.0970873786407765E-2</v>
      </c>
      <c r="BH413" s="9">
        <f t="shared" si="12"/>
        <v>6.6175450762829408E-2</v>
      </c>
      <c r="BQ413" s="8">
        <v>5</v>
      </c>
      <c r="BR413" s="8" t="s">
        <v>887</v>
      </c>
    </row>
    <row r="414" spans="1:70" x14ac:dyDescent="0.3">
      <c r="A414" s="11" t="s">
        <v>888</v>
      </c>
      <c r="B414" s="12">
        <v>135900</v>
      </c>
      <c r="C414" s="12">
        <v>571500</v>
      </c>
      <c r="D414" s="12">
        <v>0.04</v>
      </c>
      <c r="E414" s="12">
        <v>0.09</v>
      </c>
      <c r="F414" s="12">
        <v>0.03</v>
      </c>
      <c r="G414" s="12">
        <v>0.05</v>
      </c>
      <c r="H414" s="12">
        <v>0.11</v>
      </c>
      <c r="I414" s="12">
        <v>0.04</v>
      </c>
      <c r="J414" s="12">
        <v>0.06</v>
      </c>
      <c r="K414" s="12">
        <v>0.14000000000000001</v>
      </c>
      <c r="L414" s="12">
        <v>0.05</v>
      </c>
      <c r="M414" s="8">
        <v>9</v>
      </c>
      <c r="N414">
        <v>11</v>
      </c>
      <c r="O414" s="12">
        <v>14</v>
      </c>
      <c r="BF414" s="9">
        <v>4.13</v>
      </c>
      <c r="BG414" s="9">
        <f t="shared" si="13"/>
        <v>5.084745762711864E-2</v>
      </c>
      <c r="BH414" s="9">
        <f t="shared" si="12"/>
        <v>6.601521964718092E-2</v>
      </c>
      <c r="BQ414" s="8">
        <v>7</v>
      </c>
      <c r="BR414" s="8" t="s">
        <v>889</v>
      </c>
    </row>
    <row r="415" spans="1:70" x14ac:dyDescent="0.3">
      <c r="A415" s="11" t="s">
        <v>890</v>
      </c>
      <c r="B415" s="12">
        <v>257300</v>
      </c>
      <c r="C415" s="12">
        <v>773000</v>
      </c>
      <c r="D415" s="12">
        <v>0.28000000000000003</v>
      </c>
      <c r="E415" s="12">
        <v>0.68</v>
      </c>
      <c r="F415" s="12">
        <v>0.13</v>
      </c>
      <c r="G415" s="12">
        <v>0.36</v>
      </c>
      <c r="H415" s="12">
        <v>0.9</v>
      </c>
      <c r="I415" s="12">
        <v>0.18</v>
      </c>
      <c r="J415" s="12">
        <v>0.49</v>
      </c>
      <c r="K415" s="12">
        <v>1.24</v>
      </c>
      <c r="L415" s="12">
        <v>0.26</v>
      </c>
      <c r="M415" s="8">
        <v>5</v>
      </c>
      <c r="N415">
        <v>5</v>
      </c>
      <c r="O415" s="12">
        <v>6</v>
      </c>
      <c r="BF415" s="9">
        <v>4.1399999999999997</v>
      </c>
      <c r="BG415" s="9">
        <f t="shared" si="13"/>
        <v>5.0724637681159424E-2</v>
      </c>
      <c r="BH415" s="9">
        <f t="shared" si="12"/>
        <v>6.585576259489305E-2</v>
      </c>
      <c r="BQ415" s="8">
        <v>6</v>
      </c>
      <c r="BR415" s="8" t="s">
        <v>891</v>
      </c>
    </row>
    <row r="416" spans="1:70" x14ac:dyDescent="0.3">
      <c r="A416" s="11" t="s">
        <v>892</v>
      </c>
      <c r="B416" s="12">
        <v>228400</v>
      </c>
      <c r="C416" s="12">
        <v>767000</v>
      </c>
      <c r="D416" s="12">
        <v>0.13</v>
      </c>
      <c r="E416" s="12">
        <v>0.34</v>
      </c>
      <c r="F416" s="12">
        <v>7.0000000000000007E-2</v>
      </c>
      <c r="G416" s="12">
        <v>0.17</v>
      </c>
      <c r="H416" s="12">
        <v>0.43</v>
      </c>
      <c r="I416" s="12">
        <v>0.09</v>
      </c>
      <c r="J416" s="12">
        <v>0.22</v>
      </c>
      <c r="K416" s="12">
        <v>0.56000000000000005</v>
      </c>
      <c r="L416" s="12">
        <v>0.12</v>
      </c>
      <c r="M416" s="8">
        <v>7</v>
      </c>
      <c r="N416">
        <v>8</v>
      </c>
      <c r="O416" s="12">
        <v>10</v>
      </c>
      <c r="BF416" s="9">
        <v>4.1500000000000004</v>
      </c>
      <c r="BG416" s="9">
        <f t="shared" si="13"/>
        <v>5.060240963855421E-2</v>
      </c>
      <c r="BH416" s="9">
        <f t="shared" si="12"/>
        <v>6.5697074010327025E-2</v>
      </c>
      <c r="BQ416" s="8">
        <v>8</v>
      </c>
      <c r="BR416" s="8" t="s">
        <v>893</v>
      </c>
    </row>
    <row r="417" spans="1:70" x14ac:dyDescent="0.3">
      <c r="A417" s="11" t="s">
        <v>894</v>
      </c>
      <c r="B417" s="12">
        <v>230500</v>
      </c>
      <c r="C417" s="12">
        <v>756200</v>
      </c>
      <c r="D417" s="12">
        <v>0.14000000000000001</v>
      </c>
      <c r="E417" s="12">
        <v>0.36</v>
      </c>
      <c r="F417" s="12">
        <v>7.0000000000000007E-2</v>
      </c>
      <c r="G417" s="12">
        <v>0.18</v>
      </c>
      <c r="H417" s="12">
        <v>0.45</v>
      </c>
      <c r="I417" s="12">
        <v>0.09</v>
      </c>
      <c r="J417" s="12">
        <v>0.23</v>
      </c>
      <c r="K417" s="12">
        <v>0.59</v>
      </c>
      <c r="L417" s="12">
        <v>0.13</v>
      </c>
      <c r="M417" s="8">
        <v>6</v>
      </c>
      <c r="N417">
        <v>8</v>
      </c>
      <c r="O417" s="12">
        <v>10</v>
      </c>
      <c r="BF417" s="9">
        <v>4.16</v>
      </c>
      <c r="BG417" s="9">
        <f t="shared" si="13"/>
        <v>5.0480769230769225E-2</v>
      </c>
      <c r="BH417" s="9">
        <f t="shared" si="12"/>
        <v>6.5539148351648355E-2</v>
      </c>
      <c r="BQ417" s="8">
        <v>5</v>
      </c>
      <c r="BR417" s="8" t="s">
        <v>895</v>
      </c>
    </row>
    <row r="418" spans="1:70" x14ac:dyDescent="0.3">
      <c r="A418" s="11" t="s">
        <v>896</v>
      </c>
      <c r="B418" s="12">
        <v>188200</v>
      </c>
      <c r="C418" s="12">
        <v>699000</v>
      </c>
      <c r="D418" s="12">
        <v>7.0000000000000007E-2</v>
      </c>
      <c r="E418" s="12">
        <v>0.17</v>
      </c>
      <c r="F418" s="12">
        <v>0.05</v>
      </c>
      <c r="G418" s="12">
        <v>0.09</v>
      </c>
      <c r="H418" s="12">
        <v>0.21</v>
      </c>
      <c r="I418" s="12">
        <v>0.06</v>
      </c>
      <c r="J418" s="12">
        <v>0.11</v>
      </c>
      <c r="K418" s="12">
        <v>0.28999999999999998</v>
      </c>
      <c r="L418" s="12">
        <v>0.08</v>
      </c>
      <c r="M418" s="8">
        <v>8</v>
      </c>
      <c r="N418">
        <v>9</v>
      </c>
      <c r="O418" s="12">
        <v>12</v>
      </c>
      <c r="BF418" s="9">
        <v>4.17</v>
      </c>
      <c r="BG418" s="9">
        <f t="shared" si="13"/>
        <v>5.0359712230215826E-2</v>
      </c>
      <c r="BH418" s="9">
        <f t="shared" si="12"/>
        <v>6.538198013018158E-2</v>
      </c>
      <c r="BQ418" s="8">
        <v>7</v>
      </c>
      <c r="BR418" s="8" t="s">
        <v>897</v>
      </c>
    </row>
    <row r="419" spans="1:70" x14ac:dyDescent="0.3">
      <c r="A419" s="11" t="s">
        <v>898</v>
      </c>
      <c r="B419" s="12">
        <v>246700</v>
      </c>
      <c r="C419" s="12">
        <v>753900</v>
      </c>
      <c r="D419" s="12">
        <v>0.22</v>
      </c>
      <c r="E419" s="12">
        <v>0.56000000000000005</v>
      </c>
      <c r="F419" s="12">
        <v>0.1</v>
      </c>
      <c r="G419" s="12">
        <v>0.28000000000000003</v>
      </c>
      <c r="H419" s="12">
        <v>0.73</v>
      </c>
      <c r="I419" s="12">
        <v>0.14000000000000001</v>
      </c>
      <c r="J419" s="12">
        <v>0.38</v>
      </c>
      <c r="K419" s="12">
        <v>0.99</v>
      </c>
      <c r="L419" s="12">
        <v>0.21</v>
      </c>
      <c r="M419" s="8">
        <v>5</v>
      </c>
      <c r="N419">
        <v>6</v>
      </c>
      <c r="O419" s="12">
        <v>7</v>
      </c>
      <c r="BF419" s="9">
        <v>4.18</v>
      </c>
      <c r="BG419" s="9">
        <f t="shared" si="13"/>
        <v>5.0239234449760764E-2</v>
      </c>
      <c r="BH419" s="9">
        <f t="shared" si="12"/>
        <v>6.5225563909774451E-2</v>
      </c>
      <c r="BQ419" s="8">
        <v>6</v>
      </c>
      <c r="BR419" s="8" t="s">
        <v>899</v>
      </c>
    </row>
    <row r="420" spans="1:70" x14ac:dyDescent="0.3">
      <c r="A420" s="11" t="s">
        <v>900</v>
      </c>
      <c r="B420" s="12">
        <v>194200</v>
      </c>
      <c r="C420" s="12">
        <v>578600</v>
      </c>
      <c r="D420" s="12">
        <v>7.0000000000000007E-2</v>
      </c>
      <c r="E420" s="12">
        <v>0.18</v>
      </c>
      <c r="F420" s="12">
        <v>0.04</v>
      </c>
      <c r="G420" s="12">
        <v>0.09</v>
      </c>
      <c r="H420" s="12">
        <v>0.23</v>
      </c>
      <c r="I420" s="12">
        <v>0.06</v>
      </c>
      <c r="J420" s="12">
        <v>0.12</v>
      </c>
      <c r="K420" s="12">
        <v>0.31</v>
      </c>
      <c r="L420" s="12">
        <v>0.08</v>
      </c>
      <c r="M420" s="8">
        <v>7</v>
      </c>
      <c r="N420">
        <v>9</v>
      </c>
      <c r="O420" s="12">
        <v>11</v>
      </c>
      <c r="BF420" s="9">
        <v>4.1900000000000004</v>
      </c>
      <c r="BG420" s="9">
        <f t="shared" si="13"/>
        <v>5.011933174224343E-2</v>
      </c>
      <c r="BH420" s="9">
        <f t="shared" si="12"/>
        <v>6.5069894306171161E-2</v>
      </c>
      <c r="BQ420" s="8">
        <v>8</v>
      </c>
      <c r="BR420" s="8" t="s">
        <v>901</v>
      </c>
    </row>
    <row r="421" spans="1:70" x14ac:dyDescent="0.3">
      <c r="A421" s="11" t="s">
        <v>902</v>
      </c>
      <c r="B421" s="12">
        <v>232700</v>
      </c>
      <c r="C421" s="12">
        <v>769200</v>
      </c>
      <c r="D421" s="12">
        <v>0.14000000000000001</v>
      </c>
      <c r="E421" s="12">
        <v>0.36</v>
      </c>
      <c r="F421" s="12">
        <v>7.0000000000000007E-2</v>
      </c>
      <c r="G421" s="12">
        <v>0.18</v>
      </c>
      <c r="H421" s="12">
        <v>0.46</v>
      </c>
      <c r="I421" s="12">
        <v>0.1</v>
      </c>
      <c r="J421" s="12">
        <v>0.23</v>
      </c>
      <c r="K421" s="12">
        <v>0.6</v>
      </c>
      <c r="L421" s="12">
        <v>0.13</v>
      </c>
      <c r="M421" s="8">
        <v>6</v>
      </c>
      <c r="N421">
        <v>8</v>
      </c>
      <c r="O421" s="12">
        <v>10</v>
      </c>
      <c r="BF421" s="9">
        <v>4.2</v>
      </c>
      <c r="BG421" s="9">
        <f t="shared" si="13"/>
        <v>4.9999999999999996E-2</v>
      </c>
      <c r="BH421" s="9">
        <f t="shared" si="12"/>
        <v>6.4914965986394568E-2</v>
      </c>
      <c r="BQ421" s="8">
        <v>6</v>
      </c>
      <c r="BR421" s="8" t="s">
        <v>903</v>
      </c>
    </row>
    <row r="422" spans="1:70" x14ac:dyDescent="0.3">
      <c r="A422" s="11" t="s">
        <v>904</v>
      </c>
      <c r="B422" s="12">
        <v>197500</v>
      </c>
      <c r="C422" s="12">
        <v>671700</v>
      </c>
      <c r="D422" s="12">
        <v>7.0000000000000007E-2</v>
      </c>
      <c r="E422" s="12">
        <v>0.17</v>
      </c>
      <c r="F422" s="12">
        <v>0.05</v>
      </c>
      <c r="G422" s="12">
        <v>0.08</v>
      </c>
      <c r="H422" s="12">
        <v>0.21</v>
      </c>
      <c r="I422" s="12">
        <v>0.06</v>
      </c>
      <c r="J422" s="12">
        <v>0.11</v>
      </c>
      <c r="K422" s="12">
        <v>0.27</v>
      </c>
      <c r="L422" s="12">
        <v>0.08</v>
      </c>
      <c r="M422" s="8">
        <v>8</v>
      </c>
      <c r="N422">
        <v>9</v>
      </c>
      <c r="O422" s="12">
        <v>12</v>
      </c>
      <c r="BF422" s="9">
        <v>4.21</v>
      </c>
      <c r="BG422" s="9">
        <f t="shared" si="13"/>
        <v>4.9881235154394299E-2</v>
      </c>
      <c r="BH422" s="9">
        <f t="shared" si="12"/>
        <v>6.4760773668137095E-2</v>
      </c>
      <c r="BQ422" s="8">
        <v>8</v>
      </c>
      <c r="BR422" s="8" t="s">
        <v>905</v>
      </c>
    </row>
    <row r="423" spans="1:70" x14ac:dyDescent="0.3">
      <c r="A423" s="11" t="s">
        <v>906</v>
      </c>
      <c r="B423" s="12">
        <v>237400</v>
      </c>
      <c r="C423" s="12">
        <v>756900</v>
      </c>
      <c r="D423" s="12">
        <v>0.16</v>
      </c>
      <c r="E423" s="12">
        <v>0.41</v>
      </c>
      <c r="F423" s="12">
        <v>0.08</v>
      </c>
      <c r="G423" s="12">
        <v>0.2</v>
      </c>
      <c r="H423" s="12">
        <v>0.52</v>
      </c>
      <c r="I423" s="12">
        <v>0.11</v>
      </c>
      <c r="J423" s="12">
        <v>0.26</v>
      </c>
      <c r="K423" s="12">
        <v>0.69</v>
      </c>
      <c r="L423" s="12">
        <v>0.15</v>
      </c>
      <c r="M423" s="8">
        <v>6</v>
      </c>
      <c r="N423">
        <v>7</v>
      </c>
      <c r="O423" s="12">
        <v>9</v>
      </c>
      <c r="BF423" s="9">
        <v>4.22</v>
      </c>
      <c r="BG423" s="9">
        <f t="shared" si="13"/>
        <v>4.9763033175355451E-2</v>
      </c>
      <c r="BH423" s="9">
        <f t="shared" si="12"/>
        <v>6.4607312119160473E-2</v>
      </c>
      <c r="BQ423" s="8">
        <v>6</v>
      </c>
      <c r="BR423" s="8" t="s">
        <v>907</v>
      </c>
    </row>
    <row r="424" spans="1:70" x14ac:dyDescent="0.3">
      <c r="A424" s="11" t="s">
        <v>908</v>
      </c>
      <c r="B424" s="12">
        <v>191900</v>
      </c>
      <c r="C424" s="12">
        <v>700300</v>
      </c>
      <c r="D424" s="12">
        <v>7.0000000000000007E-2</v>
      </c>
      <c r="E424" s="12">
        <v>0.18</v>
      </c>
      <c r="F424" s="12">
        <v>0.05</v>
      </c>
      <c r="G424" s="12">
        <v>0.09</v>
      </c>
      <c r="H424" s="12">
        <v>0.22</v>
      </c>
      <c r="I424" s="12">
        <v>0.06</v>
      </c>
      <c r="J424" s="12">
        <v>0.12</v>
      </c>
      <c r="K424" s="12">
        <v>0.3</v>
      </c>
      <c r="L424" s="12">
        <v>0.08</v>
      </c>
      <c r="M424" s="8">
        <v>8</v>
      </c>
      <c r="N424">
        <v>9</v>
      </c>
      <c r="O424" s="12">
        <v>11</v>
      </c>
      <c r="BF424" s="9">
        <v>4.2300000000000004</v>
      </c>
      <c r="BG424" s="9">
        <f t="shared" si="13"/>
        <v>4.9645390070921981E-2</v>
      </c>
      <c r="BH424" s="9">
        <f t="shared" si="12"/>
        <v>6.4454576156703816E-2</v>
      </c>
      <c r="BQ424" s="8">
        <v>6</v>
      </c>
      <c r="BR424" s="8" t="s">
        <v>909</v>
      </c>
    </row>
    <row r="425" spans="1:70" x14ac:dyDescent="0.3">
      <c r="A425" s="11" t="s">
        <v>910</v>
      </c>
      <c r="B425" s="12">
        <v>216500</v>
      </c>
      <c r="C425" s="12">
        <v>709600</v>
      </c>
      <c r="D425" s="12">
        <v>0.12</v>
      </c>
      <c r="E425" s="12">
        <v>0.3</v>
      </c>
      <c r="F425" s="12">
        <v>7.0000000000000007E-2</v>
      </c>
      <c r="G425" s="12">
        <v>0.16</v>
      </c>
      <c r="H425" s="12">
        <v>0.41</v>
      </c>
      <c r="I425" s="12">
        <v>0.09</v>
      </c>
      <c r="J425" s="12">
        <v>0.23</v>
      </c>
      <c r="K425" s="12">
        <v>0.57999999999999996</v>
      </c>
      <c r="L425" s="12">
        <v>0.12</v>
      </c>
      <c r="M425" s="8">
        <v>6</v>
      </c>
      <c r="N425">
        <v>7</v>
      </c>
      <c r="O425" s="12">
        <v>9</v>
      </c>
      <c r="BF425" s="9">
        <v>4.24</v>
      </c>
      <c r="BG425" s="9">
        <f t="shared" si="13"/>
        <v>4.9528301886792449E-2</v>
      </c>
      <c r="BH425" s="9">
        <f t="shared" si="12"/>
        <v>6.4302560646900278E-2</v>
      </c>
      <c r="BQ425" s="8">
        <v>8</v>
      </c>
      <c r="BR425" s="8" t="s">
        <v>911</v>
      </c>
    </row>
    <row r="426" spans="1:70" x14ac:dyDescent="0.3">
      <c r="A426" s="11" t="s">
        <v>912</v>
      </c>
      <c r="B426" s="12">
        <v>200200</v>
      </c>
      <c r="C426" s="12">
        <v>746400</v>
      </c>
      <c r="D426" s="12">
        <v>0.13</v>
      </c>
      <c r="E426" s="12">
        <v>0.33</v>
      </c>
      <c r="F426" s="12">
        <v>7.0000000000000007E-2</v>
      </c>
      <c r="G426" s="12">
        <v>0.19</v>
      </c>
      <c r="H426" s="12">
        <v>0.47</v>
      </c>
      <c r="I426" s="12">
        <v>0.09</v>
      </c>
      <c r="J426" s="12">
        <v>0.28000000000000003</v>
      </c>
      <c r="K426" s="12">
        <v>0.7</v>
      </c>
      <c r="L426" s="12">
        <v>0.13</v>
      </c>
      <c r="M426" s="8">
        <v>6</v>
      </c>
      <c r="N426">
        <v>7</v>
      </c>
      <c r="O426" s="12">
        <v>8</v>
      </c>
      <c r="BF426" s="9">
        <v>4.25</v>
      </c>
      <c r="BG426" s="9">
        <f t="shared" si="13"/>
        <v>4.9411764705882349E-2</v>
      </c>
      <c r="BH426" s="9">
        <f t="shared" si="12"/>
        <v>6.4151260504201696E-2</v>
      </c>
      <c r="BQ426" s="8">
        <v>6</v>
      </c>
      <c r="BR426" s="8" t="s">
        <v>913</v>
      </c>
    </row>
    <row r="427" spans="1:70" x14ac:dyDescent="0.3">
      <c r="A427" s="11" t="s">
        <v>914</v>
      </c>
      <c r="B427" s="12">
        <v>192500</v>
      </c>
      <c r="C427" s="12">
        <v>682800</v>
      </c>
      <c r="D427" s="12">
        <v>7.0000000000000007E-2</v>
      </c>
      <c r="E427" s="12">
        <v>0.16</v>
      </c>
      <c r="F427" s="12">
        <v>0.05</v>
      </c>
      <c r="G427" s="12">
        <v>0.08</v>
      </c>
      <c r="H427" s="12">
        <v>0.21</v>
      </c>
      <c r="I427" s="12">
        <v>0.06</v>
      </c>
      <c r="J427" s="12">
        <v>0.11</v>
      </c>
      <c r="K427" s="12">
        <v>0.27</v>
      </c>
      <c r="L427" s="12">
        <v>0.08</v>
      </c>
      <c r="M427" s="8">
        <v>8</v>
      </c>
      <c r="N427">
        <v>9</v>
      </c>
      <c r="O427" s="12">
        <v>12</v>
      </c>
      <c r="BF427" s="9">
        <v>4.26</v>
      </c>
      <c r="BG427" s="9">
        <f t="shared" si="13"/>
        <v>4.9295774647887328E-2</v>
      </c>
      <c r="BH427" s="9">
        <f t="shared" si="12"/>
        <v>6.4000670690811542E-2</v>
      </c>
      <c r="BQ427" s="8">
        <v>7</v>
      </c>
      <c r="BR427" s="8" t="s">
        <v>915</v>
      </c>
    </row>
    <row r="428" spans="1:70" x14ac:dyDescent="0.3">
      <c r="A428" s="11" t="s">
        <v>916</v>
      </c>
      <c r="B428" s="12">
        <v>229500</v>
      </c>
      <c r="C428" s="12">
        <v>761800</v>
      </c>
      <c r="D428" s="12">
        <v>0.14000000000000001</v>
      </c>
      <c r="E428" s="12">
        <v>0.35</v>
      </c>
      <c r="F428" s="12">
        <v>7.0000000000000007E-2</v>
      </c>
      <c r="G428" s="12">
        <v>0.17</v>
      </c>
      <c r="H428" s="12">
        <v>0.44</v>
      </c>
      <c r="I428" s="12">
        <v>0.09</v>
      </c>
      <c r="J428" s="12">
        <v>0.22</v>
      </c>
      <c r="K428" s="12">
        <v>0.56999999999999995</v>
      </c>
      <c r="L428" s="12">
        <v>0.12</v>
      </c>
      <c r="M428" s="8">
        <v>6</v>
      </c>
      <c r="N428">
        <v>8</v>
      </c>
      <c r="O428" s="12">
        <v>10</v>
      </c>
      <c r="BF428" s="9">
        <v>4.2699999999999996</v>
      </c>
      <c r="BG428" s="9">
        <f t="shared" si="13"/>
        <v>4.9180327868852465E-2</v>
      </c>
      <c r="BH428" s="9">
        <f t="shared" si="12"/>
        <v>6.3850786216125804E-2</v>
      </c>
      <c r="BQ428" s="8">
        <v>8</v>
      </c>
      <c r="BR428" s="8" t="s">
        <v>917</v>
      </c>
    </row>
    <row r="429" spans="1:70" x14ac:dyDescent="0.3">
      <c r="A429" s="11" t="s">
        <v>918</v>
      </c>
      <c r="B429" s="12">
        <v>212000</v>
      </c>
      <c r="C429" s="12">
        <v>657000</v>
      </c>
      <c r="D429" s="12">
        <v>0.09</v>
      </c>
      <c r="E429" s="12">
        <v>0.22</v>
      </c>
      <c r="F429" s="12">
        <v>0.05</v>
      </c>
      <c r="G429" s="12">
        <v>0.11</v>
      </c>
      <c r="H429" s="12">
        <v>0.28000000000000003</v>
      </c>
      <c r="I429" s="12">
        <v>7.0000000000000007E-2</v>
      </c>
      <c r="J429" s="12">
        <v>0.14000000000000001</v>
      </c>
      <c r="K429" s="12">
        <v>0.36</v>
      </c>
      <c r="L429" s="12">
        <v>0.1</v>
      </c>
      <c r="M429" s="8">
        <v>7</v>
      </c>
      <c r="N429">
        <v>8</v>
      </c>
      <c r="O429" s="12">
        <v>10</v>
      </c>
      <c r="BF429" s="9">
        <v>4.28</v>
      </c>
      <c r="BG429" s="9">
        <f t="shared" si="13"/>
        <v>4.9065420560747662E-2</v>
      </c>
      <c r="BH429" s="9">
        <f t="shared" si="12"/>
        <v>6.3701602136181576E-2</v>
      </c>
      <c r="BQ429" s="8">
        <v>5</v>
      </c>
      <c r="BR429" s="8" t="s">
        <v>919</v>
      </c>
    </row>
    <row r="430" spans="1:70" x14ac:dyDescent="0.3">
      <c r="A430" s="11" t="s">
        <v>920</v>
      </c>
      <c r="B430" s="12">
        <v>167500</v>
      </c>
      <c r="C430" s="12">
        <v>609700</v>
      </c>
      <c r="D430" s="12">
        <v>0.06</v>
      </c>
      <c r="E430" s="12">
        <v>0.16</v>
      </c>
      <c r="F430" s="12">
        <v>0.04</v>
      </c>
      <c r="G430" s="12">
        <v>0.09</v>
      </c>
      <c r="H430" s="12">
        <v>0.21</v>
      </c>
      <c r="I430" s="12">
        <v>0.05</v>
      </c>
      <c r="J430" s="12">
        <v>0.12</v>
      </c>
      <c r="K430" s="12">
        <v>0.3</v>
      </c>
      <c r="L430" s="12">
        <v>7.0000000000000007E-2</v>
      </c>
      <c r="M430" s="8">
        <v>8</v>
      </c>
      <c r="N430">
        <v>10</v>
      </c>
      <c r="O430" s="12">
        <v>12</v>
      </c>
      <c r="BF430" s="9">
        <v>4.29</v>
      </c>
      <c r="BG430" s="9">
        <f t="shared" si="13"/>
        <v>4.8951048951048952E-2</v>
      </c>
      <c r="BH430" s="9">
        <f t="shared" si="12"/>
        <v>6.3553113553113563E-2</v>
      </c>
      <c r="BQ430" s="8">
        <v>8</v>
      </c>
      <c r="BR430" s="8" t="s">
        <v>921</v>
      </c>
    </row>
    <row r="431" spans="1:70" x14ac:dyDescent="0.3">
      <c r="A431" s="11" t="s">
        <v>922</v>
      </c>
      <c r="B431" s="12">
        <v>246400</v>
      </c>
      <c r="C431" s="12">
        <v>748200</v>
      </c>
      <c r="D431" s="12">
        <v>0.22</v>
      </c>
      <c r="E431" s="12">
        <v>0.55000000000000004</v>
      </c>
      <c r="F431" s="12">
        <v>0.1</v>
      </c>
      <c r="G431" s="12">
        <v>0.28000000000000003</v>
      </c>
      <c r="H431" s="12">
        <v>0.72</v>
      </c>
      <c r="I431" s="12">
        <v>0.14000000000000001</v>
      </c>
      <c r="J431" s="12">
        <v>0.37</v>
      </c>
      <c r="K431" s="12">
        <v>0.97</v>
      </c>
      <c r="L431" s="12">
        <v>0.2</v>
      </c>
      <c r="M431" s="8">
        <v>5</v>
      </c>
      <c r="N431">
        <v>6</v>
      </c>
      <c r="O431" s="12">
        <v>7</v>
      </c>
      <c r="BF431" s="9">
        <v>4.3</v>
      </c>
      <c r="BG431" s="9">
        <f t="shared" si="13"/>
        <v>4.8837209302325581E-2</v>
      </c>
      <c r="BH431" s="9">
        <f t="shared" si="12"/>
        <v>6.3405315614617958E-2</v>
      </c>
      <c r="BQ431" s="8">
        <v>5</v>
      </c>
      <c r="BR431" s="8" t="s">
        <v>923</v>
      </c>
    </row>
    <row r="432" spans="1:70" x14ac:dyDescent="0.3">
      <c r="A432" s="11" t="s">
        <v>924</v>
      </c>
      <c r="B432" s="12">
        <v>184900</v>
      </c>
      <c r="C432" s="12">
        <v>658400</v>
      </c>
      <c r="D432" s="12">
        <v>0.06</v>
      </c>
      <c r="E432" s="12">
        <v>0.14000000000000001</v>
      </c>
      <c r="F432" s="12">
        <v>0.04</v>
      </c>
      <c r="G432" s="12">
        <v>7.0000000000000007E-2</v>
      </c>
      <c r="H432" s="12">
        <v>0.18</v>
      </c>
      <c r="I432" s="12">
        <v>0.05</v>
      </c>
      <c r="J432" s="12">
        <v>0.09</v>
      </c>
      <c r="K432" s="12">
        <v>0.23</v>
      </c>
      <c r="L432" s="12">
        <v>7.0000000000000007E-2</v>
      </c>
      <c r="M432" s="8">
        <v>8</v>
      </c>
      <c r="N432">
        <v>10</v>
      </c>
      <c r="O432" s="12">
        <v>12</v>
      </c>
      <c r="BF432" s="9">
        <v>4.3099999999999996</v>
      </c>
      <c r="BG432" s="9">
        <f t="shared" si="13"/>
        <v>4.8723897911832952E-2</v>
      </c>
      <c r="BH432" s="9">
        <f t="shared" si="12"/>
        <v>6.3258203513423941E-2</v>
      </c>
      <c r="BQ432" s="8">
        <v>5</v>
      </c>
      <c r="BR432" s="8" t="s">
        <v>925</v>
      </c>
    </row>
    <row r="433" spans="1:70" x14ac:dyDescent="0.3">
      <c r="A433" s="11" t="s">
        <v>926</v>
      </c>
      <c r="B433" s="12">
        <v>249200</v>
      </c>
      <c r="C433" s="12">
        <v>714100</v>
      </c>
      <c r="D433" s="12">
        <v>0.24</v>
      </c>
      <c r="E433" s="12">
        <v>0.6</v>
      </c>
      <c r="F433" s="12">
        <v>0.11</v>
      </c>
      <c r="G433" s="12">
        <v>0.32</v>
      </c>
      <c r="H433" s="12">
        <v>0.8</v>
      </c>
      <c r="I433" s="12">
        <v>0.16</v>
      </c>
      <c r="J433" s="12">
        <v>0.43</v>
      </c>
      <c r="K433" s="12">
        <v>1.0900000000000001</v>
      </c>
      <c r="L433" s="12">
        <v>0.23</v>
      </c>
      <c r="M433" s="8">
        <v>5</v>
      </c>
      <c r="N433">
        <v>6</v>
      </c>
      <c r="O433" s="12">
        <v>6</v>
      </c>
      <c r="BF433" s="9">
        <v>4.32</v>
      </c>
      <c r="BG433" s="9">
        <f t="shared" si="13"/>
        <v>4.8611111111111105E-2</v>
      </c>
      <c r="BH433" s="9">
        <f t="shared" si="12"/>
        <v>6.3111772486772494E-2</v>
      </c>
      <c r="BQ433" s="8">
        <v>5</v>
      </c>
      <c r="BR433" s="8" t="s">
        <v>927</v>
      </c>
    </row>
    <row r="434" spans="1:70" x14ac:dyDescent="0.3">
      <c r="A434" s="11" t="s">
        <v>928</v>
      </c>
      <c r="B434" s="12">
        <v>249900</v>
      </c>
      <c r="C434" s="12">
        <v>684100</v>
      </c>
      <c r="D434" s="12">
        <v>0.26</v>
      </c>
      <c r="E434" s="12">
        <v>0.64</v>
      </c>
      <c r="F434" s="12">
        <v>0.12</v>
      </c>
      <c r="G434" s="12">
        <v>0.34</v>
      </c>
      <c r="H434" s="12">
        <v>0.86</v>
      </c>
      <c r="I434" s="12">
        <v>0.17</v>
      </c>
      <c r="J434" s="12">
        <v>0.46</v>
      </c>
      <c r="K434" s="12">
        <v>1.17</v>
      </c>
      <c r="L434" s="12">
        <v>0.25</v>
      </c>
      <c r="M434" s="8">
        <v>5</v>
      </c>
      <c r="N434">
        <v>5</v>
      </c>
      <c r="O434" s="12">
        <v>6</v>
      </c>
      <c r="BF434" s="9">
        <v>4.33</v>
      </c>
      <c r="BG434" s="9">
        <f t="shared" si="13"/>
        <v>4.8498845265588911E-2</v>
      </c>
      <c r="BH434" s="9">
        <f t="shared" si="12"/>
        <v>6.2966017815902345E-2</v>
      </c>
      <c r="BQ434" s="8">
        <v>8</v>
      </c>
      <c r="BR434" s="8" t="s">
        <v>929</v>
      </c>
    </row>
    <row r="435" spans="1:70" x14ac:dyDescent="0.3">
      <c r="A435" s="11" t="s">
        <v>930</v>
      </c>
      <c r="B435" s="12">
        <v>241400</v>
      </c>
      <c r="C435" s="12">
        <v>678400</v>
      </c>
      <c r="D435" s="12">
        <v>0.22</v>
      </c>
      <c r="E435" s="12">
        <v>0.54</v>
      </c>
      <c r="F435" s="12">
        <v>0.1</v>
      </c>
      <c r="G435" s="12">
        <v>0.28000000000000003</v>
      </c>
      <c r="H435" s="12">
        <v>0.71</v>
      </c>
      <c r="I435" s="12">
        <v>0.14000000000000001</v>
      </c>
      <c r="J435" s="12">
        <v>0.38</v>
      </c>
      <c r="K435" s="12">
        <v>0.98</v>
      </c>
      <c r="L435" s="12">
        <v>0.2</v>
      </c>
      <c r="M435" s="8">
        <v>5</v>
      </c>
      <c r="N435">
        <v>6</v>
      </c>
      <c r="O435" s="12">
        <v>7</v>
      </c>
      <c r="BF435" s="9">
        <v>4.34</v>
      </c>
      <c r="BG435" s="9">
        <f t="shared" si="13"/>
        <v>4.8387096774193547E-2</v>
      </c>
      <c r="BH435" s="9">
        <f t="shared" si="12"/>
        <v>6.2820934825543129E-2</v>
      </c>
      <c r="BQ435" s="8">
        <v>7</v>
      </c>
      <c r="BR435" s="8" t="s">
        <v>931</v>
      </c>
    </row>
    <row r="436" spans="1:70" x14ac:dyDescent="0.3">
      <c r="A436" s="11" t="s">
        <v>932</v>
      </c>
      <c r="B436" s="12">
        <v>195500</v>
      </c>
      <c r="C436" s="12">
        <v>693200</v>
      </c>
      <c r="D436" s="12">
        <v>7.0000000000000007E-2</v>
      </c>
      <c r="E436" s="12">
        <v>0.18</v>
      </c>
      <c r="F436" s="12">
        <v>0.05</v>
      </c>
      <c r="G436" s="12">
        <v>0.09</v>
      </c>
      <c r="H436" s="12">
        <v>0.22</v>
      </c>
      <c r="I436" s="12">
        <v>0.06</v>
      </c>
      <c r="J436" s="12">
        <v>0.11</v>
      </c>
      <c r="K436" s="12">
        <v>0.28999999999999998</v>
      </c>
      <c r="L436" s="12">
        <v>0.08</v>
      </c>
      <c r="M436" s="8">
        <v>8</v>
      </c>
      <c r="N436">
        <v>9</v>
      </c>
      <c r="O436" s="12">
        <v>12</v>
      </c>
      <c r="BF436" s="9">
        <v>4.3499999999999996</v>
      </c>
      <c r="BG436" s="9">
        <f t="shared" si="13"/>
        <v>4.8275862068965517E-2</v>
      </c>
      <c r="BH436" s="9">
        <f t="shared" si="12"/>
        <v>6.2676518883415452E-2</v>
      </c>
      <c r="BQ436" s="8">
        <v>6</v>
      </c>
      <c r="BR436" s="8" t="s">
        <v>933</v>
      </c>
    </row>
    <row r="437" spans="1:70" x14ac:dyDescent="0.3">
      <c r="A437" s="11" t="s">
        <v>934</v>
      </c>
      <c r="B437" s="12">
        <v>216500</v>
      </c>
      <c r="C437" s="12">
        <v>776900</v>
      </c>
      <c r="D437" s="12">
        <v>0.11</v>
      </c>
      <c r="E437" s="12">
        <v>0.28000000000000003</v>
      </c>
      <c r="F437" s="12">
        <v>0.06</v>
      </c>
      <c r="G437" s="12">
        <v>0.14000000000000001</v>
      </c>
      <c r="H437" s="12">
        <v>0.36</v>
      </c>
      <c r="I437" s="12">
        <v>0.08</v>
      </c>
      <c r="J437" s="12">
        <v>0.19</v>
      </c>
      <c r="K437" s="12">
        <v>0.49</v>
      </c>
      <c r="L437" s="12">
        <v>0.11</v>
      </c>
      <c r="M437" s="8">
        <v>7</v>
      </c>
      <c r="N437">
        <v>8</v>
      </c>
      <c r="O437" s="12">
        <v>10</v>
      </c>
      <c r="BF437" s="9">
        <v>4.3600000000000003</v>
      </c>
      <c r="BG437" s="9">
        <f t="shared" si="13"/>
        <v>4.8165137614678895E-2</v>
      </c>
      <c r="BH437" s="9">
        <f t="shared" si="12"/>
        <v>6.2532765399737886E-2</v>
      </c>
      <c r="BQ437" s="8">
        <v>6</v>
      </c>
      <c r="BR437" s="8" t="s">
        <v>935</v>
      </c>
    </row>
    <row r="438" spans="1:70" x14ac:dyDescent="0.3">
      <c r="A438" s="11" t="s">
        <v>936</v>
      </c>
      <c r="B438" s="12">
        <v>223200</v>
      </c>
      <c r="C438" s="12">
        <v>743200</v>
      </c>
      <c r="D438" s="12">
        <v>0.14000000000000001</v>
      </c>
      <c r="E438" s="12">
        <v>0.35</v>
      </c>
      <c r="F438" s="12">
        <v>7.0000000000000007E-2</v>
      </c>
      <c r="G438" s="12">
        <v>0.18</v>
      </c>
      <c r="H438" s="12">
        <v>0.46</v>
      </c>
      <c r="I438" s="12">
        <v>0.09</v>
      </c>
      <c r="J438" s="12">
        <v>0.25</v>
      </c>
      <c r="K438" s="12">
        <v>0.63</v>
      </c>
      <c r="L438" s="12">
        <v>0.13</v>
      </c>
      <c r="M438" s="8">
        <v>6</v>
      </c>
      <c r="N438">
        <v>7</v>
      </c>
      <c r="O438" s="12">
        <v>9</v>
      </c>
      <c r="BF438" s="9">
        <v>4.37</v>
      </c>
      <c r="BG438" s="9">
        <f t="shared" si="13"/>
        <v>4.8054919908466817E-2</v>
      </c>
      <c r="BH438" s="9">
        <f t="shared" si="12"/>
        <v>6.2389669826740775E-2</v>
      </c>
      <c r="BQ438" s="8">
        <v>8</v>
      </c>
      <c r="BR438" s="8" t="s">
        <v>937</v>
      </c>
    </row>
    <row r="439" spans="1:70" x14ac:dyDescent="0.3">
      <c r="A439" s="11" t="s">
        <v>938</v>
      </c>
      <c r="B439" s="12">
        <v>274200</v>
      </c>
      <c r="C439" s="12">
        <v>750100</v>
      </c>
      <c r="D439" s="12">
        <v>0.17</v>
      </c>
      <c r="E439" s="12">
        <v>0.44</v>
      </c>
      <c r="F439" s="12">
        <v>0.09</v>
      </c>
      <c r="G439" s="12">
        <v>0.22</v>
      </c>
      <c r="H439" s="12">
        <v>0.56999999999999995</v>
      </c>
      <c r="I439" s="12">
        <v>0.12</v>
      </c>
      <c r="J439" s="12">
        <v>0.28999999999999998</v>
      </c>
      <c r="K439" s="12">
        <v>0.77</v>
      </c>
      <c r="L439" s="12">
        <v>0.16</v>
      </c>
      <c r="M439" s="8">
        <v>6</v>
      </c>
      <c r="N439">
        <v>7</v>
      </c>
      <c r="O439" s="12">
        <v>8</v>
      </c>
      <c r="BF439" s="9">
        <v>4.38</v>
      </c>
      <c r="BG439" s="9">
        <f t="shared" si="13"/>
        <v>4.7945205479452052E-2</v>
      </c>
      <c r="BH439" s="9">
        <f t="shared" si="12"/>
        <v>6.2247227658186577E-2</v>
      </c>
      <c r="BQ439" s="8">
        <v>5</v>
      </c>
      <c r="BR439" s="8" t="s">
        <v>939</v>
      </c>
    </row>
    <row r="440" spans="1:70" x14ac:dyDescent="0.3">
      <c r="A440" s="11" t="s">
        <v>940</v>
      </c>
      <c r="B440" s="12">
        <v>181100</v>
      </c>
      <c r="C440" s="12">
        <v>632900</v>
      </c>
      <c r="D440" s="12">
        <v>0.06</v>
      </c>
      <c r="E440" s="12">
        <v>0.15</v>
      </c>
      <c r="F440" s="12">
        <v>0.04</v>
      </c>
      <c r="G440" s="12">
        <v>0.08</v>
      </c>
      <c r="H440" s="12">
        <v>0.19</v>
      </c>
      <c r="I440" s="12">
        <v>0.05</v>
      </c>
      <c r="J440" s="12">
        <v>0.1</v>
      </c>
      <c r="K440" s="12">
        <v>0.26</v>
      </c>
      <c r="L440" s="12">
        <v>7.0000000000000007E-2</v>
      </c>
      <c r="M440" s="8">
        <v>8</v>
      </c>
      <c r="N440">
        <v>10</v>
      </c>
      <c r="O440" s="12">
        <v>12</v>
      </c>
      <c r="BF440" s="9">
        <v>4.3899999999999997</v>
      </c>
      <c r="BG440" s="9">
        <f t="shared" si="13"/>
        <v>4.7835990888382689E-2</v>
      </c>
      <c r="BH440" s="9">
        <f t="shared" si="12"/>
        <v>6.2105434428896857E-2</v>
      </c>
      <c r="BQ440" s="8">
        <v>8</v>
      </c>
      <c r="BR440" s="8" t="s">
        <v>941</v>
      </c>
    </row>
    <row r="441" spans="1:70" x14ac:dyDescent="0.3">
      <c r="A441" s="11" t="s">
        <v>942</v>
      </c>
      <c r="B441" s="12">
        <v>240300</v>
      </c>
      <c r="C441" s="12">
        <v>713700</v>
      </c>
      <c r="D441" s="12">
        <v>0.19</v>
      </c>
      <c r="E441" s="12">
        <v>0.49</v>
      </c>
      <c r="F441" s="12">
        <v>0.09</v>
      </c>
      <c r="G441" s="12">
        <v>0.25</v>
      </c>
      <c r="H441" s="12">
        <v>0.64</v>
      </c>
      <c r="I441" s="12">
        <v>0.13</v>
      </c>
      <c r="J441" s="12">
        <v>0.33</v>
      </c>
      <c r="K441" s="12">
        <v>0.87</v>
      </c>
      <c r="L441" s="12">
        <v>0.18</v>
      </c>
      <c r="M441" s="8">
        <v>5</v>
      </c>
      <c r="N441">
        <v>6</v>
      </c>
      <c r="O441" s="12">
        <v>7</v>
      </c>
      <c r="BF441" s="9">
        <v>4.4000000000000004</v>
      </c>
      <c r="BG441" s="9">
        <f t="shared" si="13"/>
        <v>4.7727272727272722E-2</v>
      </c>
      <c r="BH441" s="9">
        <f t="shared" si="12"/>
        <v>6.1964285714285722E-2</v>
      </c>
      <c r="BQ441" s="8">
        <v>5</v>
      </c>
      <c r="BR441" s="8" t="s">
        <v>943</v>
      </c>
    </row>
    <row r="442" spans="1:70" x14ac:dyDescent="0.3">
      <c r="A442" s="11" t="s">
        <v>944</v>
      </c>
      <c r="B442" s="12">
        <v>178200</v>
      </c>
      <c r="C442" s="12">
        <v>632300</v>
      </c>
      <c r="D442" s="12">
        <v>0.06</v>
      </c>
      <c r="E442" s="12">
        <v>0.15</v>
      </c>
      <c r="F442" s="12">
        <v>0.04</v>
      </c>
      <c r="G442" s="12">
        <v>0.08</v>
      </c>
      <c r="H442" s="12">
        <v>0.19</v>
      </c>
      <c r="I442" s="12">
        <v>0.05</v>
      </c>
      <c r="J442" s="12">
        <v>0.11</v>
      </c>
      <c r="K442" s="12">
        <v>0.27</v>
      </c>
      <c r="L442" s="12">
        <v>7.0000000000000007E-2</v>
      </c>
      <c r="M442" s="8">
        <v>8</v>
      </c>
      <c r="N442">
        <v>10</v>
      </c>
      <c r="O442" s="12">
        <v>12</v>
      </c>
      <c r="BF442" s="9">
        <v>4.41</v>
      </c>
      <c r="BG442" s="9">
        <f t="shared" si="13"/>
        <v>4.7619047619047616E-2</v>
      </c>
      <c r="BH442" s="9">
        <f t="shared" si="12"/>
        <v>6.1823777129899588E-2</v>
      </c>
      <c r="BQ442" s="8">
        <v>8</v>
      </c>
      <c r="BR442" s="8" t="s">
        <v>945</v>
      </c>
    </row>
    <row r="443" spans="1:70" x14ac:dyDescent="0.3">
      <c r="A443" s="11" t="s">
        <v>946</v>
      </c>
      <c r="B443" s="12">
        <v>226700</v>
      </c>
      <c r="C443" s="12">
        <v>519800</v>
      </c>
      <c r="D443" s="12">
        <v>0.18</v>
      </c>
      <c r="E443" s="12">
        <v>0.44</v>
      </c>
      <c r="F443" s="12">
        <v>0.08</v>
      </c>
      <c r="G443" s="12">
        <v>0.25</v>
      </c>
      <c r="H443" s="12">
        <v>0.62</v>
      </c>
      <c r="I443" s="12">
        <v>0.12</v>
      </c>
      <c r="J443" s="12">
        <v>0.35</v>
      </c>
      <c r="K443" s="12">
        <v>0.89</v>
      </c>
      <c r="L443" s="12">
        <v>0.18</v>
      </c>
      <c r="M443" s="8">
        <v>5</v>
      </c>
      <c r="N443">
        <v>5</v>
      </c>
      <c r="O443" s="12">
        <v>6</v>
      </c>
      <c r="BF443" s="9">
        <v>4.42</v>
      </c>
      <c r="BG443" s="9">
        <f t="shared" si="13"/>
        <v>4.7511312217194568E-2</v>
      </c>
      <c r="BH443" s="9">
        <f t="shared" si="12"/>
        <v>6.1683904330963164E-2</v>
      </c>
      <c r="BQ443" s="8">
        <v>5</v>
      </c>
      <c r="BR443" s="8" t="s">
        <v>947</v>
      </c>
    </row>
    <row r="444" spans="1:70" x14ac:dyDescent="0.3">
      <c r="A444" s="11" t="s">
        <v>948</v>
      </c>
      <c r="B444" s="12">
        <v>173600</v>
      </c>
      <c r="C444" s="12">
        <v>631000</v>
      </c>
      <c r="D444" s="12">
        <v>0.06</v>
      </c>
      <c r="E444" s="12">
        <v>0.15</v>
      </c>
      <c r="F444" s="12">
        <v>0.04</v>
      </c>
      <c r="G444" s="12">
        <v>0.08</v>
      </c>
      <c r="H444" s="12">
        <v>0.2</v>
      </c>
      <c r="I444" s="12">
        <v>0.05</v>
      </c>
      <c r="J444" s="12">
        <v>0.11</v>
      </c>
      <c r="K444" s="12">
        <v>0.28000000000000003</v>
      </c>
      <c r="L444" s="12">
        <v>7.0000000000000007E-2</v>
      </c>
      <c r="M444" s="8">
        <v>8</v>
      </c>
      <c r="N444">
        <v>10</v>
      </c>
      <c r="O444" s="12">
        <v>12</v>
      </c>
      <c r="BF444" s="9">
        <v>4.43</v>
      </c>
      <c r="BG444" s="9">
        <f t="shared" si="13"/>
        <v>4.740406320541761E-2</v>
      </c>
      <c r="BH444" s="9">
        <f t="shared" si="12"/>
        <v>6.154466301193165E-2</v>
      </c>
      <c r="BQ444" s="8">
        <v>8</v>
      </c>
      <c r="BR444" s="8" t="s">
        <v>949</v>
      </c>
    </row>
    <row r="445" spans="1:70" x14ac:dyDescent="0.3">
      <c r="A445" s="11" t="s">
        <v>950</v>
      </c>
      <c r="B445" s="12">
        <v>251300</v>
      </c>
      <c r="C445" s="12">
        <v>765100</v>
      </c>
      <c r="D445" s="12">
        <v>0.26</v>
      </c>
      <c r="E445" s="12">
        <v>0.64</v>
      </c>
      <c r="F445" s="12">
        <v>0.12</v>
      </c>
      <c r="G445" s="12">
        <v>0.34</v>
      </c>
      <c r="H445" s="12">
        <v>0.85</v>
      </c>
      <c r="I445" s="12">
        <v>0.17</v>
      </c>
      <c r="J445" s="12">
        <v>0.45</v>
      </c>
      <c r="K445" s="12">
        <v>1.1599999999999999</v>
      </c>
      <c r="L445" s="12">
        <v>0.24</v>
      </c>
      <c r="M445" s="8">
        <v>5</v>
      </c>
      <c r="N445">
        <v>6</v>
      </c>
      <c r="O445" s="12">
        <v>7</v>
      </c>
      <c r="BF445" s="9">
        <v>4.4400000000000004</v>
      </c>
      <c r="BG445" s="9">
        <f t="shared" si="13"/>
        <v>4.7297297297297293E-2</v>
      </c>
      <c r="BH445" s="9">
        <f t="shared" si="12"/>
        <v>6.1406048906048907E-2</v>
      </c>
      <c r="BQ445" s="8">
        <v>8</v>
      </c>
      <c r="BR445" s="8" t="s">
        <v>951</v>
      </c>
    </row>
    <row r="446" spans="1:70" x14ac:dyDescent="0.3">
      <c r="A446" s="11" t="s">
        <v>952</v>
      </c>
      <c r="B446" s="12">
        <v>172700</v>
      </c>
      <c r="C446" s="12">
        <v>572000</v>
      </c>
      <c r="D446" s="12">
        <v>0.05</v>
      </c>
      <c r="E446" s="12">
        <v>0.12</v>
      </c>
      <c r="F446" s="12">
        <v>0.04</v>
      </c>
      <c r="G446" s="12">
        <v>0.06</v>
      </c>
      <c r="H446" s="12">
        <v>0.15</v>
      </c>
      <c r="I446" s="12">
        <v>0.05</v>
      </c>
      <c r="J446" s="12">
        <v>0.08</v>
      </c>
      <c r="K446" s="12">
        <v>0.2</v>
      </c>
      <c r="L446" s="12">
        <v>0.06</v>
      </c>
      <c r="M446" s="8">
        <v>8</v>
      </c>
      <c r="N446">
        <v>10</v>
      </c>
      <c r="O446" s="12">
        <v>12</v>
      </c>
      <c r="BF446" s="9">
        <v>4.45</v>
      </c>
      <c r="BG446" s="9">
        <f t="shared" si="13"/>
        <v>4.7191011235955052E-2</v>
      </c>
      <c r="BH446" s="9">
        <f t="shared" si="12"/>
        <v>6.1268057784911727E-2</v>
      </c>
      <c r="BQ446" s="8">
        <v>8</v>
      </c>
      <c r="BR446" s="8" t="s">
        <v>953</v>
      </c>
    </row>
    <row r="447" spans="1:70" x14ac:dyDescent="0.3">
      <c r="A447" s="11" t="s">
        <v>954</v>
      </c>
      <c r="B447" s="12">
        <v>192200</v>
      </c>
      <c r="C447" s="12">
        <v>700900</v>
      </c>
      <c r="D447" s="12">
        <v>7.0000000000000007E-2</v>
      </c>
      <c r="E447" s="12">
        <v>0.18</v>
      </c>
      <c r="F447" s="12">
        <v>0.05</v>
      </c>
      <c r="G447" s="12">
        <v>0.09</v>
      </c>
      <c r="H447" s="12">
        <v>0.22</v>
      </c>
      <c r="I447" s="12">
        <v>0.06</v>
      </c>
      <c r="J447" s="12">
        <v>0.12</v>
      </c>
      <c r="K447" s="12">
        <v>0.3</v>
      </c>
      <c r="L447" s="12">
        <v>0.08</v>
      </c>
      <c r="M447" s="8">
        <v>8</v>
      </c>
      <c r="N447">
        <v>9</v>
      </c>
      <c r="O447" s="12">
        <v>11</v>
      </c>
      <c r="BF447" s="9">
        <v>4.46</v>
      </c>
      <c r="BG447" s="9">
        <f t="shared" si="13"/>
        <v>4.708520179372197E-2</v>
      </c>
      <c r="BH447" s="9">
        <f t="shared" si="12"/>
        <v>6.1130685458039728E-2</v>
      </c>
      <c r="BQ447" s="8">
        <v>7</v>
      </c>
      <c r="BR447" s="8" t="s">
        <v>955</v>
      </c>
    </row>
    <row r="448" spans="1:70" x14ac:dyDescent="0.3">
      <c r="A448" s="11" t="s">
        <v>956</v>
      </c>
      <c r="B448" s="12">
        <v>187500</v>
      </c>
      <c r="C448" s="12">
        <v>681500</v>
      </c>
      <c r="D448" s="12">
        <v>0.06</v>
      </c>
      <c r="E448" s="12">
        <v>0.15</v>
      </c>
      <c r="F448" s="12">
        <v>0.04</v>
      </c>
      <c r="G448" s="12">
        <v>0.08</v>
      </c>
      <c r="H448" s="12">
        <v>0.2</v>
      </c>
      <c r="I448" s="12">
        <v>0.06</v>
      </c>
      <c r="J448" s="12">
        <v>0.1</v>
      </c>
      <c r="K448" s="12">
        <v>0.26</v>
      </c>
      <c r="L448" s="12">
        <v>0.08</v>
      </c>
      <c r="M448" s="8">
        <v>8</v>
      </c>
      <c r="N448">
        <v>10</v>
      </c>
      <c r="O448" s="12">
        <v>12</v>
      </c>
      <c r="BF448" s="9">
        <v>4.47</v>
      </c>
      <c r="BG448" s="9">
        <f t="shared" si="13"/>
        <v>4.6979865771812082E-2</v>
      </c>
      <c r="BH448" s="9">
        <f t="shared" si="12"/>
        <v>6.0993927772451273E-2</v>
      </c>
      <c r="BQ448" s="8">
        <v>6</v>
      </c>
      <c r="BR448" s="8" t="s">
        <v>957</v>
      </c>
    </row>
    <row r="449" spans="1:70" x14ac:dyDescent="0.3">
      <c r="A449" s="11" t="s">
        <v>958</v>
      </c>
      <c r="B449" s="12">
        <v>211500</v>
      </c>
      <c r="C449" s="12">
        <v>703300</v>
      </c>
      <c r="D449" s="12">
        <v>0.1</v>
      </c>
      <c r="E449" s="12">
        <v>0.25</v>
      </c>
      <c r="F449" s="12">
        <v>0.06</v>
      </c>
      <c r="G449" s="12">
        <v>0.13</v>
      </c>
      <c r="H449" s="12">
        <v>0.33</v>
      </c>
      <c r="I449" s="12">
        <v>0.08</v>
      </c>
      <c r="J449" s="12">
        <v>0.17</v>
      </c>
      <c r="K449" s="12">
        <v>0.45</v>
      </c>
      <c r="L449" s="12">
        <v>0.11</v>
      </c>
      <c r="M449" s="8">
        <v>7</v>
      </c>
      <c r="N449">
        <v>8</v>
      </c>
      <c r="O449" s="12">
        <v>10</v>
      </c>
      <c r="BF449" s="9">
        <v>4.4800000000000004</v>
      </c>
      <c r="BG449" s="9">
        <f t="shared" si="13"/>
        <v>4.6874999999999993E-2</v>
      </c>
      <c r="BH449" s="9">
        <f t="shared" si="12"/>
        <v>6.0857780612244901E-2</v>
      </c>
      <c r="BQ449" s="8">
        <v>7</v>
      </c>
      <c r="BR449" s="8" t="s">
        <v>959</v>
      </c>
    </row>
    <row r="450" spans="1:70" x14ac:dyDescent="0.3">
      <c r="A450" s="11" t="s">
        <v>960</v>
      </c>
      <c r="B450" s="12">
        <v>231000</v>
      </c>
      <c r="C450" s="12">
        <v>762200</v>
      </c>
      <c r="D450" s="12">
        <v>0.14000000000000001</v>
      </c>
      <c r="E450" s="12">
        <v>0.36</v>
      </c>
      <c r="F450" s="12">
        <v>7.0000000000000007E-2</v>
      </c>
      <c r="G450" s="12">
        <v>0.17</v>
      </c>
      <c r="H450" s="12">
        <v>0.45</v>
      </c>
      <c r="I450" s="12">
        <v>0.09</v>
      </c>
      <c r="J450" s="12">
        <v>0.22</v>
      </c>
      <c r="K450" s="12">
        <v>0.59</v>
      </c>
      <c r="L450" s="12">
        <v>0.13</v>
      </c>
      <c r="M450" s="8">
        <v>6</v>
      </c>
      <c r="N450">
        <v>8</v>
      </c>
      <c r="O450" s="12">
        <v>10</v>
      </c>
      <c r="BF450" s="9">
        <v>4.49</v>
      </c>
      <c r="BG450" s="9">
        <f t="shared" si="13"/>
        <v>4.677060133630289E-2</v>
      </c>
      <c r="BH450" s="9">
        <f t="shared" ref="BH450:BH513" si="14">IFERROR(IF($BF450&lt;AZ$33,AZ$32*(AZ$30/AZ$29+(1-AZ$30/AZ$29)*$BF450/AZ$33),IF($BF450&lt;AZ$34,AZ$32,IF($BF450&lt;AZ$35,AZ$31/$BF450,AZ$31*AZ$35/($BF450^2))))*$BC$29,"")</f>
        <v>6.0722239898186453E-2</v>
      </c>
      <c r="BQ450" s="8">
        <v>5</v>
      </c>
      <c r="BR450" s="8" t="s">
        <v>961</v>
      </c>
    </row>
    <row r="451" spans="1:70" x14ac:dyDescent="0.3">
      <c r="A451" s="11" t="s">
        <v>962</v>
      </c>
      <c r="B451" s="12">
        <v>202000</v>
      </c>
      <c r="C451" s="12">
        <v>648500</v>
      </c>
      <c r="D451" s="12">
        <v>7.0000000000000007E-2</v>
      </c>
      <c r="E451" s="12">
        <v>0.17</v>
      </c>
      <c r="F451" s="12">
        <v>0.05</v>
      </c>
      <c r="G451" s="12">
        <v>0.09</v>
      </c>
      <c r="H451" s="12">
        <v>0.22</v>
      </c>
      <c r="I451" s="12">
        <v>0.06</v>
      </c>
      <c r="J451" s="12">
        <v>0.11</v>
      </c>
      <c r="K451" s="12">
        <v>0.28000000000000003</v>
      </c>
      <c r="L451" s="12">
        <v>0.08</v>
      </c>
      <c r="M451" s="8">
        <v>7</v>
      </c>
      <c r="N451">
        <v>9</v>
      </c>
      <c r="O451" s="12">
        <v>11</v>
      </c>
      <c r="BF451" s="9">
        <v>4.5</v>
      </c>
      <c r="BG451" s="9">
        <f t="shared" ref="BG451:BG514" si="15">IF(BF451&lt;AY$33,AY$32*(AY$30/AY$29+(1-AY$30/AY$29)*BF451/AY$33),IF(BF451&lt;AY$34,AY$32,IF(BF451&lt;AY$35,AY$31/BF451,AY$31*AY$35/(BF451^2))))*$BC$29</f>
        <v>4.6666666666666662E-2</v>
      </c>
      <c r="BH451" s="9">
        <f t="shared" si="14"/>
        <v>6.0587301587301599E-2</v>
      </c>
      <c r="BQ451" s="8">
        <v>5</v>
      </c>
      <c r="BR451" s="8" t="s">
        <v>963</v>
      </c>
    </row>
    <row r="452" spans="1:70" x14ac:dyDescent="0.3">
      <c r="A452" s="11" t="s">
        <v>964</v>
      </c>
      <c r="B452" s="12">
        <v>250800</v>
      </c>
      <c r="C452" s="12">
        <v>744200</v>
      </c>
      <c r="D452" s="12">
        <v>0.26</v>
      </c>
      <c r="E452" s="12">
        <v>0.63</v>
      </c>
      <c r="F452" s="12">
        <v>0.12</v>
      </c>
      <c r="G452" s="12">
        <v>0.33</v>
      </c>
      <c r="H452" s="12">
        <v>0.84</v>
      </c>
      <c r="I452" s="12">
        <v>0.16</v>
      </c>
      <c r="J452" s="12">
        <v>0.45</v>
      </c>
      <c r="K452" s="12">
        <v>1.1399999999999999</v>
      </c>
      <c r="L452" s="12">
        <v>0.24</v>
      </c>
      <c r="M452" s="8">
        <v>5</v>
      </c>
      <c r="N452">
        <v>5</v>
      </c>
      <c r="O452" s="12">
        <v>6</v>
      </c>
      <c r="BF452" s="9">
        <v>4.51</v>
      </c>
      <c r="BG452" s="9">
        <f t="shared" si="15"/>
        <v>4.6563192904656318E-2</v>
      </c>
      <c r="BH452" s="9">
        <f t="shared" si="14"/>
        <v>6.0452961672473882E-2</v>
      </c>
      <c r="BQ452" s="8">
        <v>6</v>
      </c>
      <c r="BR452" s="8" t="s">
        <v>965</v>
      </c>
    </row>
    <row r="453" spans="1:70" x14ac:dyDescent="0.3">
      <c r="A453" s="11" t="s">
        <v>966</v>
      </c>
      <c r="B453" s="12">
        <v>255800</v>
      </c>
      <c r="C453" s="12">
        <v>763500</v>
      </c>
      <c r="D453" s="12">
        <v>0.28000000000000003</v>
      </c>
      <c r="E453" s="12">
        <v>0.69</v>
      </c>
      <c r="F453" s="12">
        <v>0.13</v>
      </c>
      <c r="G453" s="12">
        <v>0.36</v>
      </c>
      <c r="H453" s="12">
        <v>0.91</v>
      </c>
      <c r="I453" s="12">
        <v>0.18</v>
      </c>
      <c r="J453" s="12">
        <v>0.49</v>
      </c>
      <c r="K453" s="12">
        <v>1.24</v>
      </c>
      <c r="L453" s="12">
        <v>0.26</v>
      </c>
      <c r="M453" s="8">
        <v>5</v>
      </c>
      <c r="N453">
        <v>5</v>
      </c>
      <c r="O453" s="12">
        <v>6</v>
      </c>
      <c r="BF453" s="9">
        <v>4.5199999999999996</v>
      </c>
      <c r="BG453" s="9">
        <f t="shared" si="15"/>
        <v>4.6460176991150445E-2</v>
      </c>
      <c r="BH453" s="9">
        <f t="shared" si="14"/>
        <v>6.0319216182048059E-2</v>
      </c>
      <c r="BQ453" s="8">
        <v>7</v>
      </c>
      <c r="BR453" s="8" t="s">
        <v>967</v>
      </c>
    </row>
    <row r="454" spans="1:70" x14ac:dyDescent="0.3">
      <c r="A454" s="11" t="s">
        <v>968</v>
      </c>
      <c r="B454" s="12">
        <v>235000</v>
      </c>
      <c r="C454" s="12">
        <v>742500</v>
      </c>
      <c r="D454" s="12">
        <v>0.15</v>
      </c>
      <c r="E454" s="12">
        <v>0.39</v>
      </c>
      <c r="F454" s="12">
        <v>0.08</v>
      </c>
      <c r="G454" s="12">
        <v>0.19</v>
      </c>
      <c r="H454" s="12">
        <v>0.5</v>
      </c>
      <c r="I454" s="12">
        <v>0.1</v>
      </c>
      <c r="J454" s="12">
        <v>0.25</v>
      </c>
      <c r="K454" s="12">
        <v>0.65</v>
      </c>
      <c r="L454" s="12">
        <v>0.14000000000000001</v>
      </c>
      <c r="M454" s="8">
        <v>6</v>
      </c>
      <c r="N454">
        <v>7</v>
      </c>
      <c r="O454" s="12">
        <v>9</v>
      </c>
      <c r="BF454" s="9">
        <v>4.53</v>
      </c>
      <c r="BG454" s="9">
        <f t="shared" si="15"/>
        <v>4.6357615894039729E-2</v>
      </c>
      <c r="BH454" s="9">
        <f t="shared" si="14"/>
        <v>6.0186061179438671E-2</v>
      </c>
      <c r="BQ454" s="8">
        <v>5</v>
      </c>
      <c r="BR454" s="8" t="s">
        <v>969</v>
      </c>
    </row>
    <row r="455" spans="1:70" x14ac:dyDescent="0.3">
      <c r="A455" s="11" t="s">
        <v>970</v>
      </c>
      <c r="B455" s="12">
        <v>200700</v>
      </c>
      <c r="C455" s="12">
        <v>686200</v>
      </c>
      <c r="D455" s="12">
        <v>0.08</v>
      </c>
      <c r="E455" s="12">
        <v>0.18</v>
      </c>
      <c r="F455" s="12">
        <v>0.05</v>
      </c>
      <c r="G455" s="12">
        <v>0.09</v>
      </c>
      <c r="H455" s="12">
        <v>0.23</v>
      </c>
      <c r="I455" s="12">
        <v>0.06</v>
      </c>
      <c r="J455" s="12">
        <v>0.12</v>
      </c>
      <c r="K455" s="12">
        <v>0.3</v>
      </c>
      <c r="L455" s="12">
        <v>0.09</v>
      </c>
      <c r="M455" s="8">
        <v>7</v>
      </c>
      <c r="N455">
        <v>9</v>
      </c>
      <c r="O455" s="12">
        <v>11</v>
      </c>
      <c r="BF455" s="9">
        <v>4.54</v>
      </c>
      <c r="BG455" s="9">
        <f t="shared" si="15"/>
        <v>4.6255506607929514E-2</v>
      </c>
      <c r="BH455" s="9">
        <f t="shared" si="14"/>
        <v>6.0053492762743875E-2</v>
      </c>
      <c r="BQ455" s="8">
        <v>8</v>
      </c>
      <c r="BR455" s="8" t="s">
        <v>971</v>
      </c>
    </row>
    <row r="456" spans="1:70" x14ac:dyDescent="0.3">
      <c r="A456" s="11" t="s">
        <v>972</v>
      </c>
      <c r="B456" s="12">
        <v>242000</v>
      </c>
      <c r="C456" s="12">
        <v>723300</v>
      </c>
      <c r="D456" s="12">
        <v>0.19</v>
      </c>
      <c r="E456" s="12">
        <v>0.49</v>
      </c>
      <c r="F456" s="12">
        <v>0.09</v>
      </c>
      <c r="G456" s="12">
        <v>0.25</v>
      </c>
      <c r="H456" s="12">
        <v>0.64</v>
      </c>
      <c r="I456" s="12">
        <v>0.13</v>
      </c>
      <c r="J456" s="12">
        <v>0.33</v>
      </c>
      <c r="K456" s="12">
        <v>0.86</v>
      </c>
      <c r="L456" s="12">
        <v>0.18</v>
      </c>
      <c r="M456" s="8">
        <v>5</v>
      </c>
      <c r="N456">
        <v>6</v>
      </c>
      <c r="O456" s="12">
        <v>8</v>
      </c>
      <c r="BF456" s="9">
        <v>4.55</v>
      </c>
      <c r="BG456" s="9">
        <f t="shared" si="15"/>
        <v>4.6153846153846156E-2</v>
      </c>
      <c r="BH456" s="9">
        <f t="shared" si="14"/>
        <v>5.9921507064364221E-2</v>
      </c>
      <c r="BQ456" s="8">
        <v>8</v>
      </c>
      <c r="BR456" s="8" t="s">
        <v>973</v>
      </c>
    </row>
    <row r="457" spans="1:70" x14ac:dyDescent="0.3">
      <c r="A457" s="11" t="s">
        <v>974</v>
      </c>
      <c r="B457" s="12">
        <v>195900</v>
      </c>
      <c r="C457" s="12">
        <v>682300</v>
      </c>
      <c r="D457" s="12">
        <v>7.0000000000000007E-2</v>
      </c>
      <c r="E457" s="12">
        <v>0.17</v>
      </c>
      <c r="F457" s="12">
        <v>0.05</v>
      </c>
      <c r="G457" s="12">
        <v>0.09</v>
      </c>
      <c r="H457" s="12">
        <v>0.21</v>
      </c>
      <c r="I457" s="12">
        <v>0.06</v>
      </c>
      <c r="J457" s="12">
        <v>0.11</v>
      </c>
      <c r="K457" s="12">
        <v>0.28000000000000003</v>
      </c>
      <c r="L457" s="12">
        <v>0.08</v>
      </c>
      <c r="M457" s="8">
        <v>8</v>
      </c>
      <c r="N457">
        <v>9</v>
      </c>
      <c r="O457" s="12">
        <v>12</v>
      </c>
      <c r="BF457" s="9">
        <v>4.5599999999999996</v>
      </c>
      <c r="BG457" s="9">
        <f t="shared" si="15"/>
        <v>4.6052631578947373E-2</v>
      </c>
      <c r="BH457" s="9">
        <f t="shared" si="14"/>
        <v>5.9790100250626581E-2</v>
      </c>
      <c r="BQ457" s="8">
        <v>6</v>
      </c>
      <c r="BR457" s="8" t="s">
        <v>975</v>
      </c>
    </row>
    <row r="458" spans="1:70" x14ac:dyDescent="0.3">
      <c r="A458" s="11" t="s">
        <v>976</v>
      </c>
      <c r="B458" s="12">
        <v>194000</v>
      </c>
      <c r="C458" s="12">
        <v>658000</v>
      </c>
      <c r="D458" s="12">
        <v>0.06</v>
      </c>
      <c r="E458" s="12">
        <v>0.16</v>
      </c>
      <c r="F458" s="12">
        <v>0.04</v>
      </c>
      <c r="G458" s="12">
        <v>0.08</v>
      </c>
      <c r="H458" s="12">
        <v>0.2</v>
      </c>
      <c r="I458" s="12">
        <v>0.06</v>
      </c>
      <c r="J458" s="12">
        <v>0.1</v>
      </c>
      <c r="K458" s="12">
        <v>0.25</v>
      </c>
      <c r="L458" s="12">
        <v>0.08</v>
      </c>
      <c r="M458" s="8">
        <v>8</v>
      </c>
      <c r="N458">
        <v>9</v>
      </c>
      <c r="O458" s="12">
        <v>12</v>
      </c>
      <c r="BF458" s="9">
        <v>4.57</v>
      </c>
      <c r="BG458" s="9">
        <f t="shared" si="15"/>
        <v>4.5951859956236317E-2</v>
      </c>
      <c r="BH458" s="9">
        <f t="shared" si="14"/>
        <v>5.9659268521412949E-2</v>
      </c>
      <c r="BQ458" s="8">
        <v>5</v>
      </c>
      <c r="BR458" s="8" t="s">
        <v>977</v>
      </c>
    </row>
    <row r="459" spans="1:70" x14ac:dyDescent="0.3">
      <c r="A459" s="11" t="s">
        <v>978</v>
      </c>
      <c r="B459" s="12">
        <v>197700</v>
      </c>
      <c r="C459" s="12">
        <v>740800</v>
      </c>
      <c r="D459" s="12">
        <v>0.12</v>
      </c>
      <c r="E459" s="12">
        <v>0.3</v>
      </c>
      <c r="F459" s="12">
        <v>0.06</v>
      </c>
      <c r="G459" s="12">
        <v>0.17</v>
      </c>
      <c r="H459" s="12">
        <v>0.42</v>
      </c>
      <c r="I459" s="12">
        <v>0.08</v>
      </c>
      <c r="J459" s="12">
        <v>0.25</v>
      </c>
      <c r="K459" s="12">
        <v>0.62</v>
      </c>
      <c r="L459" s="12">
        <v>0.12</v>
      </c>
      <c r="M459" s="8">
        <v>6</v>
      </c>
      <c r="N459">
        <v>8</v>
      </c>
      <c r="O459" s="12">
        <v>9</v>
      </c>
      <c r="BF459" s="9">
        <v>4.58</v>
      </c>
      <c r="BG459" s="9">
        <f t="shared" si="15"/>
        <v>4.5851528384279472E-2</v>
      </c>
      <c r="BH459" s="9">
        <f t="shared" si="14"/>
        <v>5.9529008109794147E-2</v>
      </c>
      <c r="BQ459" s="8">
        <v>7</v>
      </c>
      <c r="BR459" s="8" t="s">
        <v>979</v>
      </c>
    </row>
    <row r="460" spans="1:70" x14ac:dyDescent="0.3">
      <c r="A460" s="11" t="s">
        <v>980</v>
      </c>
      <c r="B460" s="12">
        <v>249900</v>
      </c>
      <c r="C460" s="12">
        <v>703100</v>
      </c>
      <c r="D460" s="12">
        <v>0.25</v>
      </c>
      <c r="E460" s="12">
        <v>0.63</v>
      </c>
      <c r="F460" s="12">
        <v>0.12</v>
      </c>
      <c r="G460" s="12">
        <v>0.33</v>
      </c>
      <c r="H460" s="12">
        <v>0.84</v>
      </c>
      <c r="I460" s="12">
        <v>0.16</v>
      </c>
      <c r="J460" s="12">
        <v>0.45</v>
      </c>
      <c r="K460" s="12">
        <v>1.1499999999999999</v>
      </c>
      <c r="L460" s="12">
        <v>0.24</v>
      </c>
      <c r="M460" s="8">
        <v>5</v>
      </c>
      <c r="N460">
        <v>5</v>
      </c>
      <c r="O460" s="12">
        <v>6</v>
      </c>
      <c r="BF460" s="9">
        <v>4.59</v>
      </c>
      <c r="BG460" s="9">
        <f t="shared" si="15"/>
        <v>4.5751633986928102E-2</v>
      </c>
      <c r="BH460" s="9">
        <f t="shared" si="14"/>
        <v>5.9399315281668232E-2</v>
      </c>
      <c r="BQ460" s="8">
        <v>8</v>
      </c>
      <c r="BR460" s="8" t="s">
        <v>981</v>
      </c>
    </row>
    <row r="461" spans="1:70" x14ac:dyDescent="0.3">
      <c r="A461" s="11" t="s">
        <v>982</v>
      </c>
      <c r="B461" s="12">
        <v>217300</v>
      </c>
      <c r="C461" s="12">
        <v>759300</v>
      </c>
      <c r="D461" s="12">
        <v>0.13</v>
      </c>
      <c r="E461" s="12">
        <v>0.32</v>
      </c>
      <c r="F461" s="12">
        <v>7.0000000000000007E-2</v>
      </c>
      <c r="G461" s="12">
        <v>0.16</v>
      </c>
      <c r="H461" s="12">
        <v>0.41</v>
      </c>
      <c r="I461" s="12">
        <v>0.09</v>
      </c>
      <c r="J461" s="12">
        <v>0.22</v>
      </c>
      <c r="K461" s="12">
        <v>0.55000000000000004</v>
      </c>
      <c r="L461" s="12">
        <v>0.12</v>
      </c>
      <c r="M461" s="8">
        <v>7</v>
      </c>
      <c r="N461">
        <v>8</v>
      </c>
      <c r="O461" s="12">
        <v>10</v>
      </c>
      <c r="BF461" s="9">
        <v>4.5999999999999996</v>
      </c>
      <c r="BG461" s="9">
        <f t="shared" si="15"/>
        <v>4.5652173913043478E-2</v>
      </c>
      <c r="BH461" s="9">
        <f t="shared" si="14"/>
        <v>5.9270186335403742E-2</v>
      </c>
      <c r="BQ461" s="8">
        <v>8</v>
      </c>
      <c r="BR461" s="8" t="s">
        <v>983</v>
      </c>
    </row>
    <row r="462" spans="1:70" x14ac:dyDescent="0.3">
      <c r="A462" s="11" t="s">
        <v>984</v>
      </c>
      <c r="B462" s="12">
        <v>190600</v>
      </c>
      <c r="C462" s="12">
        <v>634700</v>
      </c>
      <c r="D462" s="12">
        <v>0.06</v>
      </c>
      <c r="E462" s="12">
        <v>0.15</v>
      </c>
      <c r="F462" s="12">
        <v>0.04</v>
      </c>
      <c r="G462" s="12">
        <v>0.08</v>
      </c>
      <c r="H462" s="12">
        <v>0.19</v>
      </c>
      <c r="I462" s="12">
        <v>0.06</v>
      </c>
      <c r="J462" s="12">
        <v>0.1</v>
      </c>
      <c r="K462" s="12">
        <v>0.25</v>
      </c>
      <c r="L462" s="12">
        <v>7.0000000000000007E-2</v>
      </c>
      <c r="M462" s="8">
        <v>8</v>
      </c>
      <c r="N462">
        <v>10</v>
      </c>
      <c r="O462" s="12">
        <v>12</v>
      </c>
      <c r="BF462" s="9">
        <v>4.6100000000000003</v>
      </c>
      <c r="BG462" s="9">
        <f t="shared" si="15"/>
        <v>4.5553145336225592E-2</v>
      </c>
      <c r="BH462" s="9">
        <f t="shared" si="14"/>
        <v>5.9141617601487458E-2</v>
      </c>
      <c r="BQ462" s="8">
        <v>7</v>
      </c>
      <c r="BR462" s="8" t="s">
        <v>985</v>
      </c>
    </row>
    <row r="463" spans="1:70" x14ac:dyDescent="0.3">
      <c r="A463" s="11" t="s">
        <v>986</v>
      </c>
      <c r="B463" s="12">
        <v>178100</v>
      </c>
      <c r="C463" s="12">
        <v>544600</v>
      </c>
      <c r="D463" s="12">
        <v>0.05</v>
      </c>
      <c r="E463" s="12">
        <v>0.13</v>
      </c>
      <c r="F463" s="12">
        <v>0.04</v>
      </c>
      <c r="G463" s="12">
        <v>7.0000000000000007E-2</v>
      </c>
      <c r="H463" s="12">
        <v>0.16</v>
      </c>
      <c r="I463" s="12">
        <v>0.05</v>
      </c>
      <c r="J463" s="12">
        <v>0.08</v>
      </c>
      <c r="K463" s="12">
        <v>0.21</v>
      </c>
      <c r="L463" s="12">
        <v>7.0000000000000007E-2</v>
      </c>
      <c r="M463" s="8">
        <v>8</v>
      </c>
      <c r="N463">
        <v>10</v>
      </c>
      <c r="O463" s="12">
        <v>12</v>
      </c>
      <c r="BF463" s="9">
        <v>4.62</v>
      </c>
      <c r="BG463" s="9">
        <f t="shared" si="15"/>
        <v>4.5454545454545449E-2</v>
      </c>
      <c r="BH463" s="9">
        <f t="shared" si="14"/>
        <v>5.9013605442176882E-2</v>
      </c>
      <c r="BQ463" s="8">
        <v>6</v>
      </c>
      <c r="BR463" s="8" t="s">
        <v>987</v>
      </c>
    </row>
    <row r="464" spans="1:70" x14ac:dyDescent="0.3">
      <c r="A464" s="11" t="s">
        <v>988</v>
      </c>
      <c r="B464" s="12">
        <v>212700</v>
      </c>
      <c r="C464" s="12">
        <v>649600</v>
      </c>
      <c r="D464" s="12">
        <v>0.09</v>
      </c>
      <c r="E464" s="12">
        <v>0.22</v>
      </c>
      <c r="F464" s="12">
        <v>0.05</v>
      </c>
      <c r="G464" s="12">
        <v>0.11</v>
      </c>
      <c r="H464" s="12">
        <v>0.28000000000000003</v>
      </c>
      <c r="I464" s="12">
        <v>7.0000000000000007E-2</v>
      </c>
      <c r="J464" s="12">
        <v>0.14000000000000001</v>
      </c>
      <c r="K464" s="12">
        <v>0.36</v>
      </c>
      <c r="L464" s="12">
        <v>0.1</v>
      </c>
      <c r="M464" s="8">
        <v>7</v>
      </c>
      <c r="N464">
        <v>8</v>
      </c>
      <c r="O464" s="12">
        <v>10</v>
      </c>
      <c r="BF464" s="9">
        <v>4.63</v>
      </c>
      <c r="BG464" s="9">
        <f t="shared" si="15"/>
        <v>4.5356371490280774E-2</v>
      </c>
      <c r="BH464" s="9">
        <f t="shared" si="14"/>
        <v>5.8886146251157061E-2</v>
      </c>
      <c r="BQ464" s="8">
        <v>6</v>
      </c>
      <c r="BR464" s="8" t="s">
        <v>989</v>
      </c>
    </row>
    <row r="465" spans="1:70" x14ac:dyDescent="0.3">
      <c r="A465" s="11" t="s">
        <v>990</v>
      </c>
      <c r="B465" s="12">
        <v>219700</v>
      </c>
      <c r="C465" s="12">
        <v>750700</v>
      </c>
      <c r="D465" s="12">
        <v>0.14000000000000001</v>
      </c>
      <c r="E465" s="12">
        <v>0.34</v>
      </c>
      <c r="F465" s="12">
        <v>7.0000000000000007E-2</v>
      </c>
      <c r="G465" s="12">
        <v>0.17</v>
      </c>
      <c r="H465" s="12">
        <v>0.44</v>
      </c>
      <c r="I465" s="12">
        <v>0.09</v>
      </c>
      <c r="J465" s="12">
        <v>0.23</v>
      </c>
      <c r="K465" s="12">
        <v>0.6</v>
      </c>
      <c r="L465" s="12">
        <v>0.12</v>
      </c>
      <c r="M465" s="8">
        <v>6</v>
      </c>
      <c r="N465">
        <v>8</v>
      </c>
      <c r="O465" s="12">
        <v>9</v>
      </c>
      <c r="BF465" s="9">
        <v>4.6399999999999997</v>
      </c>
      <c r="BG465" s="9">
        <f t="shared" si="15"/>
        <v>4.5258620689655173E-2</v>
      </c>
      <c r="BH465" s="9">
        <f t="shared" si="14"/>
        <v>5.8759236453201982E-2</v>
      </c>
      <c r="BQ465" s="8">
        <v>7</v>
      </c>
      <c r="BR465" s="8" t="s">
        <v>991</v>
      </c>
    </row>
    <row r="466" spans="1:70" x14ac:dyDescent="0.3">
      <c r="A466" s="11" t="s">
        <v>992</v>
      </c>
      <c r="B466" s="12">
        <v>238000</v>
      </c>
      <c r="C466" s="12">
        <v>726700</v>
      </c>
      <c r="D466" s="12">
        <v>0.17</v>
      </c>
      <c r="E466" s="12">
        <v>0.44</v>
      </c>
      <c r="F466" s="12">
        <v>0.09</v>
      </c>
      <c r="G466" s="12">
        <v>0.22</v>
      </c>
      <c r="H466" s="12">
        <v>0.56999999999999995</v>
      </c>
      <c r="I466" s="12">
        <v>0.11</v>
      </c>
      <c r="J466" s="12">
        <v>0.28999999999999998</v>
      </c>
      <c r="K466" s="12">
        <v>0.76</v>
      </c>
      <c r="L466" s="12">
        <v>0.16</v>
      </c>
      <c r="M466" s="8">
        <v>6</v>
      </c>
      <c r="N466">
        <v>7</v>
      </c>
      <c r="O466" s="12">
        <v>8</v>
      </c>
      <c r="BF466" s="9">
        <v>4.6500000000000004</v>
      </c>
      <c r="BG466" s="9">
        <f t="shared" si="15"/>
        <v>4.5161290322580643E-2</v>
      </c>
      <c r="BH466" s="9">
        <f t="shared" si="14"/>
        <v>5.863287250384025E-2</v>
      </c>
      <c r="BQ466" s="8">
        <v>6</v>
      </c>
      <c r="BR466" s="8" t="s">
        <v>993</v>
      </c>
    </row>
    <row r="467" spans="1:70" x14ac:dyDescent="0.3">
      <c r="A467" s="11" t="s">
        <v>994</v>
      </c>
      <c r="B467" s="12">
        <v>195800</v>
      </c>
      <c r="C467" s="12">
        <v>587200</v>
      </c>
      <c r="D467" s="12">
        <v>0.08</v>
      </c>
      <c r="E467" s="12">
        <v>0.19</v>
      </c>
      <c r="F467" s="12">
        <v>0.04</v>
      </c>
      <c r="G467" s="12">
        <v>0.1</v>
      </c>
      <c r="H467" s="12">
        <v>0.24</v>
      </c>
      <c r="I467" s="12">
        <v>0.06</v>
      </c>
      <c r="J467" s="12">
        <v>0.13</v>
      </c>
      <c r="K467" s="12">
        <v>0.33</v>
      </c>
      <c r="L467" s="12">
        <v>0.08</v>
      </c>
      <c r="M467" s="8">
        <v>7</v>
      </c>
      <c r="N467">
        <v>9</v>
      </c>
      <c r="O467" s="12">
        <v>11</v>
      </c>
      <c r="BF467" s="9">
        <v>4.66</v>
      </c>
      <c r="BG467" s="9">
        <f t="shared" si="15"/>
        <v>4.5064377682403428E-2</v>
      </c>
      <c r="BH467" s="9">
        <f t="shared" si="14"/>
        <v>5.8507050889025143E-2</v>
      </c>
      <c r="BQ467" s="8">
        <v>7</v>
      </c>
      <c r="BR467" s="8" t="s">
        <v>995</v>
      </c>
    </row>
    <row r="468" spans="1:70" x14ac:dyDescent="0.3">
      <c r="A468" s="11" t="s">
        <v>996</v>
      </c>
      <c r="B468" s="12">
        <v>239600</v>
      </c>
      <c r="C468" s="12">
        <v>752800</v>
      </c>
      <c r="D468" s="12">
        <v>0.17</v>
      </c>
      <c r="E468" s="12">
        <v>0.44</v>
      </c>
      <c r="F468" s="12">
        <v>0.08</v>
      </c>
      <c r="G468" s="12">
        <v>0.21</v>
      </c>
      <c r="H468" s="12">
        <v>0.56000000000000005</v>
      </c>
      <c r="I468" s="12">
        <v>0.11</v>
      </c>
      <c r="J468" s="12">
        <v>0.28000000000000003</v>
      </c>
      <c r="K468" s="12">
        <v>0.74</v>
      </c>
      <c r="L468" s="12">
        <v>0.16</v>
      </c>
      <c r="M468" s="8">
        <v>6</v>
      </c>
      <c r="N468">
        <v>7</v>
      </c>
      <c r="O468" s="12">
        <v>8</v>
      </c>
      <c r="BF468" s="9">
        <v>4.67</v>
      </c>
      <c r="BG468" s="9">
        <f t="shared" si="15"/>
        <v>4.4967880085653104E-2</v>
      </c>
      <c r="BH468" s="9">
        <f t="shared" si="14"/>
        <v>5.8381768124808824E-2</v>
      </c>
      <c r="BQ468" s="8">
        <v>9</v>
      </c>
      <c r="BR468" s="8" t="s">
        <v>997</v>
      </c>
    </row>
    <row r="469" spans="1:70" x14ac:dyDescent="0.3">
      <c r="A469" s="11" t="s">
        <v>998</v>
      </c>
      <c r="B469" s="12">
        <v>223700</v>
      </c>
      <c r="C469" s="12">
        <v>765200</v>
      </c>
      <c r="D469" s="12">
        <v>0.13</v>
      </c>
      <c r="E469" s="12">
        <v>0.32</v>
      </c>
      <c r="F469" s="12">
        <v>7.0000000000000007E-2</v>
      </c>
      <c r="G469" s="12">
        <v>0.16</v>
      </c>
      <c r="H469" s="12">
        <v>0.41</v>
      </c>
      <c r="I469" s="12">
        <v>0.09</v>
      </c>
      <c r="J469" s="12">
        <v>0.21</v>
      </c>
      <c r="K469" s="12">
        <v>0.54</v>
      </c>
      <c r="L469" s="12">
        <v>0.12</v>
      </c>
      <c r="M469" s="8">
        <v>7</v>
      </c>
      <c r="N469">
        <v>8</v>
      </c>
      <c r="O469" s="12">
        <v>10</v>
      </c>
      <c r="BF469" s="9">
        <v>4.68</v>
      </c>
      <c r="BG469" s="9">
        <f t="shared" si="15"/>
        <v>4.4871794871794872E-2</v>
      </c>
      <c r="BH469" s="9">
        <f t="shared" si="14"/>
        <v>5.8257020757020772E-2</v>
      </c>
      <c r="BQ469" s="8">
        <v>5</v>
      </c>
      <c r="BR469" s="8" t="s">
        <v>999</v>
      </c>
    </row>
    <row r="470" spans="1:70" x14ac:dyDescent="0.3">
      <c r="A470" s="11" t="s">
        <v>1000</v>
      </c>
      <c r="B470" s="12">
        <v>135000</v>
      </c>
      <c r="C470" s="12">
        <v>566500</v>
      </c>
      <c r="D470" s="12">
        <v>0.04</v>
      </c>
      <c r="E470" s="12">
        <v>0.08</v>
      </c>
      <c r="F470" s="12">
        <v>0.03</v>
      </c>
      <c r="G470" s="12">
        <v>0.04</v>
      </c>
      <c r="H470" s="12">
        <v>0.1</v>
      </c>
      <c r="I470" s="12">
        <v>0.04</v>
      </c>
      <c r="J470" s="12">
        <v>0.06</v>
      </c>
      <c r="K470" s="12">
        <v>0.13</v>
      </c>
      <c r="L470" s="12">
        <v>0.05</v>
      </c>
      <c r="M470" s="8">
        <v>9</v>
      </c>
      <c r="N470">
        <v>11</v>
      </c>
      <c r="O470" s="12">
        <v>14</v>
      </c>
      <c r="BF470" s="9">
        <v>4.6900000000000004</v>
      </c>
      <c r="BG470" s="9">
        <f t="shared" si="15"/>
        <v>4.4776119402985072E-2</v>
      </c>
      <c r="BH470" s="9">
        <f t="shared" si="14"/>
        <v>5.8132805360950356E-2</v>
      </c>
      <c r="BQ470" s="8">
        <v>8</v>
      </c>
      <c r="BR470" s="8" t="s">
        <v>1001</v>
      </c>
    </row>
    <row r="471" spans="1:70" x14ac:dyDescent="0.3">
      <c r="A471" s="11" t="s">
        <v>1002</v>
      </c>
      <c r="B471" s="12">
        <v>247500</v>
      </c>
      <c r="C471" s="12">
        <v>734900</v>
      </c>
      <c r="D471" s="12">
        <v>0.23</v>
      </c>
      <c r="E471" s="12">
        <v>0.56999999999999995</v>
      </c>
      <c r="F471" s="12">
        <v>0.11</v>
      </c>
      <c r="G471" s="12">
        <v>0.28999999999999998</v>
      </c>
      <c r="H471" s="12">
        <v>0.74</v>
      </c>
      <c r="I471" s="12">
        <v>0.15</v>
      </c>
      <c r="J471" s="12">
        <v>0.39</v>
      </c>
      <c r="K471" s="12">
        <v>1.01</v>
      </c>
      <c r="L471" s="12">
        <v>0.21</v>
      </c>
      <c r="M471" s="8">
        <v>5</v>
      </c>
      <c r="N471">
        <v>6</v>
      </c>
      <c r="O471" s="12">
        <v>7</v>
      </c>
      <c r="BF471" s="9">
        <v>4.7</v>
      </c>
      <c r="BG471" s="9">
        <f t="shared" si="15"/>
        <v>4.4680851063829782E-2</v>
      </c>
      <c r="BH471" s="9">
        <f t="shared" si="14"/>
        <v>5.8009118541033439E-2</v>
      </c>
      <c r="BQ471" s="8">
        <v>6</v>
      </c>
      <c r="BR471" s="8" t="s">
        <v>1003</v>
      </c>
    </row>
    <row r="472" spans="1:70" x14ac:dyDescent="0.3">
      <c r="A472" s="11" t="s">
        <v>1004</v>
      </c>
      <c r="B472" s="12">
        <v>176000</v>
      </c>
      <c r="C472" s="12">
        <v>642400</v>
      </c>
      <c r="D472" s="12">
        <v>0.06</v>
      </c>
      <c r="E472" s="12">
        <v>0.14000000000000001</v>
      </c>
      <c r="F472" s="12">
        <v>0.04</v>
      </c>
      <c r="G472" s="12">
        <v>7.0000000000000007E-2</v>
      </c>
      <c r="H472" s="12">
        <v>0.18</v>
      </c>
      <c r="I472" s="12">
        <v>0.05</v>
      </c>
      <c r="J472" s="12">
        <v>0.09</v>
      </c>
      <c r="K472" s="12">
        <v>0.24</v>
      </c>
      <c r="L472" s="12">
        <v>7.0000000000000007E-2</v>
      </c>
      <c r="M472" s="8">
        <v>8</v>
      </c>
      <c r="N472">
        <v>10</v>
      </c>
      <c r="O472" s="12">
        <v>12</v>
      </c>
      <c r="BF472" s="9">
        <v>4.71</v>
      </c>
      <c r="BG472" s="9">
        <f t="shared" si="15"/>
        <v>4.4585987261146494E-2</v>
      </c>
      <c r="BH472" s="9">
        <f t="shared" si="14"/>
        <v>5.788595693054293E-2</v>
      </c>
      <c r="BQ472" s="8">
        <v>8</v>
      </c>
      <c r="BR472" s="8" t="s">
        <v>1005</v>
      </c>
    </row>
    <row r="473" spans="1:70" x14ac:dyDescent="0.3">
      <c r="A473" s="11" t="s">
        <v>1006</v>
      </c>
      <c r="B473" s="12">
        <v>207600</v>
      </c>
      <c r="C473" s="12">
        <v>738300</v>
      </c>
      <c r="D473" s="12">
        <v>0.14000000000000001</v>
      </c>
      <c r="E473" s="12">
        <v>0.33</v>
      </c>
      <c r="F473" s="12">
        <v>7.0000000000000007E-2</v>
      </c>
      <c r="G473" s="12">
        <v>0.19</v>
      </c>
      <c r="H473" s="12">
        <v>0.47</v>
      </c>
      <c r="I473" s="12">
        <v>0.09</v>
      </c>
      <c r="J473" s="12">
        <v>0.28000000000000003</v>
      </c>
      <c r="K473" s="12">
        <v>0.7</v>
      </c>
      <c r="L473" s="12">
        <v>0.14000000000000001</v>
      </c>
      <c r="M473" s="8">
        <v>6</v>
      </c>
      <c r="N473">
        <v>7</v>
      </c>
      <c r="O473" s="12">
        <v>8</v>
      </c>
      <c r="BF473" s="9">
        <v>4.72</v>
      </c>
      <c r="BG473" s="9">
        <f t="shared" si="15"/>
        <v>4.4491525423728813E-2</v>
      </c>
      <c r="BH473" s="9">
        <f t="shared" si="14"/>
        <v>5.7763317191283303E-2</v>
      </c>
      <c r="BQ473" s="8">
        <v>8</v>
      </c>
      <c r="BR473" s="8" t="s">
        <v>1007</v>
      </c>
    </row>
    <row r="474" spans="1:70" x14ac:dyDescent="0.3">
      <c r="A474" s="11" t="s">
        <v>1008</v>
      </c>
      <c r="B474" s="12">
        <v>188700</v>
      </c>
      <c r="C474" s="12">
        <v>654900</v>
      </c>
      <c r="D474" s="12">
        <v>0.06</v>
      </c>
      <c r="E474" s="12">
        <v>0.15</v>
      </c>
      <c r="F474" s="12">
        <v>0.04</v>
      </c>
      <c r="G474" s="12">
        <v>7.0000000000000007E-2</v>
      </c>
      <c r="H474" s="12">
        <v>0.18</v>
      </c>
      <c r="I474" s="12">
        <v>0.06</v>
      </c>
      <c r="J474" s="12">
        <v>0.09</v>
      </c>
      <c r="K474" s="12">
        <v>0.24</v>
      </c>
      <c r="L474" s="12">
        <v>7.0000000000000007E-2</v>
      </c>
      <c r="M474" s="8">
        <v>8</v>
      </c>
      <c r="N474">
        <v>10</v>
      </c>
      <c r="O474" s="12">
        <v>12</v>
      </c>
      <c r="BF474" s="9">
        <v>4.7300000000000004</v>
      </c>
      <c r="BG474" s="9">
        <f t="shared" si="15"/>
        <v>4.4397463002114161E-2</v>
      </c>
      <c r="BH474" s="9">
        <f t="shared" si="14"/>
        <v>5.7641196013289042E-2</v>
      </c>
      <c r="BQ474" s="8">
        <v>7</v>
      </c>
      <c r="BR474" s="8" t="s">
        <v>1009</v>
      </c>
    </row>
    <row r="475" spans="1:70" x14ac:dyDescent="0.3">
      <c r="A475" s="11" t="s">
        <v>1010</v>
      </c>
      <c r="B475" s="12">
        <v>183100</v>
      </c>
      <c r="C475" s="12">
        <v>633900</v>
      </c>
      <c r="D475" s="12">
        <v>0.06</v>
      </c>
      <c r="E475" s="12">
        <v>0.15</v>
      </c>
      <c r="F475" s="12">
        <v>0.04</v>
      </c>
      <c r="G475" s="12">
        <v>0.08</v>
      </c>
      <c r="H475" s="12">
        <v>0.19</v>
      </c>
      <c r="I475" s="12">
        <v>0.05</v>
      </c>
      <c r="J475" s="12">
        <v>0.1</v>
      </c>
      <c r="K475" s="12">
        <v>0.25</v>
      </c>
      <c r="L475" s="12">
        <v>7.0000000000000007E-2</v>
      </c>
      <c r="M475" s="8">
        <v>8</v>
      </c>
      <c r="N475">
        <v>10</v>
      </c>
      <c r="O475" s="12">
        <v>12</v>
      </c>
      <c r="BF475" s="9">
        <v>4.74</v>
      </c>
      <c r="BG475" s="9">
        <f t="shared" si="15"/>
        <v>4.4303797468354424E-2</v>
      </c>
      <c r="BH475" s="9">
        <f t="shared" si="14"/>
        <v>5.7519590114526828E-2</v>
      </c>
      <c r="BQ475" s="8">
        <v>7</v>
      </c>
      <c r="BR475" s="8" t="s">
        <v>1011</v>
      </c>
    </row>
    <row r="476" spans="1:70" x14ac:dyDescent="0.3">
      <c r="A476" s="11" t="s">
        <v>1012</v>
      </c>
      <c r="B476" s="12">
        <v>208600</v>
      </c>
      <c r="C476" s="12">
        <v>635200</v>
      </c>
      <c r="D476" s="12">
        <v>0.08</v>
      </c>
      <c r="E476" s="12">
        <v>0.19</v>
      </c>
      <c r="F476" s="12">
        <v>0.05</v>
      </c>
      <c r="G476" s="12">
        <v>0.1</v>
      </c>
      <c r="H476" s="12">
        <v>0.24</v>
      </c>
      <c r="I476" s="12">
        <v>0.06</v>
      </c>
      <c r="J476" s="12">
        <v>0.12</v>
      </c>
      <c r="K476" s="12">
        <v>0.32</v>
      </c>
      <c r="L476" s="12">
        <v>0.09</v>
      </c>
      <c r="M476" s="8">
        <v>7</v>
      </c>
      <c r="N476">
        <v>9</v>
      </c>
      <c r="O476" s="12">
        <v>11</v>
      </c>
      <c r="BF476" s="9">
        <v>4.75</v>
      </c>
      <c r="BG476" s="9">
        <f t="shared" si="15"/>
        <v>4.4210526315789471E-2</v>
      </c>
      <c r="BH476" s="9">
        <f t="shared" si="14"/>
        <v>5.7398496240601511E-2</v>
      </c>
      <c r="BQ476" s="8">
        <v>8</v>
      </c>
      <c r="BR476" s="8" t="s">
        <v>1013</v>
      </c>
    </row>
    <row r="477" spans="1:70" x14ac:dyDescent="0.3">
      <c r="A477" s="11" t="s">
        <v>1014</v>
      </c>
      <c r="B477" s="12">
        <v>200800</v>
      </c>
      <c r="C477" s="12">
        <v>692500</v>
      </c>
      <c r="D477" s="12">
        <v>0.08</v>
      </c>
      <c r="E477" s="12">
        <v>0.19</v>
      </c>
      <c r="F477" s="12">
        <v>0.05</v>
      </c>
      <c r="G477" s="12">
        <v>0.1</v>
      </c>
      <c r="H477" s="12">
        <v>0.24</v>
      </c>
      <c r="I477" s="12">
        <v>0.06</v>
      </c>
      <c r="J477" s="12">
        <v>0.12</v>
      </c>
      <c r="K477" s="12">
        <v>0.31</v>
      </c>
      <c r="L477" s="12">
        <v>0.09</v>
      </c>
      <c r="M477" s="8">
        <v>7</v>
      </c>
      <c r="N477">
        <v>9</v>
      </c>
      <c r="O477" s="12">
        <v>11</v>
      </c>
      <c r="BF477" s="9">
        <v>4.76</v>
      </c>
      <c r="BG477" s="9">
        <f t="shared" si="15"/>
        <v>4.4117647058823532E-2</v>
      </c>
      <c r="BH477" s="9">
        <f t="shared" si="14"/>
        <v>5.7277911164465796E-2</v>
      </c>
      <c r="BQ477" s="8">
        <v>8</v>
      </c>
      <c r="BR477" s="8" t="s">
        <v>1015</v>
      </c>
    </row>
    <row r="478" spans="1:70" x14ac:dyDescent="0.3">
      <c r="A478" s="11" t="s">
        <v>1016</v>
      </c>
      <c r="B478" s="12">
        <v>157900</v>
      </c>
      <c r="C478" s="12">
        <v>610600</v>
      </c>
      <c r="D478" s="12">
        <v>0.06</v>
      </c>
      <c r="E478" s="12">
        <v>0.14000000000000001</v>
      </c>
      <c r="F478" s="12">
        <v>0.04</v>
      </c>
      <c r="G478" s="12">
        <v>0.08</v>
      </c>
      <c r="H478" s="12">
        <v>0.19</v>
      </c>
      <c r="I478" s="12">
        <v>0.05</v>
      </c>
      <c r="J478" s="12">
        <v>0.11</v>
      </c>
      <c r="K478" s="12">
        <v>0.27</v>
      </c>
      <c r="L478" s="12">
        <v>0.06</v>
      </c>
      <c r="M478" s="8">
        <v>8</v>
      </c>
      <c r="N478">
        <v>10</v>
      </c>
      <c r="O478" s="12">
        <v>13</v>
      </c>
      <c r="BF478" s="9">
        <v>4.7699999999999996</v>
      </c>
      <c r="BG478" s="9">
        <f t="shared" si="15"/>
        <v>4.4025157232704407E-2</v>
      </c>
      <c r="BH478" s="9">
        <f t="shared" si="14"/>
        <v>5.7157831686133587E-2</v>
      </c>
      <c r="BQ478" s="8">
        <v>8</v>
      </c>
      <c r="BR478" s="8" t="s">
        <v>1017</v>
      </c>
    </row>
    <row r="479" spans="1:70" x14ac:dyDescent="0.3">
      <c r="A479" s="11" t="s">
        <v>1018</v>
      </c>
      <c r="B479" s="12">
        <v>172100</v>
      </c>
      <c r="C479" s="12">
        <v>617700</v>
      </c>
      <c r="D479" s="12">
        <v>7.0000000000000007E-2</v>
      </c>
      <c r="E479" s="12">
        <v>0.16</v>
      </c>
      <c r="F479" s="12">
        <v>0.04</v>
      </c>
      <c r="G479" s="12">
        <v>0.09</v>
      </c>
      <c r="H479" s="12">
        <v>0.22</v>
      </c>
      <c r="I479" s="12">
        <v>0.05</v>
      </c>
      <c r="J479" s="12">
        <v>0.12</v>
      </c>
      <c r="K479" s="12">
        <v>0.31</v>
      </c>
      <c r="L479" s="12">
        <v>7.0000000000000007E-2</v>
      </c>
      <c r="M479" s="8">
        <v>8</v>
      </c>
      <c r="N479">
        <v>10</v>
      </c>
      <c r="O479" s="12">
        <v>12</v>
      </c>
      <c r="BF479" s="9">
        <v>4.78</v>
      </c>
      <c r="BG479" s="9">
        <f t="shared" si="15"/>
        <v>4.3933054393305436E-2</v>
      </c>
      <c r="BH479" s="9">
        <f t="shared" si="14"/>
        <v>5.7038254632396895E-2</v>
      </c>
      <c r="BQ479" s="8">
        <v>7</v>
      </c>
      <c r="BR479" s="8" t="s">
        <v>1019</v>
      </c>
    </row>
    <row r="480" spans="1:70" x14ac:dyDescent="0.3">
      <c r="A480" s="11" t="s">
        <v>1020</v>
      </c>
      <c r="B480" s="12">
        <v>190700</v>
      </c>
      <c r="C480" s="12">
        <v>645200</v>
      </c>
      <c r="D480" s="12">
        <v>0.06</v>
      </c>
      <c r="E480" s="12">
        <v>0.15</v>
      </c>
      <c r="F480" s="12">
        <v>0.04</v>
      </c>
      <c r="G480" s="12">
        <v>0.08</v>
      </c>
      <c r="H480" s="12">
        <v>0.19</v>
      </c>
      <c r="I480" s="12">
        <v>0.06</v>
      </c>
      <c r="J480" s="12">
        <v>0.1</v>
      </c>
      <c r="K480" s="12">
        <v>0.24</v>
      </c>
      <c r="L480" s="12">
        <v>7.0000000000000007E-2</v>
      </c>
      <c r="M480" s="8">
        <v>8</v>
      </c>
      <c r="N480">
        <v>10</v>
      </c>
      <c r="O480" s="12">
        <v>12</v>
      </c>
      <c r="BF480" s="9">
        <v>4.79</v>
      </c>
      <c r="BG480" s="9">
        <f t="shared" si="15"/>
        <v>4.3841336116910226E-2</v>
      </c>
      <c r="BH480" s="9">
        <f t="shared" si="14"/>
        <v>5.6919176856546384E-2</v>
      </c>
      <c r="BQ480" s="8">
        <v>8</v>
      </c>
      <c r="BR480" s="8" t="s">
        <v>1021</v>
      </c>
    </row>
    <row r="481" spans="1:70" x14ac:dyDescent="0.3">
      <c r="A481" s="11" t="s">
        <v>1022</v>
      </c>
      <c r="B481" s="12">
        <v>210000</v>
      </c>
      <c r="C481" s="12">
        <v>635500</v>
      </c>
      <c r="D481" s="12">
        <v>0.08</v>
      </c>
      <c r="E481" s="12">
        <v>0.2</v>
      </c>
      <c r="F481" s="12">
        <v>0.05</v>
      </c>
      <c r="G481" s="12">
        <v>0.1</v>
      </c>
      <c r="H481" s="12">
        <v>0.25</v>
      </c>
      <c r="I481" s="12">
        <v>7.0000000000000007E-2</v>
      </c>
      <c r="J481" s="12">
        <v>0.13</v>
      </c>
      <c r="K481" s="12">
        <v>0.33</v>
      </c>
      <c r="L481" s="12">
        <v>0.09</v>
      </c>
      <c r="M481" s="8">
        <v>7</v>
      </c>
      <c r="N481">
        <v>9</v>
      </c>
      <c r="O481" s="12">
        <v>11</v>
      </c>
      <c r="BF481" s="9">
        <v>4.8</v>
      </c>
      <c r="BG481" s="9">
        <f t="shared" si="15"/>
        <v>4.3749999999999997E-2</v>
      </c>
      <c r="BH481" s="9">
        <f t="shared" si="14"/>
        <v>5.6800595238095247E-2</v>
      </c>
      <c r="BQ481" s="8">
        <v>5</v>
      </c>
      <c r="BR481" s="8" t="s">
        <v>1023</v>
      </c>
    </row>
    <row r="482" spans="1:70" x14ac:dyDescent="0.3">
      <c r="A482" s="11" t="s">
        <v>1024</v>
      </c>
      <c r="B482" s="12">
        <v>189000</v>
      </c>
      <c r="C482" s="12">
        <v>660000</v>
      </c>
      <c r="D482" s="12">
        <v>0.06</v>
      </c>
      <c r="E482" s="12">
        <v>0.15</v>
      </c>
      <c r="F482" s="12">
        <v>0.04</v>
      </c>
      <c r="G482" s="12">
        <v>0.08</v>
      </c>
      <c r="H482" s="12">
        <v>0.18</v>
      </c>
      <c r="I482" s="12">
        <v>0.06</v>
      </c>
      <c r="J482" s="12">
        <v>0.1</v>
      </c>
      <c r="K482" s="12">
        <v>0.24</v>
      </c>
      <c r="L482" s="12">
        <v>7.0000000000000007E-2</v>
      </c>
      <c r="M482" s="8">
        <v>8</v>
      </c>
      <c r="N482">
        <v>10</v>
      </c>
      <c r="O482" s="12">
        <v>12</v>
      </c>
      <c r="BF482" s="9">
        <v>4.8099999999999996</v>
      </c>
      <c r="BG482" s="9">
        <f t="shared" si="15"/>
        <v>4.3659043659043661E-2</v>
      </c>
      <c r="BH482" s="9">
        <f t="shared" si="14"/>
        <v>5.6682506682506698E-2</v>
      </c>
      <c r="BQ482" s="8">
        <v>5</v>
      </c>
      <c r="BR482" s="8" t="s">
        <v>1025</v>
      </c>
    </row>
    <row r="483" spans="1:70" x14ac:dyDescent="0.3">
      <c r="A483" s="11" t="s">
        <v>1026</v>
      </c>
      <c r="B483" s="12">
        <v>212200</v>
      </c>
      <c r="C483" s="12">
        <v>443900</v>
      </c>
      <c r="D483" s="12">
        <v>0.18</v>
      </c>
      <c r="E483" s="12">
        <v>0.44</v>
      </c>
      <c r="F483" s="12">
        <v>0.08</v>
      </c>
      <c r="G483" s="12">
        <v>0.25</v>
      </c>
      <c r="H483" s="12">
        <v>0.62</v>
      </c>
      <c r="I483" s="12">
        <v>0.11</v>
      </c>
      <c r="J483" s="12">
        <v>0.36</v>
      </c>
      <c r="K483" s="12">
        <v>0.9</v>
      </c>
      <c r="L483" s="12">
        <v>0.18</v>
      </c>
      <c r="M483" s="8">
        <v>5</v>
      </c>
      <c r="N483">
        <v>5</v>
      </c>
      <c r="O483" s="12">
        <v>6</v>
      </c>
      <c r="BF483" s="9">
        <v>4.82</v>
      </c>
      <c r="BG483" s="9">
        <f t="shared" si="15"/>
        <v>4.3568464730290454E-2</v>
      </c>
      <c r="BH483" s="9">
        <f t="shared" si="14"/>
        <v>5.6564908120924726E-2</v>
      </c>
      <c r="BQ483" s="8">
        <v>6</v>
      </c>
      <c r="BR483" s="8" t="s">
        <v>1027</v>
      </c>
    </row>
    <row r="484" spans="1:70" x14ac:dyDescent="0.3">
      <c r="A484" s="11" t="s">
        <v>1028</v>
      </c>
      <c r="B484" s="12">
        <v>256200</v>
      </c>
      <c r="C484" s="12">
        <v>794700</v>
      </c>
      <c r="D484" s="12">
        <v>0.25</v>
      </c>
      <c r="E484" s="12">
        <v>0.61</v>
      </c>
      <c r="F484" s="12">
        <v>0.12</v>
      </c>
      <c r="G484" s="12">
        <v>0.33</v>
      </c>
      <c r="H484" s="12">
        <v>0.81</v>
      </c>
      <c r="I484" s="12">
        <v>0.16</v>
      </c>
      <c r="J484" s="12">
        <v>0.44</v>
      </c>
      <c r="K484" s="12">
        <v>1.1200000000000001</v>
      </c>
      <c r="L484" s="12">
        <v>0.24</v>
      </c>
      <c r="M484" s="8">
        <v>5</v>
      </c>
      <c r="N484">
        <v>6</v>
      </c>
      <c r="O484" s="12">
        <v>7</v>
      </c>
      <c r="BF484" s="9">
        <v>4.83</v>
      </c>
      <c r="BG484" s="9">
        <f t="shared" si="15"/>
        <v>4.3478260869565216E-2</v>
      </c>
      <c r="BH484" s="9">
        <f t="shared" si="14"/>
        <v>5.6447796509908318E-2</v>
      </c>
      <c r="BQ484" s="8">
        <v>6</v>
      </c>
      <c r="BR484" s="8" t="s">
        <v>1029</v>
      </c>
    </row>
    <row r="485" spans="1:70" x14ac:dyDescent="0.3">
      <c r="A485" s="11" t="s">
        <v>1030</v>
      </c>
      <c r="B485" s="12">
        <v>225500</v>
      </c>
      <c r="C485" s="12">
        <v>753700</v>
      </c>
      <c r="D485" s="12">
        <v>0.14000000000000001</v>
      </c>
      <c r="E485" s="12">
        <v>0.34</v>
      </c>
      <c r="F485" s="12">
        <v>7.0000000000000007E-2</v>
      </c>
      <c r="G485" s="12">
        <v>0.17</v>
      </c>
      <c r="H485" s="12">
        <v>0.43</v>
      </c>
      <c r="I485" s="12">
        <v>0.09</v>
      </c>
      <c r="J485" s="12">
        <v>0.22</v>
      </c>
      <c r="K485" s="12">
        <v>0.56999999999999995</v>
      </c>
      <c r="L485" s="12">
        <v>0.12</v>
      </c>
      <c r="M485" s="8">
        <v>6</v>
      </c>
      <c r="N485">
        <v>8</v>
      </c>
      <c r="O485" s="12">
        <v>10</v>
      </c>
      <c r="BF485" s="9">
        <v>4.84</v>
      </c>
      <c r="BG485" s="9">
        <f t="shared" si="15"/>
        <v>4.3388429752066117E-2</v>
      </c>
      <c r="BH485" s="9">
        <f t="shared" si="14"/>
        <v>5.6331168831168843E-2</v>
      </c>
      <c r="BQ485" s="8">
        <v>6</v>
      </c>
      <c r="BR485" s="8" t="s">
        <v>1031</v>
      </c>
    </row>
    <row r="486" spans="1:70" x14ac:dyDescent="0.3">
      <c r="A486" s="11" t="s">
        <v>1032</v>
      </c>
      <c r="B486" s="12">
        <v>225700</v>
      </c>
      <c r="C486" s="12">
        <v>749200</v>
      </c>
      <c r="D486" s="12">
        <v>0.14000000000000001</v>
      </c>
      <c r="E486" s="12">
        <v>0.35</v>
      </c>
      <c r="F486" s="12">
        <v>7.0000000000000007E-2</v>
      </c>
      <c r="G486" s="12">
        <v>0.17</v>
      </c>
      <c r="H486" s="12">
        <v>0.44</v>
      </c>
      <c r="I486" s="12">
        <v>0.09</v>
      </c>
      <c r="J486" s="12">
        <v>0.22</v>
      </c>
      <c r="K486" s="12">
        <v>0.57999999999999996</v>
      </c>
      <c r="L486" s="12">
        <v>0.12</v>
      </c>
      <c r="M486" s="8">
        <v>6</v>
      </c>
      <c r="N486">
        <v>8</v>
      </c>
      <c r="O486" s="12">
        <v>9</v>
      </c>
      <c r="BF486" s="9">
        <v>4.8499999999999996</v>
      </c>
      <c r="BG486" s="9">
        <f t="shared" si="15"/>
        <v>4.3298969072164947E-2</v>
      </c>
      <c r="BH486" s="9">
        <f t="shared" si="14"/>
        <v>5.6215022091310761E-2</v>
      </c>
      <c r="BQ486" s="8">
        <v>8</v>
      </c>
      <c r="BR486" s="8" t="s">
        <v>1033</v>
      </c>
    </row>
    <row r="487" spans="1:70" x14ac:dyDescent="0.3">
      <c r="A487" s="11" t="s">
        <v>1034</v>
      </c>
      <c r="B487" s="12">
        <v>274600</v>
      </c>
      <c r="C487" s="12">
        <v>760700</v>
      </c>
      <c r="D487" s="12">
        <v>0.17</v>
      </c>
      <c r="E487" s="12">
        <v>0.43</v>
      </c>
      <c r="F487" s="12">
        <v>0.09</v>
      </c>
      <c r="G487" s="12">
        <v>0.22</v>
      </c>
      <c r="H487" s="12">
        <v>0.56000000000000005</v>
      </c>
      <c r="I487" s="12">
        <v>0.12</v>
      </c>
      <c r="J487" s="12">
        <v>0.28000000000000003</v>
      </c>
      <c r="K487" s="12">
        <v>0.76</v>
      </c>
      <c r="L487" s="12">
        <v>0.16</v>
      </c>
      <c r="M487" s="8">
        <v>6</v>
      </c>
      <c r="N487">
        <v>7</v>
      </c>
      <c r="O487" s="12">
        <v>8</v>
      </c>
      <c r="BF487" s="9">
        <v>4.8600000000000003</v>
      </c>
      <c r="BG487" s="9">
        <f t="shared" si="15"/>
        <v>4.3209876543209874E-2</v>
      </c>
      <c r="BH487" s="9">
        <f t="shared" si="14"/>
        <v>5.6099353321575549E-2</v>
      </c>
      <c r="BQ487" s="8">
        <v>6</v>
      </c>
      <c r="BR487" s="8" t="s">
        <v>1035</v>
      </c>
    </row>
    <row r="488" spans="1:70" x14ac:dyDescent="0.3">
      <c r="A488" s="11" t="s">
        <v>1036</v>
      </c>
      <c r="B488" s="12">
        <v>162900</v>
      </c>
      <c r="C488" s="12">
        <v>594800</v>
      </c>
      <c r="D488" s="12">
        <v>0.05</v>
      </c>
      <c r="E488" s="12">
        <v>0.13</v>
      </c>
      <c r="F488" s="12">
        <v>0.04</v>
      </c>
      <c r="G488" s="12">
        <v>7.0000000000000007E-2</v>
      </c>
      <c r="H488" s="12">
        <v>0.17</v>
      </c>
      <c r="I488" s="12">
        <v>0.05</v>
      </c>
      <c r="J488" s="12">
        <v>0.09</v>
      </c>
      <c r="K488" s="12">
        <v>0.23</v>
      </c>
      <c r="L488" s="12">
        <v>0.06</v>
      </c>
      <c r="M488" s="8">
        <v>8</v>
      </c>
      <c r="N488">
        <v>10</v>
      </c>
      <c r="O488" s="12">
        <v>13</v>
      </c>
      <c r="BF488" s="9">
        <v>4.87</v>
      </c>
      <c r="BG488" s="9">
        <f t="shared" si="15"/>
        <v>4.3121149897330596E-2</v>
      </c>
      <c r="BH488" s="9">
        <f t="shared" si="14"/>
        <v>5.5984159577588746E-2</v>
      </c>
      <c r="BQ488" s="8">
        <v>7</v>
      </c>
      <c r="BR488" s="8" t="s">
        <v>1037</v>
      </c>
    </row>
    <row r="489" spans="1:70" x14ac:dyDescent="0.3">
      <c r="A489" s="11" t="s">
        <v>1038</v>
      </c>
      <c r="B489" s="12">
        <v>230300</v>
      </c>
      <c r="C489" s="12">
        <v>718700</v>
      </c>
      <c r="D489" s="12">
        <v>0.16</v>
      </c>
      <c r="E489" s="12">
        <v>0.41</v>
      </c>
      <c r="F489" s="12">
        <v>0.08</v>
      </c>
      <c r="G489" s="12">
        <v>0.22</v>
      </c>
      <c r="H489" s="12">
        <v>0.55000000000000004</v>
      </c>
      <c r="I489" s="12">
        <v>0.11</v>
      </c>
      <c r="J489" s="12">
        <v>0.3</v>
      </c>
      <c r="K489" s="12">
        <v>0.77</v>
      </c>
      <c r="L489" s="12">
        <v>0.16</v>
      </c>
      <c r="M489" s="8">
        <v>6</v>
      </c>
      <c r="N489">
        <v>7</v>
      </c>
      <c r="O489" s="12">
        <v>8</v>
      </c>
      <c r="BF489" s="9">
        <v>4.88</v>
      </c>
      <c r="BG489" s="9">
        <f t="shared" si="15"/>
        <v>4.3032786885245901E-2</v>
      </c>
      <c r="BH489" s="9">
        <f t="shared" si="14"/>
        <v>5.5869437939110082E-2</v>
      </c>
      <c r="BQ489" s="8">
        <v>5</v>
      </c>
      <c r="BR489" s="8" t="s">
        <v>1039</v>
      </c>
    </row>
    <row r="490" spans="1:70" x14ac:dyDescent="0.3">
      <c r="A490" s="11" t="s">
        <v>1040</v>
      </c>
      <c r="B490" s="12">
        <v>221000</v>
      </c>
      <c r="C490" s="12">
        <v>766800</v>
      </c>
      <c r="D490" s="12">
        <v>0.13</v>
      </c>
      <c r="E490" s="12">
        <v>0.32</v>
      </c>
      <c r="F490" s="12">
        <v>7.0000000000000007E-2</v>
      </c>
      <c r="G490" s="12">
        <v>0.16</v>
      </c>
      <c r="H490" s="12">
        <v>0.4</v>
      </c>
      <c r="I490" s="12">
        <v>0.08</v>
      </c>
      <c r="J490" s="12">
        <v>0.21</v>
      </c>
      <c r="K490" s="12">
        <v>0.53</v>
      </c>
      <c r="L490" s="12">
        <v>0.11</v>
      </c>
      <c r="M490" s="8">
        <v>7</v>
      </c>
      <c r="N490">
        <v>8</v>
      </c>
      <c r="O490" s="12">
        <v>10</v>
      </c>
      <c r="BF490" s="9">
        <v>4.8899999999999997</v>
      </c>
      <c r="BG490" s="9">
        <f t="shared" si="15"/>
        <v>4.2944785276073622E-2</v>
      </c>
      <c r="BH490" s="9">
        <f t="shared" si="14"/>
        <v>5.5755185509786746E-2</v>
      </c>
      <c r="BQ490" s="8">
        <v>5</v>
      </c>
      <c r="BR490" s="8" t="s">
        <v>1041</v>
      </c>
    </row>
    <row r="491" spans="1:70" x14ac:dyDescent="0.3">
      <c r="A491" s="11" t="s">
        <v>1042</v>
      </c>
      <c r="B491" s="12">
        <v>205300</v>
      </c>
      <c r="C491" s="12">
        <v>422900</v>
      </c>
      <c r="D491" s="12">
        <v>0.18</v>
      </c>
      <c r="E491" s="12">
        <v>0.44</v>
      </c>
      <c r="F491" s="12">
        <v>0.08</v>
      </c>
      <c r="G491" s="12">
        <v>0.25</v>
      </c>
      <c r="H491" s="12">
        <v>0.62</v>
      </c>
      <c r="I491" s="12">
        <v>0.12</v>
      </c>
      <c r="J491" s="12">
        <v>0.36</v>
      </c>
      <c r="K491" s="12">
        <v>0.91</v>
      </c>
      <c r="L491" s="12">
        <v>0.18</v>
      </c>
      <c r="M491" s="8">
        <v>5</v>
      </c>
      <c r="N491">
        <v>5</v>
      </c>
      <c r="O491" s="12">
        <v>6</v>
      </c>
      <c r="BF491" s="9">
        <v>4.9000000000000004</v>
      </c>
      <c r="BG491" s="9">
        <f t="shared" si="15"/>
        <v>4.2857142857142851E-2</v>
      </c>
      <c r="BH491" s="9">
        <f t="shared" si="14"/>
        <v>5.5641399416909626E-2</v>
      </c>
      <c r="BQ491" s="8">
        <v>8</v>
      </c>
      <c r="BR491" s="8" t="s">
        <v>1043</v>
      </c>
    </row>
    <row r="492" spans="1:70" x14ac:dyDescent="0.3">
      <c r="A492" s="11" t="s">
        <v>1044</v>
      </c>
      <c r="B492" s="12">
        <v>240100</v>
      </c>
      <c r="C492" s="12">
        <v>650500</v>
      </c>
      <c r="D492" s="12">
        <v>0.21</v>
      </c>
      <c r="E492" s="12">
        <v>0.53</v>
      </c>
      <c r="F492" s="12">
        <v>0.1</v>
      </c>
      <c r="G492" s="12">
        <v>0.28000000000000003</v>
      </c>
      <c r="H492" s="12">
        <v>0.71</v>
      </c>
      <c r="I492" s="12">
        <v>0.14000000000000001</v>
      </c>
      <c r="J492" s="12">
        <v>0.38</v>
      </c>
      <c r="K492" s="12">
        <v>0.97</v>
      </c>
      <c r="L492" s="12">
        <v>0.2</v>
      </c>
      <c r="M492" s="8">
        <v>5</v>
      </c>
      <c r="N492">
        <v>6</v>
      </c>
      <c r="O492" s="12">
        <v>7</v>
      </c>
      <c r="BF492" s="9">
        <v>4.91</v>
      </c>
      <c r="BG492" s="9">
        <f t="shared" si="15"/>
        <v>4.2769857433808553E-2</v>
      </c>
      <c r="BH492" s="9">
        <f t="shared" si="14"/>
        <v>5.5528076811172541E-2</v>
      </c>
      <c r="BQ492" s="8">
        <v>5</v>
      </c>
      <c r="BR492" s="8" t="s">
        <v>1045</v>
      </c>
    </row>
    <row r="493" spans="1:70" x14ac:dyDescent="0.3">
      <c r="A493" s="11" t="s">
        <v>1046</v>
      </c>
      <c r="B493" s="12">
        <v>162000</v>
      </c>
      <c r="C493" s="12">
        <v>599100</v>
      </c>
      <c r="D493" s="12">
        <v>0.06</v>
      </c>
      <c r="E493" s="12">
        <v>0.13</v>
      </c>
      <c r="F493" s="12">
        <v>0.04</v>
      </c>
      <c r="G493" s="12">
        <v>7.0000000000000007E-2</v>
      </c>
      <c r="H493" s="12">
        <v>0.17</v>
      </c>
      <c r="I493" s="12">
        <v>0.05</v>
      </c>
      <c r="J493" s="12">
        <v>0.1</v>
      </c>
      <c r="K493" s="12">
        <v>0.24</v>
      </c>
      <c r="L493" s="12">
        <v>0.06</v>
      </c>
      <c r="M493" s="8">
        <v>8</v>
      </c>
      <c r="N493">
        <v>10</v>
      </c>
      <c r="O493" s="12">
        <v>13</v>
      </c>
      <c r="BF493" s="9">
        <v>4.92</v>
      </c>
      <c r="BG493" s="9">
        <f t="shared" si="15"/>
        <v>4.2682926829268289E-2</v>
      </c>
      <c r="BH493" s="9">
        <f t="shared" si="14"/>
        <v>5.5415214866434387E-2</v>
      </c>
      <c r="BQ493" s="8">
        <v>8</v>
      </c>
      <c r="BR493" s="8" t="s">
        <v>1047</v>
      </c>
    </row>
    <row r="494" spans="1:70" x14ac:dyDescent="0.3">
      <c r="A494" s="11" t="s">
        <v>1048</v>
      </c>
      <c r="B494" s="12">
        <v>234400</v>
      </c>
      <c r="C494" s="12">
        <v>567300</v>
      </c>
      <c r="D494" s="12">
        <v>0.2</v>
      </c>
      <c r="E494" s="12">
        <v>0.49</v>
      </c>
      <c r="F494" s="12">
        <v>0.09</v>
      </c>
      <c r="G494" s="12">
        <v>0.27</v>
      </c>
      <c r="H494" s="12">
        <v>0.67</v>
      </c>
      <c r="I494" s="12">
        <v>0.13</v>
      </c>
      <c r="J494" s="12">
        <v>0.37</v>
      </c>
      <c r="K494" s="12">
        <v>0.95</v>
      </c>
      <c r="L494" s="12">
        <v>0.19</v>
      </c>
      <c r="M494" s="8">
        <v>5</v>
      </c>
      <c r="N494">
        <v>5</v>
      </c>
      <c r="O494" s="12">
        <v>6</v>
      </c>
      <c r="BF494" s="9">
        <v>4.93</v>
      </c>
      <c r="BG494" s="9">
        <f t="shared" si="15"/>
        <v>4.2596348884381338E-2</v>
      </c>
      <c r="BH494" s="9">
        <f t="shared" si="14"/>
        <v>5.5302810779484221E-2</v>
      </c>
      <c r="BQ494" s="8">
        <v>8</v>
      </c>
      <c r="BR494" s="8" t="s">
        <v>1049</v>
      </c>
    </row>
    <row r="495" spans="1:70" x14ac:dyDescent="0.3">
      <c r="A495" s="11" t="s">
        <v>1050</v>
      </c>
      <c r="B495" s="12">
        <v>195200</v>
      </c>
      <c r="C495" s="12">
        <v>690200</v>
      </c>
      <c r="D495" s="12">
        <v>7.0000000000000007E-2</v>
      </c>
      <c r="E495" s="12">
        <v>0.17</v>
      </c>
      <c r="F495" s="12">
        <v>0.05</v>
      </c>
      <c r="G495" s="12">
        <v>0.09</v>
      </c>
      <c r="H495" s="12">
        <v>0.22</v>
      </c>
      <c r="I495" s="12">
        <v>0.06</v>
      </c>
      <c r="J495" s="12">
        <v>0.11</v>
      </c>
      <c r="K495" s="12">
        <v>0.28000000000000003</v>
      </c>
      <c r="L495" s="12">
        <v>0.08</v>
      </c>
      <c r="M495" s="8">
        <v>8</v>
      </c>
      <c r="N495">
        <v>9</v>
      </c>
      <c r="O495" s="12">
        <v>12</v>
      </c>
      <c r="BF495" s="9">
        <v>4.9400000000000004</v>
      </c>
      <c r="BG495" s="9">
        <f t="shared" si="15"/>
        <v>4.251012145748987E-2</v>
      </c>
      <c r="BH495" s="9">
        <f t="shared" si="14"/>
        <v>5.5190861769809141E-2</v>
      </c>
      <c r="BQ495" s="8">
        <v>5</v>
      </c>
      <c r="BR495" s="8" t="s">
        <v>1051</v>
      </c>
    </row>
    <row r="496" spans="1:70" x14ac:dyDescent="0.3">
      <c r="A496" s="11" t="s">
        <v>1052</v>
      </c>
      <c r="B496" s="12">
        <v>179900</v>
      </c>
      <c r="C496" s="12">
        <v>627800</v>
      </c>
      <c r="D496" s="12">
        <v>0.06</v>
      </c>
      <c r="E496" s="12">
        <v>0.16</v>
      </c>
      <c r="F496" s="12">
        <v>0.04</v>
      </c>
      <c r="G496" s="12">
        <v>0.08</v>
      </c>
      <c r="H496" s="12">
        <v>0.2</v>
      </c>
      <c r="I496" s="12">
        <v>0.05</v>
      </c>
      <c r="J496" s="12">
        <v>0.11</v>
      </c>
      <c r="K496" s="12">
        <v>0.28000000000000003</v>
      </c>
      <c r="L496" s="12">
        <v>7.0000000000000007E-2</v>
      </c>
      <c r="M496" s="8">
        <v>8</v>
      </c>
      <c r="N496">
        <v>10</v>
      </c>
      <c r="O496" s="12">
        <v>12</v>
      </c>
      <c r="BF496" s="9">
        <v>4.95</v>
      </c>
      <c r="BG496" s="9">
        <f t="shared" si="15"/>
        <v>4.242424242424242E-2</v>
      </c>
      <c r="BH496" s="9">
        <f t="shared" si="14"/>
        <v>5.5079365079365089E-2</v>
      </c>
      <c r="BQ496" s="8">
        <v>8</v>
      </c>
      <c r="BR496" s="8" t="s">
        <v>1053</v>
      </c>
    </row>
    <row r="497" spans="1:70" x14ac:dyDescent="0.3">
      <c r="A497" s="11" t="s">
        <v>1054</v>
      </c>
      <c r="B497" s="12">
        <v>257300</v>
      </c>
      <c r="C497" s="12">
        <v>773600</v>
      </c>
      <c r="D497" s="12">
        <v>0.28000000000000003</v>
      </c>
      <c r="E497" s="12">
        <v>0.68</v>
      </c>
      <c r="F497" s="12">
        <v>0.13</v>
      </c>
      <c r="G497" s="12">
        <v>0.36</v>
      </c>
      <c r="H497" s="12">
        <v>0.9</v>
      </c>
      <c r="I497" s="12">
        <v>0.18</v>
      </c>
      <c r="J497" s="12">
        <v>0.49</v>
      </c>
      <c r="K497" s="12">
        <v>1.24</v>
      </c>
      <c r="L497" s="12">
        <v>0.26</v>
      </c>
      <c r="M497" s="8">
        <v>5</v>
      </c>
      <c r="N497">
        <v>5</v>
      </c>
      <c r="O497" s="12">
        <v>6</v>
      </c>
      <c r="BF497" s="9">
        <v>4.96</v>
      </c>
      <c r="BG497" s="9">
        <f t="shared" si="15"/>
        <v>4.2338709677419352E-2</v>
      </c>
      <c r="BH497" s="9">
        <f t="shared" si="14"/>
        <v>5.4968317972350238E-2</v>
      </c>
      <c r="BQ497" s="8">
        <v>6</v>
      </c>
      <c r="BR497" s="8" t="s">
        <v>1055</v>
      </c>
    </row>
    <row r="498" spans="1:70" x14ac:dyDescent="0.3">
      <c r="A498" s="11" t="s">
        <v>1056</v>
      </c>
      <c r="B498" s="12">
        <v>187400</v>
      </c>
      <c r="C498" s="12">
        <v>635800</v>
      </c>
      <c r="D498" s="12">
        <v>0.06</v>
      </c>
      <c r="E498" s="12">
        <v>0.15</v>
      </c>
      <c r="F498" s="12">
        <v>0.04</v>
      </c>
      <c r="G498" s="12">
        <v>0.08</v>
      </c>
      <c r="H498" s="12">
        <v>0.19</v>
      </c>
      <c r="I498" s="12">
        <v>0.05</v>
      </c>
      <c r="J498" s="12">
        <v>0.1</v>
      </c>
      <c r="K498" s="12">
        <v>0.25</v>
      </c>
      <c r="L498" s="12">
        <v>7.0000000000000007E-2</v>
      </c>
      <c r="M498" s="8">
        <v>8</v>
      </c>
      <c r="N498">
        <v>10</v>
      </c>
      <c r="O498" s="12">
        <v>12</v>
      </c>
      <c r="BF498" s="9">
        <v>4.97</v>
      </c>
      <c r="BG498" s="9">
        <f t="shared" si="15"/>
        <v>4.2253521126760563E-2</v>
      </c>
      <c r="BH498" s="9">
        <f t="shared" si="14"/>
        <v>5.4857717734981326E-2</v>
      </c>
      <c r="BQ498" s="8">
        <v>6</v>
      </c>
      <c r="BR498" s="8" t="s">
        <v>1057</v>
      </c>
    </row>
    <row r="499" spans="1:70" x14ac:dyDescent="0.3">
      <c r="A499" s="11" t="s">
        <v>1058</v>
      </c>
      <c r="B499" s="12">
        <v>215900</v>
      </c>
      <c r="C499" s="12">
        <v>756100</v>
      </c>
      <c r="D499" s="12">
        <v>0.13</v>
      </c>
      <c r="E499" s="12">
        <v>0.33</v>
      </c>
      <c r="F499" s="12">
        <v>7.0000000000000007E-2</v>
      </c>
      <c r="G499" s="12">
        <v>0.17</v>
      </c>
      <c r="H499" s="12">
        <v>0.43</v>
      </c>
      <c r="I499" s="12">
        <v>0.09</v>
      </c>
      <c r="J499" s="12">
        <v>0.23</v>
      </c>
      <c r="K499" s="12">
        <v>0.57999999999999996</v>
      </c>
      <c r="L499" s="12">
        <v>0.12</v>
      </c>
      <c r="M499" s="8">
        <v>6</v>
      </c>
      <c r="N499">
        <v>8</v>
      </c>
      <c r="O499" s="12">
        <v>9</v>
      </c>
      <c r="BF499" s="9">
        <v>4.9800000000000004</v>
      </c>
      <c r="BG499" s="9">
        <f t="shared" si="15"/>
        <v>4.2168674698795178E-2</v>
      </c>
      <c r="BH499" s="9">
        <f t="shared" si="14"/>
        <v>5.4747561675272526E-2</v>
      </c>
      <c r="BQ499" s="8">
        <v>6</v>
      </c>
      <c r="BR499" s="8" t="s">
        <v>1059</v>
      </c>
    </row>
    <row r="500" spans="1:70" x14ac:dyDescent="0.3">
      <c r="A500" s="11" t="s">
        <v>1060</v>
      </c>
      <c r="B500" s="12">
        <v>223000</v>
      </c>
      <c r="C500" s="12">
        <v>753600</v>
      </c>
      <c r="D500" s="12">
        <v>0.13</v>
      </c>
      <c r="E500" s="12">
        <v>0.34</v>
      </c>
      <c r="F500" s="12">
        <v>7.0000000000000007E-2</v>
      </c>
      <c r="G500" s="12">
        <v>0.17</v>
      </c>
      <c r="H500" s="12">
        <v>0.43</v>
      </c>
      <c r="I500" s="12">
        <v>0.09</v>
      </c>
      <c r="J500" s="12">
        <v>0.22</v>
      </c>
      <c r="K500" s="12">
        <v>0.57999999999999996</v>
      </c>
      <c r="L500" s="12">
        <v>0.12</v>
      </c>
      <c r="M500" s="8">
        <v>6</v>
      </c>
      <c r="N500">
        <v>8</v>
      </c>
      <c r="O500" s="12">
        <v>10</v>
      </c>
      <c r="BF500" s="9">
        <v>4.99</v>
      </c>
      <c r="BG500" s="9">
        <f t="shared" si="15"/>
        <v>4.208416833667334E-2</v>
      </c>
      <c r="BH500" s="9">
        <f t="shared" si="14"/>
        <v>5.4637847122817072E-2</v>
      </c>
      <c r="BQ500" s="8">
        <v>8</v>
      </c>
      <c r="BR500" s="8" t="s">
        <v>1061</v>
      </c>
    </row>
    <row r="501" spans="1:70" x14ac:dyDescent="0.3">
      <c r="A501" s="11" t="s">
        <v>1062</v>
      </c>
      <c r="B501" s="12">
        <v>229100</v>
      </c>
      <c r="C501" s="12">
        <v>717500</v>
      </c>
      <c r="D501" s="12">
        <v>0.16</v>
      </c>
      <c r="E501" s="12">
        <v>0.4</v>
      </c>
      <c r="F501" s="12">
        <v>0.08</v>
      </c>
      <c r="G501" s="12">
        <v>0.22</v>
      </c>
      <c r="H501" s="12">
        <v>0.54</v>
      </c>
      <c r="I501" s="12">
        <v>0.11</v>
      </c>
      <c r="J501" s="12">
        <v>0.3</v>
      </c>
      <c r="K501" s="12">
        <v>0.76</v>
      </c>
      <c r="L501" s="12">
        <v>0.16</v>
      </c>
      <c r="M501" s="8">
        <v>6</v>
      </c>
      <c r="N501">
        <v>7</v>
      </c>
      <c r="O501" s="12">
        <v>8</v>
      </c>
      <c r="BF501" s="9">
        <v>5</v>
      </c>
      <c r="BG501" s="9">
        <f t="shared" si="15"/>
        <v>4.1999999999999996E-2</v>
      </c>
      <c r="BH501" s="9">
        <f t="shared" si="14"/>
        <v>5.452857142857144E-2</v>
      </c>
      <c r="BQ501" s="8">
        <v>7</v>
      </c>
      <c r="BR501" s="8" t="s">
        <v>1063</v>
      </c>
    </row>
    <row r="502" spans="1:70" x14ac:dyDescent="0.3">
      <c r="A502" s="11" t="s">
        <v>1064</v>
      </c>
      <c r="B502" s="12">
        <v>196900</v>
      </c>
      <c r="C502" s="12">
        <v>686000</v>
      </c>
      <c r="D502" s="12">
        <v>7.0000000000000007E-2</v>
      </c>
      <c r="E502" s="12">
        <v>0.17</v>
      </c>
      <c r="F502" s="12">
        <v>0.05</v>
      </c>
      <c r="G502" s="12">
        <v>0.09</v>
      </c>
      <c r="H502" s="12">
        <v>0.22</v>
      </c>
      <c r="I502" s="12">
        <v>0.06</v>
      </c>
      <c r="J502" s="12">
        <v>0.11</v>
      </c>
      <c r="K502" s="12">
        <v>0.28000000000000003</v>
      </c>
      <c r="L502" s="12">
        <v>0.08</v>
      </c>
      <c r="M502" s="8">
        <v>8</v>
      </c>
      <c r="N502">
        <v>9</v>
      </c>
      <c r="O502" s="12">
        <v>12</v>
      </c>
      <c r="BF502" s="9">
        <v>5.01</v>
      </c>
      <c r="BG502" s="9">
        <f t="shared" si="15"/>
        <v>4.1916167664670656E-2</v>
      </c>
      <c r="BH502" s="9">
        <f t="shared" si="14"/>
        <v>5.4419731964642157E-2</v>
      </c>
      <c r="BQ502" s="8">
        <v>6</v>
      </c>
      <c r="BR502" s="8" t="s">
        <v>1065</v>
      </c>
    </row>
    <row r="503" spans="1:70" x14ac:dyDescent="0.3">
      <c r="A503" s="11" t="s">
        <v>1066</v>
      </c>
      <c r="B503" s="12">
        <v>218000</v>
      </c>
      <c r="C503" s="12">
        <v>774700</v>
      </c>
      <c r="D503" s="12">
        <v>0.12</v>
      </c>
      <c r="E503" s="12">
        <v>0.28999999999999998</v>
      </c>
      <c r="F503" s="12">
        <v>0.06</v>
      </c>
      <c r="G503" s="12">
        <v>0.15</v>
      </c>
      <c r="H503" s="12">
        <v>0.37</v>
      </c>
      <c r="I503" s="12">
        <v>0.08</v>
      </c>
      <c r="J503" s="12">
        <v>0.19</v>
      </c>
      <c r="K503" s="12">
        <v>0.5</v>
      </c>
      <c r="L503" s="12">
        <v>0.11</v>
      </c>
      <c r="M503" s="8">
        <v>7</v>
      </c>
      <c r="N503">
        <v>8</v>
      </c>
      <c r="O503" s="12">
        <v>10</v>
      </c>
      <c r="BF503" s="9">
        <v>5.0199999999999996</v>
      </c>
      <c r="BG503" s="9">
        <f t="shared" si="15"/>
        <v>4.1832669322709168E-2</v>
      </c>
      <c r="BH503" s="9">
        <f t="shared" si="14"/>
        <v>5.4311326124075139E-2</v>
      </c>
      <c r="BQ503" s="8">
        <v>5</v>
      </c>
      <c r="BR503" s="8" t="s">
        <v>1067</v>
      </c>
    </row>
    <row r="504" spans="1:70" x14ac:dyDescent="0.3">
      <c r="A504" s="11" t="s">
        <v>1068</v>
      </c>
      <c r="B504" s="12">
        <v>226100</v>
      </c>
      <c r="C504" s="12">
        <v>732500</v>
      </c>
      <c r="D504" s="12">
        <v>0.15</v>
      </c>
      <c r="E504" s="12">
        <v>0.38</v>
      </c>
      <c r="F504" s="12">
        <v>0.08</v>
      </c>
      <c r="G504" s="12">
        <v>0.2</v>
      </c>
      <c r="H504" s="12">
        <v>0.5</v>
      </c>
      <c r="I504" s="12">
        <v>0.1</v>
      </c>
      <c r="J504" s="12">
        <v>0.27</v>
      </c>
      <c r="K504" s="12">
        <v>0.69</v>
      </c>
      <c r="L504" s="12">
        <v>0.14000000000000001</v>
      </c>
      <c r="M504" s="8">
        <v>6</v>
      </c>
      <c r="N504">
        <v>7</v>
      </c>
      <c r="O504" s="12">
        <v>8</v>
      </c>
      <c r="BF504" s="9">
        <v>5.03</v>
      </c>
      <c r="BG504" s="9">
        <f t="shared" si="15"/>
        <v>4.1749502982107355E-2</v>
      </c>
      <c r="BH504" s="9">
        <f t="shared" si="14"/>
        <v>5.4203351320647547E-2</v>
      </c>
      <c r="BQ504" s="8">
        <v>6</v>
      </c>
      <c r="BR504" s="8" t="s">
        <v>1069</v>
      </c>
    </row>
    <row r="505" spans="1:70" x14ac:dyDescent="0.3">
      <c r="A505" s="11" t="s">
        <v>1070</v>
      </c>
      <c r="B505" s="12">
        <v>244900</v>
      </c>
      <c r="C505" s="12">
        <v>663200</v>
      </c>
      <c r="D505" s="12">
        <v>0.24</v>
      </c>
      <c r="E505" s="12">
        <v>0.6</v>
      </c>
      <c r="F505" s="12">
        <v>0.11</v>
      </c>
      <c r="G505" s="12">
        <v>0.31</v>
      </c>
      <c r="H505" s="12">
        <v>0.79</v>
      </c>
      <c r="I505" s="12">
        <v>0.15</v>
      </c>
      <c r="J505" s="12">
        <v>0.42</v>
      </c>
      <c r="K505" s="12">
        <v>1.08</v>
      </c>
      <c r="L505" s="12">
        <v>0.22</v>
      </c>
      <c r="M505" s="8">
        <v>5</v>
      </c>
      <c r="N505">
        <v>5</v>
      </c>
      <c r="O505" s="12">
        <v>6</v>
      </c>
      <c r="BF505" s="9">
        <v>5.04</v>
      </c>
      <c r="BG505" s="9">
        <f t="shared" si="15"/>
        <v>4.1666666666666664E-2</v>
      </c>
      <c r="BH505" s="9">
        <f t="shared" si="14"/>
        <v>5.4095804988662143E-2</v>
      </c>
      <c r="BQ505" s="8">
        <v>5</v>
      </c>
      <c r="BR505" s="8" t="s">
        <v>1071</v>
      </c>
    </row>
    <row r="506" spans="1:70" x14ac:dyDescent="0.3">
      <c r="A506" s="11" t="s">
        <v>1072</v>
      </c>
      <c r="B506" s="12">
        <v>221300</v>
      </c>
      <c r="C506" s="12">
        <v>731500</v>
      </c>
      <c r="D506" s="12">
        <v>0.15</v>
      </c>
      <c r="E506" s="12">
        <v>0.37</v>
      </c>
      <c r="F506" s="12">
        <v>7.0000000000000007E-2</v>
      </c>
      <c r="G506" s="12">
        <v>0.2</v>
      </c>
      <c r="H506" s="12">
        <v>0.5</v>
      </c>
      <c r="I506" s="12">
        <v>0.1</v>
      </c>
      <c r="J506" s="12">
        <v>0.28999999999999998</v>
      </c>
      <c r="K506" s="12">
        <v>0.72</v>
      </c>
      <c r="L506" s="12">
        <v>0.14000000000000001</v>
      </c>
      <c r="M506" s="8">
        <v>6</v>
      </c>
      <c r="N506">
        <v>7</v>
      </c>
      <c r="O506" s="12">
        <v>8</v>
      </c>
      <c r="BF506" s="9">
        <v>5.05</v>
      </c>
      <c r="BG506" s="9">
        <f t="shared" si="15"/>
        <v>4.1584158415841586E-2</v>
      </c>
      <c r="BH506" s="9">
        <f t="shared" si="14"/>
        <v>5.3988684582744001E-2</v>
      </c>
      <c r="BQ506" s="8">
        <v>6</v>
      </c>
      <c r="BR506" s="8" t="s">
        <v>1073</v>
      </c>
    </row>
    <row r="507" spans="1:70" x14ac:dyDescent="0.3">
      <c r="A507" s="11" t="s">
        <v>1074</v>
      </c>
      <c r="B507" s="12">
        <v>251900</v>
      </c>
      <c r="C507" s="12">
        <v>781600</v>
      </c>
      <c r="D507" s="12">
        <v>0.25</v>
      </c>
      <c r="E507" s="12">
        <v>0.62</v>
      </c>
      <c r="F507" s="12">
        <v>0.12</v>
      </c>
      <c r="G507" s="12">
        <v>0.33</v>
      </c>
      <c r="H507" s="12">
        <v>0.83</v>
      </c>
      <c r="I507" s="12">
        <v>0.16</v>
      </c>
      <c r="J507" s="12">
        <v>0.45</v>
      </c>
      <c r="K507" s="12">
        <v>1.1499999999999999</v>
      </c>
      <c r="L507" s="12">
        <v>0.24</v>
      </c>
      <c r="M507" s="8">
        <v>5</v>
      </c>
      <c r="N507">
        <v>6</v>
      </c>
      <c r="O507" s="12">
        <v>7</v>
      </c>
      <c r="BF507" s="9">
        <v>5.0599999999999996</v>
      </c>
      <c r="BG507" s="9">
        <f t="shared" si="15"/>
        <v>4.1501976284584984E-2</v>
      </c>
      <c r="BH507" s="9">
        <f t="shared" si="14"/>
        <v>5.3881987577639762E-2</v>
      </c>
      <c r="BQ507" s="8">
        <v>8</v>
      </c>
      <c r="BR507" s="8" t="s">
        <v>1075</v>
      </c>
    </row>
    <row r="508" spans="1:70" x14ac:dyDescent="0.3">
      <c r="A508" s="11" t="s">
        <v>1076</v>
      </c>
      <c r="B508" s="12">
        <v>222500</v>
      </c>
      <c r="C508" s="12">
        <v>674900</v>
      </c>
      <c r="D508" s="12">
        <v>0.12</v>
      </c>
      <c r="E508" s="12">
        <v>0.3</v>
      </c>
      <c r="F508" s="12">
        <v>7.0000000000000007E-2</v>
      </c>
      <c r="G508" s="12">
        <v>0.15</v>
      </c>
      <c r="H508" s="12">
        <v>0.39</v>
      </c>
      <c r="I508" s="12">
        <v>0.09</v>
      </c>
      <c r="J508" s="12">
        <v>0.2</v>
      </c>
      <c r="K508" s="12">
        <v>0.52</v>
      </c>
      <c r="L508" s="12">
        <v>0.12</v>
      </c>
      <c r="M508" s="8">
        <v>6</v>
      </c>
      <c r="N508">
        <v>7</v>
      </c>
      <c r="O508" s="12">
        <v>9</v>
      </c>
      <c r="BF508" s="9">
        <v>5.07</v>
      </c>
      <c r="BG508" s="9">
        <f t="shared" si="15"/>
        <v>4.1420118343195263E-2</v>
      </c>
      <c r="BH508" s="9">
        <f t="shared" si="14"/>
        <v>5.3775711468019169E-2</v>
      </c>
      <c r="BQ508" s="8">
        <v>8</v>
      </c>
      <c r="BR508" s="8" t="s">
        <v>1077</v>
      </c>
    </row>
    <row r="509" spans="1:70" x14ac:dyDescent="0.3">
      <c r="A509" s="11" t="s">
        <v>1078</v>
      </c>
      <c r="B509" s="12">
        <v>186700</v>
      </c>
      <c r="C509" s="12">
        <v>640900</v>
      </c>
      <c r="D509" s="12">
        <v>0.06</v>
      </c>
      <c r="E509" s="12">
        <v>0.15</v>
      </c>
      <c r="F509" s="12">
        <v>0.04</v>
      </c>
      <c r="G509" s="12">
        <v>7.0000000000000007E-2</v>
      </c>
      <c r="H509" s="12">
        <v>0.18</v>
      </c>
      <c r="I509" s="12">
        <v>0.05</v>
      </c>
      <c r="J509" s="12">
        <v>0.09</v>
      </c>
      <c r="K509" s="12">
        <v>0.24</v>
      </c>
      <c r="L509" s="12">
        <v>7.0000000000000007E-2</v>
      </c>
      <c r="M509" s="8">
        <v>8</v>
      </c>
      <c r="N509">
        <v>10</v>
      </c>
      <c r="O509" s="12">
        <v>12</v>
      </c>
      <c r="BF509" s="9">
        <v>5.08</v>
      </c>
      <c r="BG509" s="9">
        <f t="shared" si="15"/>
        <v>4.133858267716535E-2</v>
      </c>
      <c r="BH509" s="9">
        <f t="shared" si="14"/>
        <v>5.3669853768278972E-2</v>
      </c>
      <c r="BQ509" s="8">
        <v>7</v>
      </c>
      <c r="BR509" s="8" t="s">
        <v>1079</v>
      </c>
    </row>
    <row r="510" spans="1:70" x14ac:dyDescent="0.3">
      <c r="A510" s="11" t="s">
        <v>1080</v>
      </c>
      <c r="B510" s="12">
        <v>185300</v>
      </c>
      <c r="C510" s="12">
        <v>684000</v>
      </c>
      <c r="D510" s="12">
        <v>0.06</v>
      </c>
      <c r="E510" s="12">
        <v>0.15</v>
      </c>
      <c r="F510" s="12">
        <v>0.04</v>
      </c>
      <c r="G510" s="12">
        <v>0.08</v>
      </c>
      <c r="H510" s="12">
        <v>0.19</v>
      </c>
      <c r="I510" s="12">
        <v>0.06</v>
      </c>
      <c r="J510" s="12">
        <v>0.1</v>
      </c>
      <c r="K510" s="12">
        <v>0.26</v>
      </c>
      <c r="L510" s="12">
        <v>0.08</v>
      </c>
      <c r="M510" s="8">
        <v>8</v>
      </c>
      <c r="N510">
        <v>10</v>
      </c>
      <c r="O510" s="12">
        <v>12</v>
      </c>
      <c r="BF510" s="9">
        <v>5.09</v>
      </c>
      <c r="BG510" s="9">
        <f t="shared" si="15"/>
        <v>4.1257367387033402E-2</v>
      </c>
      <c r="BH510" s="9">
        <f t="shared" si="14"/>
        <v>5.3564412012349155E-2</v>
      </c>
      <c r="BQ510" s="8">
        <v>6</v>
      </c>
      <c r="BR510" s="8" t="s">
        <v>1081</v>
      </c>
    </row>
    <row r="511" spans="1:70" x14ac:dyDescent="0.3">
      <c r="A511" s="11" t="s">
        <v>1082</v>
      </c>
      <c r="B511" s="12">
        <v>211100</v>
      </c>
      <c r="C511" s="12">
        <v>673200</v>
      </c>
      <c r="D511" s="12">
        <v>0.09</v>
      </c>
      <c r="E511" s="12">
        <v>0.22</v>
      </c>
      <c r="F511" s="12">
        <v>0.05</v>
      </c>
      <c r="G511" s="12">
        <v>0.11</v>
      </c>
      <c r="H511" s="12">
        <v>0.28000000000000003</v>
      </c>
      <c r="I511" s="12">
        <v>7.0000000000000007E-2</v>
      </c>
      <c r="J511" s="12">
        <v>0.14000000000000001</v>
      </c>
      <c r="K511" s="12">
        <v>0.36</v>
      </c>
      <c r="L511" s="12">
        <v>0.1</v>
      </c>
      <c r="M511" s="8">
        <v>7</v>
      </c>
      <c r="N511">
        <v>9</v>
      </c>
      <c r="O511" s="12">
        <v>10</v>
      </c>
      <c r="BF511" s="9">
        <v>5.0999999999999996</v>
      </c>
      <c r="BG511" s="9">
        <f t="shared" si="15"/>
        <v>4.1176470588235294E-2</v>
      </c>
      <c r="BH511" s="9">
        <f t="shared" si="14"/>
        <v>5.3459383753501413E-2</v>
      </c>
      <c r="BQ511" s="8">
        <v>6</v>
      </c>
      <c r="BR511" s="8" t="s">
        <v>1083</v>
      </c>
    </row>
    <row r="512" spans="1:70" x14ac:dyDescent="0.3">
      <c r="A512" s="11" t="s">
        <v>1084</v>
      </c>
      <c r="B512" s="12">
        <v>211000</v>
      </c>
      <c r="C512" s="12">
        <v>728700</v>
      </c>
      <c r="D512" s="12">
        <v>0.13</v>
      </c>
      <c r="E512" s="12">
        <v>0.33</v>
      </c>
      <c r="F512" s="12">
        <v>7.0000000000000007E-2</v>
      </c>
      <c r="G512" s="12">
        <v>0.19</v>
      </c>
      <c r="H512" s="12">
        <v>0.46</v>
      </c>
      <c r="I512" s="12">
        <v>0.09</v>
      </c>
      <c r="J512" s="12">
        <v>0.28000000000000003</v>
      </c>
      <c r="K512" s="12">
        <v>0.68</v>
      </c>
      <c r="L512" s="12">
        <v>0.13</v>
      </c>
      <c r="M512" s="8">
        <v>6</v>
      </c>
      <c r="N512">
        <v>7</v>
      </c>
      <c r="O512" s="12">
        <v>8</v>
      </c>
      <c r="BF512" s="9">
        <v>5.1100000000000003</v>
      </c>
      <c r="BG512" s="9">
        <f t="shared" si="15"/>
        <v>4.1095890410958902E-2</v>
      </c>
      <c r="BH512" s="9">
        <f t="shared" si="14"/>
        <v>5.3354766564159918E-2</v>
      </c>
      <c r="BQ512" s="8">
        <v>6</v>
      </c>
      <c r="BR512" s="8" t="s">
        <v>1085</v>
      </c>
    </row>
    <row r="513" spans="1:70" x14ac:dyDescent="0.3">
      <c r="A513" s="11" t="s">
        <v>1086</v>
      </c>
      <c r="B513" s="12">
        <v>210600</v>
      </c>
      <c r="C513" s="12">
        <v>729500</v>
      </c>
      <c r="D513" s="12">
        <v>0.14000000000000001</v>
      </c>
      <c r="E513" s="12">
        <v>0.33</v>
      </c>
      <c r="F513" s="12">
        <v>7.0000000000000007E-2</v>
      </c>
      <c r="G513" s="12">
        <v>0.19</v>
      </c>
      <c r="H513" s="12">
        <v>0.47</v>
      </c>
      <c r="I513" s="12">
        <v>0.09</v>
      </c>
      <c r="J513" s="12">
        <v>0.28000000000000003</v>
      </c>
      <c r="K513" s="12">
        <v>0.69</v>
      </c>
      <c r="L513" s="12">
        <v>0.14000000000000001</v>
      </c>
      <c r="M513" s="8">
        <v>6</v>
      </c>
      <c r="N513">
        <v>7</v>
      </c>
      <c r="O513" s="12">
        <v>8</v>
      </c>
      <c r="BF513" s="9">
        <v>5.12</v>
      </c>
      <c r="BG513" s="9">
        <f t="shared" si="15"/>
        <v>4.1015625E-2</v>
      </c>
      <c r="BH513" s="9">
        <f t="shared" si="14"/>
        <v>5.3250558035714296E-2</v>
      </c>
      <c r="BQ513" s="8">
        <v>5</v>
      </c>
      <c r="BR513" s="8" t="s">
        <v>1087</v>
      </c>
    </row>
    <row r="514" spans="1:70" x14ac:dyDescent="0.3">
      <c r="A514" s="11" t="s">
        <v>1088</v>
      </c>
      <c r="B514" s="12">
        <v>242700</v>
      </c>
      <c r="C514" s="12">
        <v>775800</v>
      </c>
      <c r="D514" s="12">
        <v>0.18</v>
      </c>
      <c r="E514" s="12">
        <v>0.47</v>
      </c>
      <c r="F514" s="12">
        <v>0.09</v>
      </c>
      <c r="G514" s="12">
        <v>0.23</v>
      </c>
      <c r="H514" s="12">
        <v>0.6</v>
      </c>
      <c r="I514" s="12">
        <v>0.12</v>
      </c>
      <c r="J514" s="12">
        <v>0.31</v>
      </c>
      <c r="K514" s="12">
        <v>0.81</v>
      </c>
      <c r="L514" s="12">
        <v>0.17</v>
      </c>
      <c r="M514" s="8">
        <v>6</v>
      </c>
      <c r="N514">
        <v>7</v>
      </c>
      <c r="O514" s="12">
        <v>8</v>
      </c>
      <c r="BF514" s="9">
        <v>5.13</v>
      </c>
      <c r="BG514" s="9">
        <f t="shared" si="15"/>
        <v>4.0935672514619881E-2</v>
      </c>
      <c r="BH514" s="9">
        <f t="shared" ref="BH514:BH577" si="16">IFERROR(IF($BF514&lt;AZ$33,AZ$32*(AZ$30/AZ$29+(1-AZ$30/AZ$29)*$BF514/AZ$33),IF($BF514&lt;AZ$34,AZ$32,IF($BF514&lt;AZ$35,AZ$31/$BF514,AZ$31*AZ$35/($BF514^2))))*$BC$29,"")</f>
        <v>5.3146755778334734E-2</v>
      </c>
      <c r="BQ514" s="8">
        <v>7</v>
      </c>
      <c r="BR514" s="8" t="s">
        <v>1089</v>
      </c>
    </row>
    <row r="515" spans="1:70" x14ac:dyDescent="0.3">
      <c r="A515" s="11" t="s">
        <v>1090</v>
      </c>
      <c r="B515" s="12">
        <v>253300</v>
      </c>
      <c r="C515" s="12">
        <v>718900</v>
      </c>
      <c r="D515" s="12">
        <v>0.25</v>
      </c>
      <c r="E515" s="12">
        <v>0.62</v>
      </c>
      <c r="F515" s="12">
        <v>0.12</v>
      </c>
      <c r="G515" s="12">
        <v>0.33</v>
      </c>
      <c r="H515" s="12">
        <v>0.82</v>
      </c>
      <c r="I515" s="12">
        <v>0.16</v>
      </c>
      <c r="J515" s="12">
        <v>0.45</v>
      </c>
      <c r="K515" s="12">
        <v>1.1399999999999999</v>
      </c>
      <c r="L515" s="12">
        <v>0.24</v>
      </c>
      <c r="M515" s="8">
        <v>5</v>
      </c>
      <c r="N515">
        <v>5</v>
      </c>
      <c r="O515" s="12">
        <v>6</v>
      </c>
      <c r="BF515" s="9">
        <v>5.14</v>
      </c>
      <c r="BG515" s="9">
        <f t="shared" ref="BG515:BG578" si="17">IF(BF515&lt;AY$33,AY$32*(AY$30/AY$29+(1-AY$30/AY$29)*BF515/AY$33),IF(BF515&lt;AY$34,AY$32,IF(BF515&lt;AY$35,AY$31/BF515,AY$31*AY$35/(BF515^2))))*$BC$29</f>
        <v>4.085603112840467E-2</v>
      </c>
      <c r="BH515" s="9">
        <f t="shared" si="16"/>
        <v>5.304335742078934E-2</v>
      </c>
      <c r="BQ515" s="8">
        <v>7</v>
      </c>
      <c r="BR515" s="8" t="s">
        <v>1091</v>
      </c>
    </row>
    <row r="516" spans="1:70" x14ac:dyDescent="0.3">
      <c r="A516" s="11" t="s">
        <v>1092</v>
      </c>
      <c r="B516" s="12">
        <v>192800</v>
      </c>
      <c r="C516" s="12">
        <v>544200</v>
      </c>
      <c r="D516" s="12">
        <v>7.0000000000000007E-2</v>
      </c>
      <c r="E516" s="12">
        <v>0.16</v>
      </c>
      <c r="F516" s="12">
        <v>0.04</v>
      </c>
      <c r="G516" s="12">
        <v>0.08</v>
      </c>
      <c r="H516" s="12">
        <v>0.2</v>
      </c>
      <c r="I516" s="12">
        <v>0.06</v>
      </c>
      <c r="J516" s="12">
        <v>0.11</v>
      </c>
      <c r="K516" s="12">
        <v>0.27</v>
      </c>
      <c r="L516" s="12">
        <v>0.08</v>
      </c>
      <c r="M516" s="8">
        <v>7</v>
      </c>
      <c r="N516">
        <v>9</v>
      </c>
      <c r="O516" s="12">
        <v>11</v>
      </c>
      <c r="BF516" s="9">
        <v>5.15</v>
      </c>
      <c r="BG516" s="9">
        <f t="shared" si="17"/>
        <v>4.0776699029126208E-2</v>
      </c>
      <c r="BH516" s="9">
        <f t="shared" si="16"/>
        <v>5.2940360610263526E-2</v>
      </c>
      <c r="BQ516" s="8">
        <v>8</v>
      </c>
      <c r="BR516" s="8" t="s">
        <v>1093</v>
      </c>
    </row>
    <row r="517" spans="1:70" x14ac:dyDescent="0.3">
      <c r="A517" s="11" t="s">
        <v>4</v>
      </c>
      <c r="B517" s="12">
        <v>221400</v>
      </c>
      <c r="C517" s="12">
        <v>631700</v>
      </c>
      <c r="D517" s="12">
        <v>0.1</v>
      </c>
      <c r="E517" s="12">
        <v>0.26</v>
      </c>
      <c r="F517" s="12">
        <v>0.06</v>
      </c>
      <c r="G517" s="12">
        <v>0.13</v>
      </c>
      <c r="H517" s="12">
        <v>0.33</v>
      </c>
      <c r="I517" s="12">
        <v>0.08</v>
      </c>
      <c r="J517" s="12">
        <v>0.16</v>
      </c>
      <c r="K517" s="12">
        <v>0.43</v>
      </c>
      <c r="L517" s="12">
        <v>0.11</v>
      </c>
      <c r="M517" s="8">
        <v>7</v>
      </c>
      <c r="N517">
        <v>8</v>
      </c>
      <c r="O517" s="12">
        <v>10</v>
      </c>
      <c r="BF517" s="9">
        <v>5.16</v>
      </c>
      <c r="BG517" s="9">
        <f t="shared" si="17"/>
        <v>4.0697674418604647E-2</v>
      </c>
      <c r="BH517" s="9">
        <f t="shared" si="16"/>
        <v>5.2837763012181627E-2</v>
      </c>
      <c r="BQ517" s="8">
        <v>7</v>
      </c>
      <c r="BR517" s="8" t="s">
        <v>1094</v>
      </c>
    </row>
    <row r="518" spans="1:70" x14ac:dyDescent="0.3">
      <c r="A518" s="11" t="s">
        <v>1095</v>
      </c>
      <c r="B518" s="12">
        <v>197100</v>
      </c>
      <c r="C518" s="12">
        <v>673300</v>
      </c>
      <c r="D518" s="12">
        <v>7.0000000000000007E-2</v>
      </c>
      <c r="E518" s="12">
        <v>0.17</v>
      </c>
      <c r="F518" s="12">
        <v>0.05</v>
      </c>
      <c r="G518" s="12">
        <v>0.08</v>
      </c>
      <c r="H518" s="12">
        <v>0.21</v>
      </c>
      <c r="I518" s="12">
        <v>0.06</v>
      </c>
      <c r="J518" s="12">
        <v>0.11</v>
      </c>
      <c r="K518" s="12">
        <v>0.27</v>
      </c>
      <c r="L518" s="12">
        <v>0.08</v>
      </c>
      <c r="M518" s="8">
        <v>8</v>
      </c>
      <c r="N518">
        <v>9</v>
      </c>
      <c r="O518" s="12">
        <v>12</v>
      </c>
      <c r="BF518" s="9">
        <v>5.17</v>
      </c>
      <c r="BG518" s="9">
        <f t="shared" si="17"/>
        <v>4.0618955512572531E-2</v>
      </c>
      <c r="BH518" s="9">
        <f t="shared" si="16"/>
        <v>5.2735562310030404E-2</v>
      </c>
      <c r="BQ518" s="8">
        <v>8</v>
      </c>
      <c r="BR518" s="8" t="s">
        <v>1096</v>
      </c>
    </row>
    <row r="519" spans="1:70" x14ac:dyDescent="0.3">
      <c r="A519" s="11" t="s">
        <v>1097</v>
      </c>
      <c r="B519" s="12">
        <v>220200</v>
      </c>
      <c r="C519" s="12">
        <v>762100</v>
      </c>
      <c r="D519" s="12">
        <v>0.13</v>
      </c>
      <c r="E519" s="12">
        <v>0.32</v>
      </c>
      <c r="F519" s="12">
        <v>7.0000000000000007E-2</v>
      </c>
      <c r="G519" s="12">
        <v>0.16</v>
      </c>
      <c r="H519" s="12">
        <v>0.41</v>
      </c>
      <c r="I519" s="12">
        <v>0.09</v>
      </c>
      <c r="J519" s="12">
        <v>0.21</v>
      </c>
      <c r="K519" s="12">
        <v>0.54</v>
      </c>
      <c r="L519" s="12">
        <v>0.12</v>
      </c>
      <c r="M519" s="8">
        <v>7</v>
      </c>
      <c r="N519">
        <v>8</v>
      </c>
      <c r="O519" s="12">
        <v>10</v>
      </c>
      <c r="BF519" s="9">
        <v>5.18</v>
      </c>
      <c r="BG519" s="9">
        <f t="shared" si="17"/>
        <v>4.0540540540540543E-2</v>
      </c>
      <c r="BH519" s="9">
        <f t="shared" si="16"/>
        <v>5.263375620518479E-2</v>
      </c>
      <c r="BQ519" s="8">
        <v>9</v>
      </c>
      <c r="BR519" s="8" t="s">
        <v>1098</v>
      </c>
    </row>
    <row r="520" spans="1:70" x14ac:dyDescent="0.3">
      <c r="A520" s="11" t="s">
        <v>1099</v>
      </c>
      <c r="B520" s="12">
        <v>190500</v>
      </c>
      <c r="C520" s="12">
        <v>672600</v>
      </c>
      <c r="D520" s="12">
        <v>0.06</v>
      </c>
      <c r="E520" s="12">
        <v>0.15</v>
      </c>
      <c r="F520" s="12">
        <v>0.04</v>
      </c>
      <c r="G520" s="12">
        <v>0.08</v>
      </c>
      <c r="H520" s="12">
        <v>0.19</v>
      </c>
      <c r="I520" s="12">
        <v>0.06</v>
      </c>
      <c r="J520" s="12">
        <v>0.1</v>
      </c>
      <c r="K520" s="12">
        <v>0.25</v>
      </c>
      <c r="L520" s="12">
        <v>0.08</v>
      </c>
      <c r="M520" s="8">
        <v>8</v>
      </c>
      <c r="N520">
        <v>10</v>
      </c>
      <c r="O520" s="12">
        <v>12</v>
      </c>
      <c r="BF520" s="9">
        <v>5.19</v>
      </c>
      <c r="BG520" s="9">
        <f t="shared" si="17"/>
        <v>4.0462427745664734E-2</v>
      </c>
      <c r="BH520" s="9">
        <f t="shared" si="16"/>
        <v>5.2532342416735482E-2</v>
      </c>
      <c r="BQ520" s="8">
        <v>8</v>
      </c>
      <c r="BR520" s="8" t="s">
        <v>1100</v>
      </c>
    </row>
    <row r="521" spans="1:70" x14ac:dyDescent="0.3">
      <c r="A521" s="11" t="s">
        <v>1101</v>
      </c>
      <c r="B521" s="12">
        <v>142900</v>
      </c>
      <c r="C521" s="12">
        <v>573200</v>
      </c>
      <c r="D521" s="12">
        <v>0.04</v>
      </c>
      <c r="E521" s="12">
        <v>0.09</v>
      </c>
      <c r="F521" s="12">
        <v>0.03</v>
      </c>
      <c r="G521" s="12">
        <v>0.05</v>
      </c>
      <c r="H521" s="12">
        <v>0.11</v>
      </c>
      <c r="I521" s="12">
        <v>0.04</v>
      </c>
      <c r="J521" s="12">
        <v>0.06</v>
      </c>
      <c r="K521" s="12">
        <v>0.14000000000000001</v>
      </c>
      <c r="L521" s="12">
        <v>0.06</v>
      </c>
      <c r="M521" s="8">
        <v>9</v>
      </c>
      <c r="N521">
        <v>11</v>
      </c>
      <c r="O521" s="12">
        <v>13</v>
      </c>
      <c r="BF521" s="9">
        <v>5.2</v>
      </c>
      <c r="BG521" s="9">
        <f t="shared" si="17"/>
        <v>4.038461538461538E-2</v>
      </c>
      <c r="BH521" s="9">
        <f t="shared" si="16"/>
        <v>5.2431318681318687E-2</v>
      </c>
      <c r="BQ521" s="8">
        <v>8</v>
      </c>
      <c r="BR521" s="8" t="s">
        <v>1102</v>
      </c>
    </row>
    <row r="522" spans="1:70" x14ac:dyDescent="0.3">
      <c r="A522" s="11" t="s">
        <v>1103</v>
      </c>
      <c r="B522" s="12">
        <v>196700</v>
      </c>
      <c r="C522" s="12">
        <v>628800</v>
      </c>
      <c r="D522" s="12">
        <v>7.0000000000000007E-2</v>
      </c>
      <c r="E522" s="12">
        <v>0.16</v>
      </c>
      <c r="F522" s="12">
        <v>0.04</v>
      </c>
      <c r="G522" s="12">
        <v>0.08</v>
      </c>
      <c r="H522" s="12">
        <v>0.21</v>
      </c>
      <c r="I522" s="12">
        <v>0.06</v>
      </c>
      <c r="J522" s="12">
        <v>0.11</v>
      </c>
      <c r="K522" s="12">
        <v>0.27</v>
      </c>
      <c r="L522" s="12">
        <v>0.08</v>
      </c>
      <c r="M522" s="8">
        <v>8</v>
      </c>
      <c r="N522">
        <v>9</v>
      </c>
      <c r="O522" s="12">
        <v>11</v>
      </c>
      <c r="BF522" s="9">
        <v>5.21</v>
      </c>
      <c r="BG522" s="9">
        <f t="shared" si="17"/>
        <v>4.0307101727447218E-2</v>
      </c>
      <c r="BH522" s="9">
        <f t="shared" si="16"/>
        <v>5.2330682752947638E-2</v>
      </c>
      <c r="BQ522" s="8">
        <v>9</v>
      </c>
      <c r="BR522" s="8" t="s">
        <v>1104</v>
      </c>
    </row>
    <row r="523" spans="1:70" x14ac:dyDescent="0.3">
      <c r="A523" s="11" t="s">
        <v>1105</v>
      </c>
      <c r="B523" s="12">
        <v>185800</v>
      </c>
      <c r="C523" s="12">
        <v>646900</v>
      </c>
      <c r="D523" s="12">
        <v>0.06</v>
      </c>
      <c r="E523" s="12">
        <v>0.14000000000000001</v>
      </c>
      <c r="F523" s="12">
        <v>0.04</v>
      </c>
      <c r="G523" s="12">
        <v>7.0000000000000007E-2</v>
      </c>
      <c r="H523" s="12">
        <v>0.18</v>
      </c>
      <c r="I523" s="12">
        <v>0.05</v>
      </c>
      <c r="J523" s="12">
        <v>0.09</v>
      </c>
      <c r="K523" s="12">
        <v>0.23</v>
      </c>
      <c r="L523" s="12">
        <v>7.0000000000000007E-2</v>
      </c>
      <c r="M523" s="8">
        <v>8</v>
      </c>
      <c r="N523">
        <v>10</v>
      </c>
      <c r="O523" s="12">
        <v>12</v>
      </c>
      <c r="BF523" s="9">
        <v>5.22</v>
      </c>
      <c r="BG523" s="9">
        <f t="shared" si="17"/>
        <v>4.0229885057471264E-2</v>
      </c>
      <c r="BH523" s="9">
        <f t="shared" si="16"/>
        <v>5.2230432402846208E-2</v>
      </c>
      <c r="BQ523" s="8">
        <v>6</v>
      </c>
      <c r="BR523" s="8" t="s">
        <v>1106</v>
      </c>
    </row>
    <row r="524" spans="1:70" x14ac:dyDescent="0.3">
      <c r="A524" s="11" t="s">
        <v>1107</v>
      </c>
      <c r="B524" s="12">
        <v>135600</v>
      </c>
      <c r="C524" s="12">
        <v>568600</v>
      </c>
      <c r="D524" s="12">
        <v>0.04</v>
      </c>
      <c r="E524" s="12">
        <v>0.08</v>
      </c>
      <c r="F524" s="12">
        <v>0.03</v>
      </c>
      <c r="G524" s="12">
        <v>0.04</v>
      </c>
      <c r="H524" s="12">
        <v>0.1</v>
      </c>
      <c r="I524" s="12">
        <v>0.04</v>
      </c>
      <c r="J524" s="12">
        <v>0.06</v>
      </c>
      <c r="K524" s="12">
        <v>0.13</v>
      </c>
      <c r="L524" s="12">
        <v>0.05</v>
      </c>
      <c r="M524" s="8">
        <v>9</v>
      </c>
      <c r="N524">
        <v>11</v>
      </c>
      <c r="O524" s="12">
        <v>14</v>
      </c>
      <c r="BF524" s="9">
        <v>5.23</v>
      </c>
      <c r="BG524" s="9">
        <f t="shared" si="17"/>
        <v>4.0152963671128104E-2</v>
      </c>
      <c r="BH524" s="9">
        <f t="shared" si="16"/>
        <v>5.2130565419284354E-2</v>
      </c>
      <c r="BQ524" s="8">
        <v>6</v>
      </c>
      <c r="BR524" s="8" t="s">
        <v>1108</v>
      </c>
    </row>
    <row r="525" spans="1:70" x14ac:dyDescent="0.3">
      <c r="A525" s="11" t="s">
        <v>1109</v>
      </c>
      <c r="B525" s="12">
        <v>220100</v>
      </c>
      <c r="C525" s="12">
        <v>752600</v>
      </c>
      <c r="D525" s="12">
        <v>0.13</v>
      </c>
      <c r="E525" s="12">
        <v>0.34</v>
      </c>
      <c r="F525" s="12">
        <v>7.0000000000000007E-2</v>
      </c>
      <c r="G525" s="12">
        <v>0.17</v>
      </c>
      <c r="H525" s="12">
        <v>0.43</v>
      </c>
      <c r="I525" s="12">
        <v>0.09</v>
      </c>
      <c r="J525" s="12">
        <v>0.23</v>
      </c>
      <c r="K525" s="12">
        <v>0.59</v>
      </c>
      <c r="L525" s="12">
        <v>0.12</v>
      </c>
      <c r="M525" s="8">
        <v>6</v>
      </c>
      <c r="N525">
        <v>8</v>
      </c>
      <c r="O525" s="12">
        <v>9</v>
      </c>
      <c r="BF525" s="9">
        <v>5.24</v>
      </c>
      <c r="BG525" s="9">
        <f t="shared" si="17"/>
        <v>4.0076335877862593E-2</v>
      </c>
      <c r="BH525" s="9">
        <f t="shared" si="16"/>
        <v>5.2031079607415494E-2</v>
      </c>
      <c r="BQ525" s="8">
        <v>7</v>
      </c>
      <c r="BR525" s="8" t="s">
        <v>1110</v>
      </c>
    </row>
    <row r="526" spans="1:70" x14ac:dyDescent="0.3">
      <c r="A526" s="11" t="s">
        <v>1111</v>
      </c>
      <c r="B526" s="12">
        <v>223600</v>
      </c>
      <c r="C526" s="12">
        <v>748500</v>
      </c>
      <c r="D526" s="12">
        <v>0.14000000000000001</v>
      </c>
      <c r="E526" s="12">
        <v>0.35</v>
      </c>
      <c r="F526" s="12">
        <v>7.0000000000000007E-2</v>
      </c>
      <c r="G526" s="12">
        <v>0.17</v>
      </c>
      <c r="H526" s="12">
        <v>0.44</v>
      </c>
      <c r="I526" s="12">
        <v>0.09</v>
      </c>
      <c r="J526" s="12">
        <v>0.23</v>
      </c>
      <c r="K526" s="12">
        <v>0.6</v>
      </c>
      <c r="L526" s="12">
        <v>0.12</v>
      </c>
      <c r="M526" s="8">
        <v>6</v>
      </c>
      <c r="N526">
        <v>8</v>
      </c>
      <c r="O526" s="12">
        <v>9</v>
      </c>
      <c r="BF526" s="9">
        <v>5.25</v>
      </c>
      <c r="BG526" s="9">
        <f t="shared" si="17"/>
        <v>0.04</v>
      </c>
      <c r="BH526" s="9">
        <f t="shared" si="16"/>
        <v>5.1931972789115655E-2</v>
      </c>
      <c r="BQ526" s="8">
        <v>6</v>
      </c>
      <c r="BR526" s="8" t="s">
        <v>1112</v>
      </c>
    </row>
    <row r="527" spans="1:70" x14ac:dyDescent="0.3">
      <c r="A527" s="11" t="s">
        <v>1113</v>
      </c>
      <c r="B527" s="12">
        <v>214200</v>
      </c>
      <c r="C527" s="12">
        <v>769500</v>
      </c>
      <c r="D527" s="12">
        <v>0.12</v>
      </c>
      <c r="E527" s="12">
        <v>0.3</v>
      </c>
      <c r="F527" s="12">
        <v>0.06</v>
      </c>
      <c r="G527" s="12">
        <v>0.15</v>
      </c>
      <c r="H527" s="12">
        <v>0.38</v>
      </c>
      <c r="I527" s="12">
        <v>0.08</v>
      </c>
      <c r="J527" s="12">
        <v>0.2</v>
      </c>
      <c r="K527" s="12">
        <v>0.52</v>
      </c>
      <c r="L527" s="12">
        <v>0.11</v>
      </c>
      <c r="M527" s="8">
        <v>7</v>
      </c>
      <c r="N527">
        <v>8</v>
      </c>
      <c r="O527" s="12">
        <v>10</v>
      </c>
      <c r="BF527" s="9">
        <v>5.26</v>
      </c>
      <c r="BG527" s="9">
        <f t="shared" si="17"/>
        <v>3.9923954372623575E-2</v>
      </c>
      <c r="BH527" s="9">
        <f t="shared" si="16"/>
        <v>5.1833242802824565E-2</v>
      </c>
      <c r="BQ527" s="8">
        <v>5</v>
      </c>
      <c r="BR527" s="8" t="s">
        <v>1114</v>
      </c>
    </row>
    <row r="528" spans="1:70" x14ac:dyDescent="0.3">
      <c r="A528" s="11" t="s">
        <v>1115</v>
      </c>
      <c r="B528" s="12">
        <v>238300</v>
      </c>
      <c r="C528" s="12">
        <v>734200</v>
      </c>
      <c r="D528" s="12">
        <v>0.17</v>
      </c>
      <c r="E528" s="12">
        <v>0.43</v>
      </c>
      <c r="F528" s="12">
        <v>0.08</v>
      </c>
      <c r="G528" s="12">
        <v>0.21</v>
      </c>
      <c r="H528" s="12">
        <v>0.55000000000000004</v>
      </c>
      <c r="I528" s="12">
        <v>0.11</v>
      </c>
      <c r="J528" s="12">
        <v>0.28000000000000003</v>
      </c>
      <c r="K528" s="12">
        <v>0.73</v>
      </c>
      <c r="L528" s="12">
        <v>0.15</v>
      </c>
      <c r="M528" s="8">
        <v>6</v>
      </c>
      <c r="N528">
        <v>7</v>
      </c>
      <c r="O528" s="12">
        <v>8</v>
      </c>
      <c r="BF528" s="9">
        <v>5.27</v>
      </c>
      <c r="BG528" s="9">
        <f t="shared" si="17"/>
        <v>3.9848197343453511E-2</v>
      </c>
      <c r="BH528" s="9">
        <f t="shared" si="16"/>
        <v>5.1734887503388463E-2</v>
      </c>
      <c r="BQ528" s="8">
        <v>5</v>
      </c>
      <c r="BR528" s="8" t="s">
        <v>1116</v>
      </c>
    </row>
    <row r="529" spans="1:70" x14ac:dyDescent="0.3">
      <c r="A529" s="11" t="s">
        <v>1117</v>
      </c>
      <c r="B529" s="12">
        <v>244700</v>
      </c>
      <c r="C529" s="12">
        <v>767700</v>
      </c>
      <c r="D529" s="12">
        <v>0.2</v>
      </c>
      <c r="E529" s="12">
        <v>0.51</v>
      </c>
      <c r="F529" s="12">
        <v>0.1</v>
      </c>
      <c r="G529" s="12">
        <v>0.26</v>
      </c>
      <c r="H529" s="12">
        <v>0.66</v>
      </c>
      <c r="I529" s="12">
        <v>0.13</v>
      </c>
      <c r="J529" s="12">
        <v>0.34</v>
      </c>
      <c r="K529" s="12">
        <v>0.89</v>
      </c>
      <c r="L529" s="12">
        <v>0.18</v>
      </c>
      <c r="M529" s="8">
        <v>5</v>
      </c>
      <c r="N529">
        <v>6</v>
      </c>
      <c r="O529" s="12">
        <v>8</v>
      </c>
      <c r="BF529" s="9">
        <v>5.28</v>
      </c>
      <c r="BG529" s="9">
        <f t="shared" si="17"/>
        <v>3.9772727272727272E-2</v>
      </c>
      <c r="BH529" s="9">
        <f t="shared" si="16"/>
        <v>5.1636904761904766E-2</v>
      </c>
      <c r="BQ529" s="8">
        <v>7</v>
      </c>
      <c r="BR529" s="8" t="s">
        <v>1118</v>
      </c>
    </row>
    <row r="530" spans="1:70" x14ac:dyDescent="0.3">
      <c r="A530" s="11" t="s">
        <v>1119</v>
      </c>
      <c r="B530" s="12">
        <v>232800</v>
      </c>
      <c r="C530" s="12">
        <v>651800</v>
      </c>
      <c r="D530" s="12">
        <v>0.16</v>
      </c>
      <c r="E530" s="12">
        <v>0.41</v>
      </c>
      <c r="F530" s="12">
        <v>0.08</v>
      </c>
      <c r="G530" s="12">
        <v>0.21</v>
      </c>
      <c r="H530" s="12">
        <v>0.55000000000000004</v>
      </c>
      <c r="I530" s="12">
        <v>0.11</v>
      </c>
      <c r="J530" s="12">
        <v>0.28999999999999998</v>
      </c>
      <c r="K530" s="12">
        <v>0.75</v>
      </c>
      <c r="L530" s="12">
        <v>0.16</v>
      </c>
      <c r="M530" s="8">
        <v>5</v>
      </c>
      <c r="N530">
        <v>6</v>
      </c>
      <c r="O530" s="12">
        <v>7</v>
      </c>
      <c r="BF530" s="9">
        <v>5.29</v>
      </c>
      <c r="BG530" s="9">
        <f t="shared" si="17"/>
        <v>3.9697542533081283E-2</v>
      </c>
      <c r="BH530" s="9">
        <f t="shared" si="16"/>
        <v>5.1539292465568466E-2</v>
      </c>
      <c r="BQ530" s="8">
        <v>6</v>
      </c>
      <c r="BR530" s="8" t="s">
        <v>1120</v>
      </c>
    </row>
    <row r="531" spans="1:70" x14ac:dyDescent="0.3">
      <c r="A531" s="11" t="s">
        <v>1121</v>
      </c>
      <c r="B531" s="12">
        <v>199600</v>
      </c>
      <c r="C531" s="12">
        <v>681000</v>
      </c>
      <c r="D531" s="12">
        <v>7.0000000000000007E-2</v>
      </c>
      <c r="E531" s="12">
        <v>0.18</v>
      </c>
      <c r="F531" s="12">
        <v>0.05</v>
      </c>
      <c r="G531" s="12">
        <v>0.09</v>
      </c>
      <c r="H531" s="12">
        <v>0.22</v>
      </c>
      <c r="I531" s="12">
        <v>0.06</v>
      </c>
      <c r="J531" s="12">
        <v>0.11</v>
      </c>
      <c r="K531" s="12">
        <v>0.28999999999999998</v>
      </c>
      <c r="L531" s="12">
        <v>0.08</v>
      </c>
      <c r="M531" s="8">
        <v>7</v>
      </c>
      <c r="N531">
        <v>9</v>
      </c>
      <c r="O531" s="12">
        <v>11</v>
      </c>
      <c r="BF531" s="9">
        <v>5.3</v>
      </c>
      <c r="BG531" s="9">
        <f t="shared" si="17"/>
        <v>3.962264150943396E-2</v>
      </c>
      <c r="BH531" s="9">
        <f t="shared" si="16"/>
        <v>5.1442048517520225E-2</v>
      </c>
      <c r="BQ531" s="8">
        <v>8</v>
      </c>
      <c r="BR531" s="8" t="s">
        <v>1122</v>
      </c>
    </row>
    <row r="532" spans="1:70" x14ac:dyDescent="0.3">
      <c r="A532" s="11" t="s">
        <v>1123</v>
      </c>
      <c r="B532" s="12">
        <v>223100</v>
      </c>
      <c r="C532" s="12">
        <v>643300</v>
      </c>
      <c r="D532" s="12">
        <v>0.11</v>
      </c>
      <c r="E532" s="12">
        <v>0.28000000000000003</v>
      </c>
      <c r="F532" s="12">
        <v>0.06</v>
      </c>
      <c r="G532" s="12">
        <v>0.14000000000000001</v>
      </c>
      <c r="H532" s="12">
        <v>0.36</v>
      </c>
      <c r="I532" s="12">
        <v>0.08</v>
      </c>
      <c r="J532" s="12">
        <v>0.18</v>
      </c>
      <c r="K532" s="12">
        <v>0.49</v>
      </c>
      <c r="L532" s="12">
        <v>0.12</v>
      </c>
      <c r="M532" s="8">
        <v>6</v>
      </c>
      <c r="N532">
        <v>8</v>
      </c>
      <c r="O532" s="12">
        <v>9</v>
      </c>
      <c r="BF532" s="9">
        <v>5.31</v>
      </c>
      <c r="BG532" s="9">
        <f t="shared" si="17"/>
        <v>3.954802259887006E-2</v>
      </c>
      <c r="BH532" s="9">
        <f t="shared" si="16"/>
        <v>5.134517083669627E-2</v>
      </c>
      <c r="BQ532" s="8">
        <v>5</v>
      </c>
      <c r="BR532" s="8" t="s">
        <v>1124</v>
      </c>
    </row>
    <row r="533" spans="1:70" x14ac:dyDescent="0.3">
      <c r="A533" s="11" t="s">
        <v>1125</v>
      </c>
      <c r="B533" s="12">
        <v>168400</v>
      </c>
      <c r="C533" s="12">
        <v>615000</v>
      </c>
      <c r="D533" s="12">
        <v>7.0000000000000007E-2</v>
      </c>
      <c r="E533" s="12">
        <v>0.16</v>
      </c>
      <c r="F533" s="12">
        <v>0.04</v>
      </c>
      <c r="G533" s="12">
        <v>0.09</v>
      </c>
      <c r="H533" s="12">
        <v>0.21</v>
      </c>
      <c r="I533" s="12">
        <v>0.05</v>
      </c>
      <c r="J533" s="12">
        <v>0.12</v>
      </c>
      <c r="K533" s="12">
        <v>0.3</v>
      </c>
      <c r="L533" s="12">
        <v>7.0000000000000007E-2</v>
      </c>
      <c r="M533" s="8">
        <v>8</v>
      </c>
      <c r="N533">
        <v>10</v>
      </c>
      <c r="O533" s="12">
        <v>12</v>
      </c>
      <c r="BF533" s="9">
        <v>5.32</v>
      </c>
      <c r="BG533" s="9">
        <f t="shared" si="17"/>
        <v>3.9473684210526314E-2</v>
      </c>
      <c r="BH533" s="9">
        <f t="shared" si="16"/>
        <v>5.1248657357679916E-2</v>
      </c>
      <c r="BQ533" s="8">
        <v>5</v>
      </c>
      <c r="BR533" s="8" t="s">
        <v>1126</v>
      </c>
    </row>
    <row r="534" spans="1:70" x14ac:dyDescent="0.3">
      <c r="A534" s="11" t="s">
        <v>1127</v>
      </c>
      <c r="B534" s="12">
        <v>251800</v>
      </c>
      <c r="C534" s="12">
        <v>757000</v>
      </c>
      <c r="D534" s="12">
        <v>0.26</v>
      </c>
      <c r="E534" s="12">
        <v>0.65</v>
      </c>
      <c r="F534" s="12">
        <v>0.12</v>
      </c>
      <c r="G534" s="12">
        <v>0.34</v>
      </c>
      <c r="H534" s="12">
        <v>0.86</v>
      </c>
      <c r="I534" s="12">
        <v>0.17</v>
      </c>
      <c r="J534" s="12">
        <v>0.46</v>
      </c>
      <c r="K534" s="12">
        <v>1.17</v>
      </c>
      <c r="L534" s="12">
        <v>0.25</v>
      </c>
      <c r="M534" s="8">
        <v>5</v>
      </c>
      <c r="N534">
        <v>5</v>
      </c>
      <c r="O534" s="12">
        <v>6</v>
      </c>
      <c r="BF534" s="9">
        <v>5.33</v>
      </c>
      <c r="BG534" s="9">
        <f t="shared" si="17"/>
        <v>3.9399624765478425E-2</v>
      </c>
      <c r="BH534" s="9">
        <f t="shared" si="16"/>
        <v>5.1152506030554816E-2</v>
      </c>
      <c r="BQ534" s="8">
        <v>7</v>
      </c>
      <c r="BR534" s="8" t="s">
        <v>1128</v>
      </c>
    </row>
    <row r="535" spans="1:70" x14ac:dyDescent="0.3">
      <c r="A535" s="11" t="s">
        <v>1129</v>
      </c>
      <c r="B535" s="12">
        <v>248000</v>
      </c>
      <c r="C535" s="12">
        <v>755300</v>
      </c>
      <c r="D535" s="12">
        <v>0.23</v>
      </c>
      <c r="E535" s="12">
        <v>0.59</v>
      </c>
      <c r="F535" s="12">
        <v>0.11</v>
      </c>
      <c r="G535" s="12">
        <v>0.3</v>
      </c>
      <c r="H535" s="12">
        <v>0.77</v>
      </c>
      <c r="I535" s="12">
        <v>0.15</v>
      </c>
      <c r="J535" s="12">
        <v>0.4</v>
      </c>
      <c r="K535" s="12">
        <v>1.04</v>
      </c>
      <c r="L535" s="12">
        <v>0.22</v>
      </c>
      <c r="M535" s="8">
        <v>5</v>
      </c>
      <c r="N535">
        <v>6</v>
      </c>
      <c r="O535" s="12">
        <v>7</v>
      </c>
      <c r="BF535" s="9">
        <v>5.34</v>
      </c>
      <c r="BG535" s="9">
        <f t="shared" si="17"/>
        <v>3.9325842696629212E-2</v>
      </c>
      <c r="BH535" s="9">
        <f t="shared" si="16"/>
        <v>5.1056714820759776E-2</v>
      </c>
      <c r="BQ535" s="8">
        <v>9</v>
      </c>
      <c r="BR535" s="8" t="s">
        <v>1130</v>
      </c>
    </row>
    <row r="536" spans="1:70" x14ac:dyDescent="0.3">
      <c r="A536" s="11" t="s">
        <v>1131</v>
      </c>
      <c r="B536" s="12">
        <v>205000</v>
      </c>
      <c r="C536" s="12">
        <v>577500</v>
      </c>
      <c r="D536" s="12">
        <v>0.09</v>
      </c>
      <c r="E536" s="12">
        <v>0.21</v>
      </c>
      <c r="F536" s="12">
        <v>0.05</v>
      </c>
      <c r="G536" s="12">
        <v>0.11</v>
      </c>
      <c r="H536" s="12">
        <v>0.27</v>
      </c>
      <c r="I536" s="12">
        <v>0.06</v>
      </c>
      <c r="J536" s="12">
        <v>0.14000000000000001</v>
      </c>
      <c r="K536" s="12">
        <v>0.37</v>
      </c>
      <c r="L536" s="12">
        <v>0.09</v>
      </c>
      <c r="M536" s="8">
        <v>7</v>
      </c>
      <c r="N536">
        <v>8</v>
      </c>
      <c r="O536" s="12">
        <v>10</v>
      </c>
      <c r="BF536" s="9">
        <v>5.35</v>
      </c>
      <c r="BG536" s="9">
        <f t="shared" si="17"/>
        <v>3.925233644859813E-2</v>
      </c>
      <c r="BH536" s="9">
        <f t="shared" si="16"/>
        <v>5.0961281708945275E-2</v>
      </c>
      <c r="BQ536" s="8">
        <v>7</v>
      </c>
      <c r="BR536" s="8" t="s">
        <v>1132</v>
      </c>
    </row>
    <row r="537" spans="1:70" x14ac:dyDescent="0.3">
      <c r="A537" s="11" t="s">
        <v>1133</v>
      </c>
      <c r="B537" s="12">
        <v>142800</v>
      </c>
      <c r="C537" s="12">
        <v>587300</v>
      </c>
      <c r="D537" s="12">
        <v>0.04</v>
      </c>
      <c r="E537" s="12">
        <v>0.09</v>
      </c>
      <c r="F537" s="12">
        <v>0.03</v>
      </c>
      <c r="G537" s="12">
        <v>0.05</v>
      </c>
      <c r="H537" s="12">
        <v>0.12</v>
      </c>
      <c r="I537" s="12">
        <v>0.04</v>
      </c>
      <c r="J537" s="12">
        <v>0.06</v>
      </c>
      <c r="K537" s="12">
        <v>0.15</v>
      </c>
      <c r="L537" s="12">
        <v>0.06</v>
      </c>
      <c r="M537" s="8">
        <v>9</v>
      </c>
      <c r="N537">
        <v>11</v>
      </c>
      <c r="O537" s="12">
        <v>13</v>
      </c>
      <c r="BF537" s="9">
        <v>5.36</v>
      </c>
      <c r="BG537" s="9">
        <f t="shared" si="17"/>
        <v>3.9179104477611935E-2</v>
      </c>
      <c r="BH537" s="9">
        <f t="shared" si="16"/>
        <v>5.0866204690831564E-2</v>
      </c>
      <c r="BQ537" s="8">
        <v>7</v>
      </c>
      <c r="BR537" s="8" t="s">
        <v>1134</v>
      </c>
    </row>
    <row r="538" spans="1:70" x14ac:dyDescent="0.3">
      <c r="A538" s="11" t="s">
        <v>1135</v>
      </c>
      <c r="B538" s="12">
        <v>223700</v>
      </c>
      <c r="C538" s="12">
        <v>761400</v>
      </c>
      <c r="D538" s="12">
        <v>0.13</v>
      </c>
      <c r="E538" s="12">
        <v>0.33</v>
      </c>
      <c r="F538" s="12">
        <v>7.0000000000000007E-2</v>
      </c>
      <c r="G538" s="12">
        <v>0.16</v>
      </c>
      <c r="H538" s="12">
        <v>0.41</v>
      </c>
      <c r="I538" s="12">
        <v>0.09</v>
      </c>
      <c r="J538" s="12">
        <v>0.21</v>
      </c>
      <c r="K538" s="12">
        <v>0.54</v>
      </c>
      <c r="L538" s="12">
        <v>0.12</v>
      </c>
      <c r="M538" s="8">
        <v>7</v>
      </c>
      <c r="N538">
        <v>8</v>
      </c>
      <c r="O538" s="12">
        <v>10</v>
      </c>
      <c r="BF538" s="9">
        <v>5.37</v>
      </c>
      <c r="BG538" s="9">
        <f t="shared" si="17"/>
        <v>3.9106145251396648E-2</v>
      </c>
      <c r="BH538" s="9">
        <f t="shared" si="16"/>
        <v>5.0771481777068375E-2</v>
      </c>
      <c r="BQ538" s="8">
        <v>6</v>
      </c>
      <c r="BR538" s="8" t="s">
        <v>1136</v>
      </c>
    </row>
    <row r="539" spans="1:70" x14ac:dyDescent="0.3">
      <c r="A539" s="11" t="s">
        <v>1137</v>
      </c>
      <c r="B539" s="12">
        <v>219400</v>
      </c>
      <c r="C539" s="12">
        <v>765300</v>
      </c>
      <c r="D539" s="12">
        <v>0.13</v>
      </c>
      <c r="E539" s="12">
        <v>0.31</v>
      </c>
      <c r="F539" s="12">
        <v>7.0000000000000007E-2</v>
      </c>
      <c r="G539" s="12">
        <v>0.16</v>
      </c>
      <c r="H539" s="12">
        <v>0.4</v>
      </c>
      <c r="I539" s="12">
        <v>0.08</v>
      </c>
      <c r="J539" s="12">
        <v>0.21</v>
      </c>
      <c r="K539" s="12">
        <v>0.53</v>
      </c>
      <c r="L539" s="12">
        <v>0.11</v>
      </c>
      <c r="M539" s="8">
        <v>7</v>
      </c>
      <c r="N539">
        <v>8</v>
      </c>
      <c r="O539" s="12">
        <v>10</v>
      </c>
      <c r="BF539" s="9">
        <v>5.38</v>
      </c>
      <c r="BG539" s="9">
        <f t="shared" si="17"/>
        <v>3.9033457249070633E-2</v>
      </c>
      <c r="BH539" s="9">
        <f t="shared" si="16"/>
        <v>5.0677110993096131E-2</v>
      </c>
      <c r="BQ539" s="8">
        <v>6</v>
      </c>
      <c r="BR539" s="8" t="s">
        <v>1138</v>
      </c>
    </row>
    <row r="540" spans="1:70" x14ac:dyDescent="0.3">
      <c r="A540" s="11" t="s">
        <v>1139</v>
      </c>
      <c r="B540" s="12">
        <v>242700</v>
      </c>
      <c r="C540" s="12">
        <v>753500</v>
      </c>
      <c r="D540" s="12">
        <v>0.19</v>
      </c>
      <c r="E540" s="12">
        <v>0.48</v>
      </c>
      <c r="F540" s="12">
        <v>0.09</v>
      </c>
      <c r="G540" s="12">
        <v>0.24</v>
      </c>
      <c r="H540" s="12">
        <v>0.62</v>
      </c>
      <c r="I540" s="12">
        <v>0.12</v>
      </c>
      <c r="J540" s="12">
        <v>0.31</v>
      </c>
      <c r="K540" s="12">
        <v>0.83</v>
      </c>
      <c r="L540" s="12">
        <v>0.17</v>
      </c>
      <c r="M540" s="8">
        <v>6</v>
      </c>
      <c r="N540">
        <v>7</v>
      </c>
      <c r="O540" s="12">
        <v>8</v>
      </c>
      <c r="BF540" s="9">
        <v>5.39</v>
      </c>
      <c r="BG540" s="9">
        <f t="shared" si="17"/>
        <v>3.896103896103896E-2</v>
      </c>
      <c r="BH540" s="9">
        <f t="shared" si="16"/>
        <v>5.0583090379008759E-2</v>
      </c>
      <c r="BQ540" s="8">
        <v>9</v>
      </c>
      <c r="BR540" s="8" t="s">
        <v>1140</v>
      </c>
    </row>
    <row r="541" spans="1:70" x14ac:dyDescent="0.3">
      <c r="A541" s="11" t="s">
        <v>1141</v>
      </c>
      <c r="B541" s="12">
        <v>233000</v>
      </c>
      <c r="C541" s="12">
        <v>757500</v>
      </c>
      <c r="D541" s="12">
        <v>0.15</v>
      </c>
      <c r="E541" s="12">
        <v>0.37</v>
      </c>
      <c r="F541" s="12">
        <v>7.0000000000000007E-2</v>
      </c>
      <c r="G541" s="12">
        <v>0.18</v>
      </c>
      <c r="H541" s="12">
        <v>0.47</v>
      </c>
      <c r="I541" s="12">
        <v>0.1</v>
      </c>
      <c r="J541" s="12">
        <v>0.23</v>
      </c>
      <c r="K541" s="12">
        <v>0.61</v>
      </c>
      <c r="L541" s="12">
        <v>0.13</v>
      </c>
      <c r="M541" s="8">
        <v>6</v>
      </c>
      <c r="N541">
        <v>8</v>
      </c>
      <c r="O541" s="12">
        <v>9</v>
      </c>
      <c r="BF541" s="9">
        <v>5.4</v>
      </c>
      <c r="BG541" s="9">
        <f t="shared" si="17"/>
        <v>3.8888888888888883E-2</v>
      </c>
      <c r="BH541" s="9">
        <f t="shared" si="16"/>
        <v>5.0489417989417994E-2</v>
      </c>
      <c r="BQ541" s="8">
        <v>6</v>
      </c>
      <c r="BR541" s="8" t="s">
        <v>1142</v>
      </c>
    </row>
    <row r="542" spans="1:70" x14ac:dyDescent="0.3">
      <c r="A542" s="11" t="s">
        <v>1143</v>
      </c>
      <c r="B542" s="12">
        <v>145400</v>
      </c>
      <c r="C542" s="12">
        <v>535700</v>
      </c>
      <c r="D542" s="12">
        <v>0.04</v>
      </c>
      <c r="E542" s="12">
        <v>0.09</v>
      </c>
      <c r="F542" s="12">
        <v>0.03</v>
      </c>
      <c r="G542" s="12">
        <v>0.05</v>
      </c>
      <c r="H542" s="12">
        <v>0.12</v>
      </c>
      <c r="I542" s="12">
        <v>0.04</v>
      </c>
      <c r="J542" s="12">
        <v>0.06</v>
      </c>
      <c r="K542" s="12">
        <v>0.15</v>
      </c>
      <c r="L542" s="12">
        <v>0.06</v>
      </c>
      <c r="M542" s="8">
        <v>9</v>
      </c>
      <c r="N542">
        <v>10</v>
      </c>
      <c r="O542" s="12">
        <v>13</v>
      </c>
      <c r="BF542" s="9">
        <v>5.41</v>
      </c>
      <c r="BG542" s="9">
        <f t="shared" si="17"/>
        <v>3.8817005545286505E-2</v>
      </c>
      <c r="BH542" s="9">
        <f t="shared" si="16"/>
        <v>5.0396091893319256E-2</v>
      </c>
      <c r="BQ542" s="8">
        <v>8</v>
      </c>
      <c r="BR542" s="8" t="s">
        <v>1144</v>
      </c>
    </row>
    <row r="543" spans="1:70" x14ac:dyDescent="0.3">
      <c r="A543" s="11" t="s">
        <v>1145</v>
      </c>
      <c r="B543" s="12">
        <v>234100</v>
      </c>
      <c r="C543" s="12">
        <v>757100</v>
      </c>
      <c r="D543" s="12">
        <v>0.15</v>
      </c>
      <c r="E543" s="12">
        <v>0.38</v>
      </c>
      <c r="F543" s="12">
        <v>0.08</v>
      </c>
      <c r="G543" s="12">
        <v>0.18</v>
      </c>
      <c r="H543" s="12">
        <v>0.48</v>
      </c>
      <c r="I543" s="12">
        <v>0.1</v>
      </c>
      <c r="J543" s="12">
        <v>0.24</v>
      </c>
      <c r="K543" s="12">
        <v>0.62</v>
      </c>
      <c r="L543" s="12">
        <v>0.14000000000000001</v>
      </c>
      <c r="M543" s="8">
        <v>6</v>
      </c>
      <c r="N543">
        <v>7</v>
      </c>
      <c r="O543" s="12">
        <v>9</v>
      </c>
      <c r="BF543" s="9">
        <v>5.42</v>
      </c>
      <c r="BG543" s="9">
        <f t="shared" si="17"/>
        <v>3.8745387453874534E-2</v>
      </c>
      <c r="BH543" s="9">
        <f t="shared" si="16"/>
        <v>5.0303110173958894E-2</v>
      </c>
      <c r="BQ543" s="8">
        <v>5</v>
      </c>
      <c r="BR543" s="8" t="s">
        <v>1146</v>
      </c>
    </row>
    <row r="544" spans="1:70" x14ac:dyDescent="0.3">
      <c r="A544" s="11" t="s">
        <v>1147</v>
      </c>
      <c r="B544" s="12">
        <v>176600</v>
      </c>
      <c r="C544" s="12">
        <v>634500</v>
      </c>
      <c r="D544" s="12">
        <v>0.06</v>
      </c>
      <c r="E544" s="12">
        <v>0.15</v>
      </c>
      <c r="F544" s="12">
        <v>0.04</v>
      </c>
      <c r="G544" s="12">
        <v>0.08</v>
      </c>
      <c r="H544" s="12">
        <v>0.19</v>
      </c>
      <c r="I544" s="12">
        <v>0.05</v>
      </c>
      <c r="J544" s="12">
        <v>0.11</v>
      </c>
      <c r="K544" s="12">
        <v>0.26</v>
      </c>
      <c r="L544" s="12">
        <v>7.0000000000000007E-2</v>
      </c>
      <c r="M544" s="8">
        <v>8</v>
      </c>
      <c r="N544">
        <v>10</v>
      </c>
      <c r="O544" s="12">
        <v>12</v>
      </c>
      <c r="BF544" s="9">
        <v>5.43</v>
      </c>
      <c r="BG544" s="9">
        <f t="shared" si="17"/>
        <v>3.8674033149171269E-2</v>
      </c>
      <c r="BH544" s="9">
        <f t="shared" si="16"/>
        <v>5.0210470928702983E-2</v>
      </c>
      <c r="BQ544" s="8">
        <v>5</v>
      </c>
      <c r="BR544" s="8" t="s">
        <v>1148</v>
      </c>
    </row>
    <row r="545" spans="1:70" x14ac:dyDescent="0.3">
      <c r="A545" s="11" t="s">
        <v>1149</v>
      </c>
      <c r="B545" s="12">
        <v>264700</v>
      </c>
      <c r="C545" s="12">
        <v>753300</v>
      </c>
      <c r="D545" s="12">
        <v>0.26</v>
      </c>
      <c r="E545" s="12">
        <v>0.63</v>
      </c>
      <c r="F545" s="12">
        <v>0.12</v>
      </c>
      <c r="G545" s="12">
        <v>0.33</v>
      </c>
      <c r="H545" s="12">
        <v>0.84</v>
      </c>
      <c r="I545" s="12">
        <v>0.17</v>
      </c>
      <c r="J545" s="12">
        <v>0.45</v>
      </c>
      <c r="K545" s="12">
        <v>1.1499999999999999</v>
      </c>
      <c r="L545" s="12">
        <v>0.24</v>
      </c>
      <c r="M545" s="8">
        <v>5</v>
      </c>
      <c r="N545">
        <v>6</v>
      </c>
      <c r="O545" s="12">
        <v>6</v>
      </c>
      <c r="BF545" s="9">
        <v>5.44</v>
      </c>
      <c r="BG545" s="9">
        <f t="shared" si="17"/>
        <v>3.8602941176470583E-2</v>
      </c>
      <c r="BH545" s="9">
        <f t="shared" si="16"/>
        <v>5.0118172268907565E-2</v>
      </c>
      <c r="BQ545" s="8">
        <v>5</v>
      </c>
      <c r="BR545" s="8" t="s">
        <v>1150</v>
      </c>
    </row>
    <row r="546" spans="1:70" x14ac:dyDescent="0.3">
      <c r="A546" s="11" t="s">
        <v>1151</v>
      </c>
      <c r="B546" s="12">
        <v>253500</v>
      </c>
      <c r="C546" s="12">
        <v>736500</v>
      </c>
      <c r="D546" s="12">
        <v>0.27</v>
      </c>
      <c r="E546" s="12">
        <v>0.65</v>
      </c>
      <c r="F546" s="12">
        <v>0.12</v>
      </c>
      <c r="G546" s="12">
        <v>0.35</v>
      </c>
      <c r="H546" s="12">
        <v>0.87</v>
      </c>
      <c r="I546" s="12">
        <v>0.17</v>
      </c>
      <c r="J546" s="12">
        <v>0.47</v>
      </c>
      <c r="K546" s="12">
        <v>1.19</v>
      </c>
      <c r="L546" s="12">
        <v>0.25</v>
      </c>
      <c r="M546" s="8">
        <v>5</v>
      </c>
      <c r="N546">
        <v>5</v>
      </c>
      <c r="O546" s="12">
        <v>6</v>
      </c>
      <c r="BF546" s="9">
        <v>5.45</v>
      </c>
      <c r="BG546" s="9">
        <f t="shared" si="17"/>
        <v>3.8532110091743114E-2</v>
      </c>
      <c r="BH546" s="9">
        <f t="shared" si="16"/>
        <v>5.0026212319790306E-2</v>
      </c>
      <c r="BQ546" s="8">
        <v>7</v>
      </c>
      <c r="BR546" s="8" t="s">
        <v>1152</v>
      </c>
    </row>
    <row r="547" spans="1:70" x14ac:dyDescent="0.3">
      <c r="A547" s="11" t="s">
        <v>1153</v>
      </c>
      <c r="B547" s="12">
        <v>253000</v>
      </c>
      <c r="C547" s="12">
        <v>735600</v>
      </c>
      <c r="D547" s="12">
        <v>0.26</v>
      </c>
      <c r="E547" s="12">
        <v>0.65</v>
      </c>
      <c r="F547" s="12">
        <v>0.12</v>
      </c>
      <c r="G547" s="12">
        <v>0.34</v>
      </c>
      <c r="H547" s="12">
        <v>0.86</v>
      </c>
      <c r="I547" s="12">
        <v>0.17</v>
      </c>
      <c r="J547" s="12">
        <v>0.46</v>
      </c>
      <c r="K547" s="12">
        <v>1.18</v>
      </c>
      <c r="L547" s="12">
        <v>0.25</v>
      </c>
      <c r="M547" s="8">
        <v>5</v>
      </c>
      <c r="N547">
        <v>5</v>
      </c>
      <c r="O547" s="12">
        <v>6</v>
      </c>
      <c r="BF547" s="9">
        <v>5.46</v>
      </c>
      <c r="BG547" s="9">
        <f t="shared" si="17"/>
        <v>3.8461538461538464E-2</v>
      </c>
      <c r="BH547" s="9">
        <f t="shared" si="16"/>
        <v>4.9934589220303513E-2</v>
      </c>
      <c r="BQ547" s="8">
        <v>7</v>
      </c>
      <c r="BR547" s="8" t="s">
        <v>1154</v>
      </c>
    </row>
    <row r="548" spans="1:70" x14ac:dyDescent="0.3">
      <c r="A548" s="11" t="s">
        <v>1155</v>
      </c>
      <c r="B548" s="12">
        <v>208800</v>
      </c>
      <c r="C548" s="12">
        <v>572600</v>
      </c>
      <c r="D548" s="12">
        <v>0.09</v>
      </c>
      <c r="E548" s="12">
        <v>0.23</v>
      </c>
      <c r="F548" s="12">
        <v>0.05</v>
      </c>
      <c r="G548" s="12">
        <v>0.12</v>
      </c>
      <c r="H548" s="12">
        <v>0.28999999999999998</v>
      </c>
      <c r="I548" s="12">
        <v>7.0000000000000007E-2</v>
      </c>
      <c r="J548" s="12">
        <v>0.15</v>
      </c>
      <c r="K548" s="12">
        <v>0.39</v>
      </c>
      <c r="L548" s="12">
        <v>0.1</v>
      </c>
      <c r="M548" s="8">
        <v>7</v>
      </c>
      <c r="N548">
        <v>8</v>
      </c>
      <c r="O548" s="12">
        <v>10</v>
      </c>
      <c r="BF548" s="9">
        <v>5.47</v>
      </c>
      <c r="BG548" s="9">
        <f t="shared" si="17"/>
        <v>3.8391224862888484E-2</v>
      </c>
      <c r="BH548" s="9">
        <f t="shared" si="16"/>
        <v>4.9843301123008631E-2</v>
      </c>
      <c r="BQ548" s="8">
        <v>6</v>
      </c>
      <c r="BR548" s="8" t="s">
        <v>1156</v>
      </c>
    </row>
    <row r="549" spans="1:70" x14ac:dyDescent="0.3">
      <c r="A549" s="11" t="s">
        <v>1157</v>
      </c>
      <c r="B549" s="12">
        <v>204800</v>
      </c>
      <c r="C549" s="12">
        <v>631300</v>
      </c>
      <c r="D549" s="12">
        <v>7.0000000000000007E-2</v>
      </c>
      <c r="E549" s="12">
        <v>0.18</v>
      </c>
      <c r="F549" s="12">
        <v>0.05</v>
      </c>
      <c r="G549" s="12">
        <v>0.09</v>
      </c>
      <c r="H549" s="12">
        <v>0.23</v>
      </c>
      <c r="I549" s="12">
        <v>0.06</v>
      </c>
      <c r="J549" s="12">
        <v>0.11</v>
      </c>
      <c r="K549" s="12">
        <v>0.28999999999999998</v>
      </c>
      <c r="L549" s="12">
        <v>0.08</v>
      </c>
      <c r="M549" s="8">
        <v>7</v>
      </c>
      <c r="N549">
        <v>9</v>
      </c>
      <c r="O549" s="12">
        <v>11</v>
      </c>
      <c r="BF549" s="9">
        <v>5.48</v>
      </c>
      <c r="BG549" s="9">
        <f t="shared" si="17"/>
        <v>3.8321167883211674E-2</v>
      </c>
      <c r="BH549" s="9">
        <f t="shared" si="16"/>
        <v>4.9752346193952038E-2</v>
      </c>
      <c r="BQ549" s="8">
        <v>6</v>
      </c>
      <c r="BR549" s="8" t="s">
        <v>1158</v>
      </c>
    </row>
    <row r="550" spans="1:70" x14ac:dyDescent="0.3">
      <c r="A550" s="11" t="s">
        <v>1159</v>
      </c>
      <c r="B550" s="12">
        <v>228600</v>
      </c>
      <c r="C550" s="12">
        <v>763200</v>
      </c>
      <c r="D550" s="12">
        <v>0.14000000000000001</v>
      </c>
      <c r="E550" s="12">
        <v>0.34</v>
      </c>
      <c r="F550" s="12">
        <v>7.0000000000000007E-2</v>
      </c>
      <c r="G550" s="12">
        <v>0.17</v>
      </c>
      <c r="H550" s="12">
        <v>0.43</v>
      </c>
      <c r="I550" s="12">
        <v>0.09</v>
      </c>
      <c r="J550" s="12">
        <v>0.22</v>
      </c>
      <c r="K550" s="12">
        <v>0.56999999999999995</v>
      </c>
      <c r="L550" s="12">
        <v>0.12</v>
      </c>
      <c r="M550" s="8">
        <v>6</v>
      </c>
      <c r="N550">
        <v>8</v>
      </c>
      <c r="O550" s="12">
        <v>10</v>
      </c>
      <c r="BF550" s="9">
        <v>5.49</v>
      </c>
      <c r="BG550" s="9">
        <f t="shared" si="17"/>
        <v>3.8251366120218573E-2</v>
      </c>
      <c r="BH550" s="9">
        <f t="shared" si="16"/>
        <v>4.9661722612542293E-2</v>
      </c>
      <c r="BQ550" s="8">
        <v>8</v>
      </c>
      <c r="BR550" s="8" t="s">
        <v>1160</v>
      </c>
    </row>
    <row r="551" spans="1:70" x14ac:dyDescent="0.3">
      <c r="A551" s="11" t="s">
        <v>1161</v>
      </c>
      <c r="B551" s="12">
        <v>217400</v>
      </c>
      <c r="C551" s="12">
        <v>740400</v>
      </c>
      <c r="D551" s="12">
        <v>0.14000000000000001</v>
      </c>
      <c r="E551" s="12">
        <v>0.35</v>
      </c>
      <c r="F551" s="12">
        <v>7.0000000000000007E-2</v>
      </c>
      <c r="G551" s="12">
        <v>0.19</v>
      </c>
      <c r="H551" s="12">
        <v>0.48</v>
      </c>
      <c r="I551" s="12">
        <v>0.1</v>
      </c>
      <c r="J551" s="12">
        <v>0.27</v>
      </c>
      <c r="K551" s="12">
        <v>0.69</v>
      </c>
      <c r="L551" s="12">
        <v>0.14000000000000001</v>
      </c>
      <c r="M551" s="8">
        <v>6</v>
      </c>
      <c r="N551">
        <v>7</v>
      </c>
      <c r="O551" s="12">
        <v>8</v>
      </c>
      <c r="BF551" s="9">
        <v>5.5</v>
      </c>
      <c r="BG551" s="9">
        <f t="shared" si="17"/>
        <v>3.8181818181818178E-2</v>
      </c>
      <c r="BH551" s="9">
        <f t="shared" si="16"/>
        <v>4.9571428571428579E-2</v>
      </c>
      <c r="BQ551" s="8">
        <v>6</v>
      </c>
      <c r="BR551" s="8" t="s">
        <v>1162</v>
      </c>
    </row>
    <row r="552" spans="1:70" x14ac:dyDescent="0.3">
      <c r="A552" s="11" t="s">
        <v>1163</v>
      </c>
      <c r="B552" s="12">
        <v>173600</v>
      </c>
      <c r="C552" s="12">
        <v>637800</v>
      </c>
      <c r="D552" s="12">
        <v>0.06</v>
      </c>
      <c r="E552" s="12">
        <v>0.14000000000000001</v>
      </c>
      <c r="F552" s="12">
        <v>0.04</v>
      </c>
      <c r="G552" s="12">
        <v>0.08</v>
      </c>
      <c r="H552" s="12">
        <v>0.19</v>
      </c>
      <c r="I552" s="12">
        <v>0.05</v>
      </c>
      <c r="J552" s="12">
        <v>0.1</v>
      </c>
      <c r="K552" s="12">
        <v>0.25</v>
      </c>
      <c r="L552" s="12">
        <v>7.0000000000000007E-2</v>
      </c>
      <c r="M552" s="8">
        <v>8</v>
      </c>
      <c r="N552">
        <v>10</v>
      </c>
      <c r="O552" s="12">
        <v>12</v>
      </c>
      <c r="BF552" s="9">
        <v>5.51</v>
      </c>
      <c r="BG552" s="9">
        <f t="shared" si="17"/>
        <v>3.8112522686025406E-2</v>
      </c>
      <c r="BH552" s="9">
        <f t="shared" si="16"/>
        <v>4.9481462276380617E-2</v>
      </c>
      <c r="BQ552" s="8">
        <v>8</v>
      </c>
      <c r="BR552" s="8" t="s">
        <v>1164</v>
      </c>
    </row>
    <row r="553" spans="1:70" x14ac:dyDescent="0.3">
      <c r="A553" s="11" t="s">
        <v>1165</v>
      </c>
      <c r="B553" s="12">
        <v>231800</v>
      </c>
      <c r="C553" s="12">
        <v>637100</v>
      </c>
      <c r="D553" s="12">
        <v>0.14000000000000001</v>
      </c>
      <c r="E553" s="12">
        <v>0.36</v>
      </c>
      <c r="F553" s="12">
        <v>7.0000000000000007E-2</v>
      </c>
      <c r="G553" s="12">
        <v>0.18</v>
      </c>
      <c r="H553" s="12">
        <v>0.47</v>
      </c>
      <c r="I553" s="12">
        <v>0.1</v>
      </c>
      <c r="J553" s="12">
        <v>0.24</v>
      </c>
      <c r="K553" s="12">
        <v>0.64</v>
      </c>
      <c r="L553" s="12">
        <v>0.14000000000000001</v>
      </c>
      <c r="M553" s="8">
        <v>6</v>
      </c>
      <c r="N553">
        <v>7</v>
      </c>
      <c r="O553" s="12">
        <v>8</v>
      </c>
      <c r="BF553" s="9">
        <v>5.52</v>
      </c>
      <c r="BG553" s="9">
        <f t="shared" si="17"/>
        <v>3.8043478260869568E-2</v>
      </c>
      <c r="BH553" s="9">
        <f t="shared" si="16"/>
        <v>4.9391821946169784E-2</v>
      </c>
      <c r="BQ553" s="8">
        <v>8</v>
      </c>
      <c r="BR553" s="8" t="s">
        <v>1166</v>
      </c>
    </row>
    <row r="554" spans="1:70" x14ac:dyDescent="0.3">
      <c r="A554" s="11" t="s">
        <v>1167</v>
      </c>
      <c r="B554" s="12">
        <v>195000</v>
      </c>
      <c r="C554" s="12">
        <v>633500</v>
      </c>
      <c r="D554" s="12">
        <v>7.0000000000000007E-2</v>
      </c>
      <c r="E554" s="12">
        <v>0.16</v>
      </c>
      <c r="F554" s="12">
        <v>0.04</v>
      </c>
      <c r="G554" s="12">
        <v>0.08</v>
      </c>
      <c r="H554" s="12">
        <v>0.2</v>
      </c>
      <c r="I554" s="12">
        <v>0.06</v>
      </c>
      <c r="J554" s="12">
        <v>0.1</v>
      </c>
      <c r="K554" s="12">
        <v>0.26</v>
      </c>
      <c r="L554" s="12">
        <v>0.08</v>
      </c>
      <c r="M554" s="8">
        <v>8</v>
      </c>
      <c r="N554">
        <v>9</v>
      </c>
      <c r="O554" s="12">
        <v>12</v>
      </c>
      <c r="BF554" s="9">
        <v>5.53</v>
      </c>
      <c r="BG554" s="9">
        <f t="shared" si="17"/>
        <v>3.7974683544303792E-2</v>
      </c>
      <c r="BH554" s="9">
        <f t="shared" si="16"/>
        <v>4.9302505812451568E-2</v>
      </c>
      <c r="BQ554" s="8">
        <v>6</v>
      </c>
      <c r="BR554" s="8" t="s">
        <v>1168</v>
      </c>
    </row>
    <row r="555" spans="1:70" x14ac:dyDescent="0.3">
      <c r="A555" s="11" t="s">
        <v>1169</v>
      </c>
      <c r="B555" s="12">
        <v>176900</v>
      </c>
      <c r="C555" s="12">
        <v>628000</v>
      </c>
      <c r="D555" s="12">
        <v>0.06</v>
      </c>
      <c r="E555" s="12">
        <v>0.16</v>
      </c>
      <c r="F555" s="12">
        <v>0.04</v>
      </c>
      <c r="G555" s="12">
        <v>0.08</v>
      </c>
      <c r="H555" s="12">
        <v>0.2</v>
      </c>
      <c r="I555" s="12">
        <v>0.05</v>
      </c>
      <c r="J555" s="12">
        <v>0.11</v>
      </c>
      <c r="K555" s="12">
        <v>0.28000000000000003</v>
      </c>
      <c r="L555" s="12">
        <v>7.0000000000000007E-2</v>
      </c>
      <c r="M555" s="8">
        <v>8</v>
      </c>
      <c r="N555">
        <v>10</v>
      </c>
      <c r="O555" s="12">
        <v>12</v>
      </c>
      <c r="BF555" s="9">
        <v>5.54</v>
      </c>
      <c r="BG555" s="9">
        <f t="shared" si="17"/>
        <v>3.7906137184115521E-2</v>
      </c>
      <c r="BH555" s="9">
        <f t="shared" si="16"/>
        <v>4.9213512119649312E-2</v>
      </c>
      <c r="BQ555" s="8">
        <v>8</v>
      </c>
      <c r="BR555" s="8" t="s">
        <v>1170</v>
      </c>
    </row>
    <row r="556" spans="1:70" x14ac:dyDescent="0.3">
      <c r="A556" s="11" t="s">
        <v>1171</v>
      </c>
      <c r="B556" s="12">
        <v>208400</v>
      </c>
      <c r="C556" s="12">
        <v>747200</v>
      </c>
      <c r="D556" s="12">
        <v>0.14000000000000001</v>
      </c>
      <c r="E556" s="12">
        <v>0.34</v>
      </c>
      <c r="F556" s="12">
        <v>7.0000000000000007E-2</v>
      </c>
      <c r="G556" s="12">
        <v>0.19</v>
      </c>
      <c r="H556" s="12">
        <v>0.47</v>
      </c>
      <c r="I556" s="12">
        <v>0.09</v>
      </c>
      <c r="J556" s="12">
        <v>0.28000000000000003</v>
      </c>
      <c r="K556" s="12">
        <v>0.69</v>
      </c>
      <c r="L556" s="12">
        <v>0.13</v>
      </c>
      <c r="M556" s="8">
        <v>6</v>
      </c>
      <c r="N556">
        <v>7</v>
      </c>
      <c r="O556" s="12">
        <v>8</v>
      </c>
      <c r="BF556" s="9">
        <v>5.55</v>
      </c>
      <c r="BG556" s="9">
        <f t="shared" si="17"/>
        <v>3.783783783783784E-2</v>
      </c>
      <c r="BH556" s="9">
        <f t="shared" si="16"/>
        <v>4.9124839124839136E-2</v>
      </c>
      <c r="BQ556" s="8">
        <v>5</v>
      </c>
      <c r="BR556" s="8" t="s">
        <v>1172</v>
      </c>
    </row>
    <row r="557" spans="1:70" x14ac:dyDescent="0.3">
      <c r="A557" s="11" t="s">
        <v>1173</v>
      </c>
      <c r="B557" s="12">
        <v>183100</v>
      </c>
      <c r="C557" s="12">
        <v>642800</v>
      </c>
      <c r="D557" s="12">
        <v>0.06</v>
      </c>
      <c r="E557" s="12">
        <v>0.14000000000000001</v>
      </c>
      <c r="F557" s="12">
        <v>0.04</v>
      </c>
      <c r="G557" s="12">
        <v>7.0000000000000007E-2</v>
      </c>
      <c r="H557" s="12">
        <v>0.18</v>
      </c>
      <c r="I557" s="12">
        <v>0.05</v>
      </c>
      <c r="J557" s="12">
        <v>0.09</v>
      </c>
      <c r="K557" s="12">
        <v>0.23</v>
      </c>
      <c r="L557" s="12">
        <v>7.0000000000000007E-2</v>
      </c>
      <c r="M557" s="8">
        <v>8</v>
      </c>
      <c r="N557">
        <v>10</v>
      </c>
      <c r="O557" s="12">
        <v>12</v>
      </c>
      <c r="BF557" s="9">
        <v>5.56</v>
      </c>
      <c r="BG557" s="9">
        <f t="shared" si="17"/>
        <v>3.7769784172661872E-2</v>
      </c>
      <c r="BH557" s="9">
        <f t="shared" si="16"/>
        <v>4.9036485097636189E-2</v>
      </c>
      <c r="BQ557" s="8">
        <v>8</v>
      </c>
      <c r="BR557" s="8" t="s">
        <v>1174</v>
      </c>
    </row>
    <row r="558" spans="1:70" x14ac:dyDescent="0.3">
      <c r="A558" s="11" t="s">
        <v>1175</v>
      </c>
      <c r="B558" s="12">
        <v>257200</v>
      </c>
      <c r="C558" s="12">
        <v>786200</v>
      </c>
      <c r="D558" s="12">
        <v>0.26</v>
      </c>
      <c r="E558" s="12">
        <v>0.65</v>
      </c>
      <c r="F558" s="12">
        <v>0.12</v>
      </c>
      <c r="G558" s="12">
        <v>0.35</v>
      </c>
      <c r="H558" s="12">
        <v>0.87</v>
      </c>
      <c r="I558" s="12">
        <v>0.17</v>
      </c>
      <c r="J558" s="12">
        <v>0.47</v>
      </c>
      <c r="K558" s="12">
        <v>1.2</v>
      </c>
      <c r="L558" s="12">
        <v>0.25</v>
      </c>
      <c r="M558" s="8">
        <v>5</v>
      </c>
      <c r="N558">
        <v>6</v>
      </c>
      <c r="O558" s="12">
        <v>7</v>
      </c>
      <c r="BF558" s="9">
        <v>5.57</v>
      </c>
      <c r="BG558" s="9">
        <f t="shared" si="17"/>
        <v>3.7701974865350089E-2</v>
      </c>
      <c r="BH558" s="9">
        <f t="shared" si="16"/>
        <v>4.8948448320082077E-2</v>
      </c>
      <c r="BQ558" s="8">
        <v>8</v>
      </c>
      <c r="BR558" s="8" t="s">
        <v>1176</v>
      </c>
    </row>
    <row r="559" spans="1:70" x14ac:dyDescent="0.3">
      <c r="A559" s="11" t="s">
        <v>1177</v>
      </c>
      <c r="B559" s="12">
        <v>195200</v>
      </c>
      <c r="C559" s="12">
        <v>641100</v>
      </c>
      <c r="D559" s="12">
        <v>0.06</v>
      </c>
      <c r="E559" s="12">
        <v>0.16</v>
      </c>
      <c r="F559" s="12">
        <v>0.04</v>
      </c>
      <c r="G559" s="12">
        <v>0.08</v>
      </c>
      <c r="H559" s="12">
        <v>0.2</v>
      </c>
      <c r="I559" s="12">
        <v>0.06</v>
      </c>
      <c r="J559" s="12">
        <v>0.1</v>
      </c>
      <c r="K559" s="12">
        <v>0.25</v>
      </c>
      <c r="L559" s="12">
        <v>0.08</v>
      </c>
      <c r="M559" s="8">
        <v>8</v>
      </c>
      <c r="N559">
        <v>9</v>
      </c>
      <c r="O559" s="12">
        <v>12</v>
      </c>
      <c r="BF559" s="9">
        <v>5.58</v>
      </c>
      <c r="BG559" s="9">
        <f t="shared" si="17"/>
        <v>3.7634408602150539E-2</v>
      </c>
      <c r="BH559" s="9">
        <f t="shared" si="16"/>
        <v>4.8860727086533544E-2</v>
      </c>
      <c r="BQ559" s="8">
        <v>6</v>
      </c>
      <c r="BR559" s="8" t="s">
        <v>1178</v>
      </c>
    </row>
    <row r="560" spans="1:70" x14ac:dyDescent="0.3">
      <c r="A560" s="11" t="s">
        <v>1179</v>
      </c>
      <c r="B560" s="12">
        <v>197500</v>
      </c>
      <c r="C560" s="12">
        <v>670800</v>
      </c>
      <c r="D560" s="12">
        <v>7.0000000000000007E-2</v>
      </c>
      <c r="E560" s="12">
        <v>0.17</v>
      </c>
      <c r="F560" s="12">
        <v>0.05</v>
      </c>
      <c r="G560" s="12">
        <v>0.08</v>
      </c>
      <c r="H560" s="12">
        <v>0.21</v>
      </c>
      <c r="I560" s="12">
        <v>0.06</v>
      </c>
      <c r="J560" s="12">
        <v>0.11</v>
      </c>
      <c r="K560" s="12">
        <v>0.27</v>
      </c>
      <c r="L560" s="12">
        <v>0.08</v>
      </c>
      <c r="M560" s="8">
        <v>8</v>
      </c>
      <c r="N560">
        <v>9</v>
      </c>
      <c r="O560" s="12">
        <v>12</v>
      </c>
      <c r="BF560" s="9">
        <v>5.59</v>
      </c>
      <c r="BG560" s="9">
        <f t="shared" si="17"/>
        <v>3.7567084078711982E-2</v>
      </c>
      <c r="BH560" s="9">
        <f t="shared" si="16"/>
        <v>4.8773319703552268E-2</v>
      </c>
      <c r="BQ560" s="8">
        <v>6</v>
      </c>
      <c r="BR560" s="8" t="s">
        <v>1180</v>
      </c>
    </row>
    <row r="561" spans="1:70" x14ac:dyDescent="0.3">
      <c r="A561" s="11" t="s">
        <v>1181</v>
      </c>
      <c r="B561" s="12">
        <v>218300</v>
      </c>
      <c r="C561" s="12">
        <v>728000</v>
      </c>
      <c r="D561" s="12">
        <v>0.15</v>
      </c>
      <c r="E561" s="12">
        <v>0.36</v>
      </c>
      <c r="F561" s="12">
        <v>7.0000000000000007E-2</v>
      </c>
      <c r="G561" s="12">
        <v>0.2</v>
      </c>
      <c r="H561" s="12">
        <v>0.5</v>
      </c>
      <c r="I561" s="12">
        <v>0.1</v>
      </c>
      <c r="J561" s="12">
        <v>0.28999999999999998</v>
      </c>
      <c r="K561" s="12">
        <v>0.72</v>
      </c>
      <c r="L561" s="12">
        <v>0.14000000000000001</v>
      </c>
      <c r="M561" s="8">
        <v>6</v>
      </c>
      <c r="N561">
        <v>7</v>
      </c>
      <c r="O561" s="12">
        <v>8</v>
      </c>
      <c r="BF561" s="9">
        <v>5.6</v>
      </c>
      <c r="BG561" s="9">
        <f t="shared" si="17"/>
        <v>3.7499999999999999E-2</v>
      </c>
      <c r="BH561" s="9">
        <f t="shared" si="16"/>
        <v>4.8686224489795926E-2</v>
      </c>
      <c r="BQ561" s="8">
        <v>7</v>
      </c>
      <c r="BR561" s="8" t="s">
        <v>1182</v>
      </c>
    </row>
    <row r="562" spans="1:70" x14ac:dyDescent="0.3">
      <c r="A562" s="11" t="s">
        <v>1183</v>
      </c>
      <c r="B562" s="12">
        <v>227500</v>
      </c>
      <c r="C562" s="12">
        <v>727700</v>
      </c>
      <c r="D562" s="12">
        <v>0.15</v>
      </c>
      <c r="E562" s="12">
        <v>0.39</v>
      </c>
      <c r="F562" s="12">
        <v>0.08</v>
      </c>
      <c r="G562" s="12">
        <v>0.2</v>
      </c>
      <c r="H562" s="12">
        <v>0.51</v>
      </c>
      <c r="I562" s="12">
        <v>0.1</v>
      </c>
      <c r="J562" s="12">
        <v>0.28000000000000003</v>
      </c>
      <c r="K562" s="12">
        <v>0.71</v>
      </c>
      <c r="L562" s="12">
        <v>0.15</v>
      </c>
      <c r="M562" s="8">
        <v>6</v>
      </c>
      <c r="N562">
        <v>7</v>
      </c>
      <c r="O562" s="12">
        <v>8</v>
      </c>
      <c r="BF562" s="9">
        <v>5.61</v>
      </c>
      <c r="BG562" s="9">
        <f t="shared" si="17"/>
        <v>3.7433155080213901E-2</v>
      </c>
      <c r="BH562" s="9">
        <f t="shared" si="16"/>
        <v>4.8599439775910372E-2</v>
      </c>
      <c r="BQ562" s="8">
        <v>7</v>
      </c>
      <c r="BR562" s="8" t="s">
        <v>1184</v>
      </c>
    </row>
    <row r="563" spans="1:70" x14ac:dyDescent="0.3">
      <c r="A563" s="11" t="s">
        <v>1185</v>
      </c>
      <c r="B563" s="12">
        <v>196500</v>
      </c>
      <c r="C563" s="12">
        <v>741300</v>
      </c>
      <c r="D563" s="12">
        <v>0.12</v>
      </c>
      <c r="E563" s="12">
        <v>0.28999999999999998</v>
      </c>
      <c r="F563" s="12">
        <v>0.06</v>
      </c>
      <c r="G563" s="12">
        <v>0.17</v>
      </c>
      <c r="H563" s="12">
        <v>0.41</v>
      </c>
      <c r="I563" s="12">
        <v>0.08</v>
      </c>
      <c r="J563" s="12">
        <v>0.24</v>
      </c>
      <c r="K563" s="12">
        <v>0.6</v>
      </c>
      <c r="L563" s="12">
        <v>0.12</v>
      </c>
      <c r="M563" s="8">
        <v>7</v>
      </c>
      <c r="N563">
        <v>8</v>
      </c>
      <c r="O563" s="12">
        <v>9</v>
      </c>
      <c r="BF563" s="9">
        <v>5.62</v>
      </c>
      <c r="BG563" s="9">
        <f t="shared" si="17"/>
        <v>3.7366548042704624E-2</v>
      </c>
      <c r="BH563" s="9">
        <f t="shared" si="16"/>
        <v>4.8512963904422987E-2</v>
      </c>
      <c r="BQ563" s="8">
        <v>5</v>
      </c>
      <c r="BR563" s="8" t="s">
        <v>1186</v>
      </c>
    </row>
    <row r="564" spans="1:70" x14ac:dyDescent="0.3">
      <c r="A564" s="11" t="s">
        <v>1187</v>
      </c>
      <c r="B564" s="12">
        <v>200700</v>
      </c>
      <c r="C564" s="12">
        <v>712400</v>
      </c>
      <c r="D564" s="12">
        <v>0.09</v>
      </c>
      <c r="E564" s="12">
        <v>0.22</v>
      </c>
      <c r="F564" s="12">
        <v>0.05</v>
      </c>
      <c r="G564" s="12">
        <v>0.11</v>
      </c>
      <c r="H564" s="12">
        <v>0.28000000000000003</v>
      </c>
      <c r="I564" s="12">
        <v>7.0000000000000007E-2</v>
      </c>
      <c r="J564" s="12">
        <v>0.15</v>
      </c>
      <c r="K564" s="12">
        <v>0.39</v>
      </c>
      <c r="L564" s="12">
        <v>0.09</v>
      </c>
      <c r="M564" s="8">
        <v>7</v>
      </c>
      <c r="N564">
        <v>9</v>
      </c>
      <c r="O564" s="12">
        <v>11</v>
      </c>
      <c r="BF564" s="9">
        <v>5.63</v>
      </c>
      <c r="BG564" s="9">
        <f t="shared" si="17"/>
        <v>3.7300177619893425E-2</v>
      </c>
      <c r="BH564" s="9">
        <f t="shared" si="16"/>
        <v>4.8426795229637158E-2</v>
      </c>
      <c r="BQ564" s="8">
        <v>8</v>
      </c>
      <c r="BR564" s="8" t="s">
        <v>1188</v>
      </c>
    </row>
    <row r="565" spans="1:70" x14ac:dyDescent="0.3">
      <c r="A565" s="11" t="s">
        <v>1189</v>
      </c>
      <c r="B565" s="12">
        <v>254000</v>
      </c>
      <c r="C565" s="12">
        <v>794200</v>
      </c>
      <c r="D565" s="12">
        <v>0.24</v>
      </c>
      <c r="E565" s="12">
        <v>0.59</v>
      </c>
      <c r="F565" s="12">
        <v>0.11</v>
      </c>
      <c r="G565" s="12">
        <v>0.32</v>
      </c>
      <c r="H565" s="12">
        <v>0.79</v>
      </c>
      <c r="I565" s="12">
        <v>0.16</v>
      </c>
      <c r="J565" s="12">
        <v>0.43</v>
      </c>
      <c r="K565" s="12">
        <v>1.0900000000000001</v>
      </c>
      <c r="L565" s="12">
        <v>0.23</v>
      </c>
      <c r="M565" s="8">
        <v>5</v>
      </c>
      <c r="N565">
        <v>6</v>
      </c>
      <c r="O565" s="12">
        <v>7</v>
      </c>
      <c r="BF565" s="9">
        <v>5.64</v>
      </c>
      <c r="BG565" s="9">
        <f t="shared" si="17"/>
        <v>3.7234042553191488E-2</v>
      </c>
      <c r="BH565" s="9">
        <f t="shared" si="16"/>
        <v>4.8340932117527873E-2</v>
      </c>
      <c r="BQ565" s="8">
        <v>7</v>
      </c>
      <c r="BR565" s="8" t="s">
        <v>1190</v>
      </c>
    </row>
    <row r="566" spans="1:70" x14ac:dyDescent="0.3">
      <c r="A566" s="11" t="s">
        <v>1191</v>
      </c>
      <c r="B566" s="12">
        <v>193700</v>
      </c>
      <c r="C566" s="12">
        <v>648900</v>
      </c>
      <c r="D566" s="12">
        <v>0.06</v>
      </c>
      <c r="E566" s="12">
        <v>0.15</v>
      </c>
      <c r="F566" s="12">
        <v>0.04</v>
      </c>
      <c r="G566" s="12">
        <v>0.08</v>
      </c>
      <c r="H566" s="12">
        <v>0.19</v>
      </c>
      <c r="I566" s="12">
        <v>0.06</v>
      </c>
      <c r="J566" s="12">
        <v>0.1</v>
      </c>
      <c r="K566" s="12">
        <v>0.25</v>
      </c>
      <c r="L566" s="12">
        <v>0.08</v>
      </c>
      <c r="M566" s="8">
        <v>8</v>
      </c>
      <c r="N566">
        <v>10</v>
      </c>
      <c r="O566" s="12">
        <v>12</v>
      </c>
      <c r="BF566" s="9">
        <v>5.65</v>
      </c>
      <c r="BG566" s="9">
        <f t="shared" si="17"/>
        <v>3.7168141592920353E-2</v>
      </c>
      <c r="BH566" s="9">
        <f t="shared" si="16"/>
        <v>4.825537294563844E-2</v>
      </c>
      <c r="BQ566" s="8">
        <v>6</v>
      </c>
      <c r="BR566" s="8" t="s">
        <v>1192</v>
      </c>
    </row>
    <row r="567" spans="1:70" x14ac:dyDescent="0.3">
      <c r="A567" s="11" t="s">
        <v>1193</v>
      </c>
      <c r="B567" s="12">
        <v>204200</v>
      </c>
      <c r="C567" s="12">
        <v>647700</v>
      </c>
      <c r="D567" s="12">
        <v>7.0000000000000007E-2</v>
      </c>
      <c r="E567" s="12">
        <v>0.18</v>
      </c>
      <c r="F567" s="12">
        <v>0.05</v>
      </c>
      <c r="G567" s="12">
        <v>0.09</v>
      </c>
      <c r="H567" s="12">
        <v>0.23</v>
      </c>
      <c r="I567" s="12">
        <v>0.06</v>
      </c>
      <c r="J567" s="12">
        <v>0.12</v>
      </c>
      <c r="K567" s="12">
        <v>0.3</v>
      </c>
      <c r="L567" s="12">
        <v>0.09</v>
      </c>
      <c r="M567" s="8">
        <v>7</v>
      </c>
      <c r="N567">
        <v>9</v>
      </c>
      <c r="O567" s="12">
        <v>11</v>
      </c>
      <c r="BF567" s="9">
        <v>5.66</v>
      </c>
      <c r="BG567" s="9">
        <f t="shared" si="17"/>
        <v>3.7102473498233215E-2</v>
      </c>
      <c r="BH567" s="9">
        <f t="shared" si="16"/>
        <v>4.8170116102978298E-2</v>
      </c>
      <c r="BQ567" s="8">
        <v>6</v>
      </c>
      <c r="BR567" s="8" t="s">
        <v>1194</v>
      </c>
    </row>
    <row r="568" spans="1:70" x14ac:dyDescent="0.3">
      <c r="A568" s="11" t="s">
        <v>1195</v>
      </c>
      <c r="B568" s="12">
        <v>225900</v>
      </c>
      <c r="C568" s="12">
        <v>734100</v>
      </c>
      <c r="D568" s="12">
        <v>0.15</v>
      </c>
      <c r="E568" s="12">
        <v>0.37</v>
      </c>
      <c r="F568" s="12">
        <v>7.0000000000000007E-2</v>
      </c>
      <c r="G568" s="12">
        <v>0.19</v>
      </c>
      <c r="H568" s="12">
        <v>0.49</v>
      </c>
      <c r="I568" s="12">
        <v>0.1</v>
      </c>
      <c r="J568" s="12">
        <v>0.27</v>
      </c>
      <c r="K568" s="12">
        <v>0.68</v>
      </c>
      <c r="L568" s="12">
        <v>0.14000000000000001</v>
      </c>
      <c r="M568" s="8">
        <v>6</v>
      </c>
      <c r="N568">
        <v>7</v>
      </c>
      <c r="O568" s="12">
        <v>8</v>
      </c>
      <c r="BF568" s="9">
        <v>5.67</v>
      </c>
      <c r="BG568" s="9">
        <f t="shared" si="17"/>
        <v>3.7037037037037035E-2</v>
      </c>
      <c r="BH568" s="9">
        <f t="shared" si="16"/>
        <v>4.8085159989921904E-2</v>
      </c>
      <c r="BQ568" s="8">
        <v>8</v>
      </c>
      <c r="BR568" s="8" t="s">
        <v>1196</v>
      </c>
    </row>
    <row r="569" spans="1:70" x14ac:dyDescent="0.3">
      <c r="A569" s="11" t="s">
        <v>1197</v>
      </c>
      <c r="B569" s="12">
        <v>211100</v>
      </c>
      <c r="C569" s="12">
        <v>744000</v>
      </c>
      <c r="D569" s="12">
        <v>0.14000000000000001</v>
      </c>
      <c r="E569" s="12">
        <v>0.34</v>
      </c>
      <c r="F569" s="12">
        <v>7.0000000000000007E-2</v>
      </c>
      <c r="G569" s="12">
        <v>0.2</v>
      </c>
      <c r="H569" s="12">
        <v>0.48</v>
      </c>
      <c r="I569" s="12">
        <v>0.09</v>
      </c>
      <c r="J569" s="12">
        <v>0.28000000000000003</v>
      </c>
      <c r="K569" s="12">
        <v>0.7</v>
      </c>
      <c r="L569" s="12">
        <v>0.14000000000000001</v>
      </c>
      <c r="M569" s="8">
        <v>6</v>
      </c>
      <c r="N569">
        <v>7</v>
      </c>
      <c r="O569" s="12">
        <v>8</v>
      </c>
      <c r="BF569" s="9">
        <v>5.68</v>
      </c>
      <c r="BG569" s="9">
        <f t="shared" si="17"/>
        <v>3.6971830985915492E-2</v>
      </c>
      <c r="BH569" s="9">
        <f t="shared" si="16"/>
        <v>4.800050301810866E-2</v>
      </c>
      <c r="BQ569" s="8">
        <v>6</v>
      </c>
      <c r="BR569" s="8" t="s">
        <v>1198</v>
      </c>
    </row>
    <row r="570" spans="1:70" x14ac:dyDescent="0.3">
      <c r="A570" s="11" t="s">
        <v>1199</v>
      </c>
      <c r="B570" s="12">
        <v>176500</v>
      </c>
      <c r="C570" s="12">
        <v>643700</v>
      </c>
      <c r="D570" s="12">
        <v>0.06</v>
      </c>
      <c r="E570" s="12">
        <v>0.14000000000000001</v>
      </c>
      <c r="F570" s="12">
        <v>0.04</v>
      </c>
      <c r="G570" s="12">
        <v>7.0000000000000007E-2</v>
      </c>
      <c r="H570" s="12">
        <v>0.18</v>
      </c>
      <c r="I570" s="12">
        <v>0.05</v>
      </c>
      <c r="J570" s="12">
        <v>0.09</v>
      </c>
      <c r="K570" s="12">
        <v>0.23</v>
      </c>
      <c r="L570" s="12">
        <v>7.0000000000000007E-2</v>
      </c>
      <c r="M570" s="8">
        <v>8</v>
      </c>
      <c r="N570">
        <v>10</v>
      </c>
      <c r="O570" s="12">
        <v>12</v>
      </c>
      <c r="BF570" s="9">
        <v>5.69</v>
      </c>
      <c r="BG570" s="9">
        <f t="shared" si="17"/>
        <v>3.6906854130052721E-2</v>
      </c>
      <c r="BH570" s="9">
        <f t="shared" si="16"/>
        <v>4.7916143610343964E-2</v>
      </c>
      <c r="BQ570" s="8">
        <v>5</v>
      </c>
      <c r="BR570" s="8" t="s">
        <v>1200</v>
      </c>
    </row>
    <row r="571" spans="1:70" x14ac:dyDescent="0.3">
      <c r="A571" s="11" t="s">
        <v>1201</v>
      </c>
      <c r="B571" s="12">
        <v>209300</v>
      </c>
      <c r="C571" s="12">
        <v>738700</v>
      </c>
      <c r="D571" s="12">
        <v>0.14000000000000001</v>
      </c>
      <c r="E571" s="12">
        <v>0.34</v>
      </c>
      <c r="F571" s="12">
        <v>7.0000000000000007E-2</v>
      </c>
      <c r="G571" s="12">
        <v>0.2</v>
      </c>
      <c r="H571" s="12">
        <v>0.48</v>
      </c>
      <c r="I571" s="12">
        <v>0.1</v>
      </c>
      <c r="J571" s="12">
        <v>0.28999999999999998</v>
      </c>
      <c r="K571" s="12">
        <v>0.72</v>
      </c>
      <c r="L571" s="12">
        <v>0.14000000000000001</v>
      </c>
      <c r="M571" s="8">
        <v>6</v>
      </c>
      <c r="N571">
        <v>7</v>
      </c>
      <c r="O571" s="12">
        <v>8</v>
      </c>
      <c r="BF571" s="9">
        <v>5.7</v>
      </c>
      <c r="BG571" s="9">
        <f t="shared" si="17"/>
        <v>3.6842105263157891E-2</v>
      </c>
      <c r="BH571" s="9">
        <f t="shared" si="16"/>
        <v>4.783208020050126E-2</v>
      </c>
      <c r="BQ571" s="8">
        <v>8</v>
      </c>
      <c r="BR571" s="8" t="s">
        <v>1202</v>
      </c>
    </row>
    <row r="572" spans="1:70" x14ac:dyDescent="0.3">
      <c r="A572" s="11" t="s">
        <v>1203</v>
      </c>
      <c r="B572" s="12">
        <v>256800</v>
      </c>
      <c r="C572" s="12">
        <v>764400</v>
      </c>
      <c r="D572" s="12">
        <v>0.28000000000000003</v>
      </c>
      <c r="E572" s="12">
        <v>0.69</v>
      </c>
      <c r="F572" s="12">
        <v>0.13</v>
      </c>
      <c r="G572" s="12">
        <v>0.37</v>
      </c>
      <c r="H572" s="12">
        <v>0.91</v>
      </c>
      <c r="I572" s="12">
        <v>0.18</v>
      </c>
      <c r="J572" s="12">
        <v>0.49</v>
      </c>
      <c r="K572" s="12">
        <v>1.25</v>
      </c>
      <c r="L572" s="12">
        <v>0.27</v>
      </c>
      <c r="M572" s="8">
        <v>5</v>
      </c>
      <c r="N572">
        <v>5</v>
      </c>
      <c r="O572" s="12">
        <v>6</v>
      </c>
      <c r="BF572" s="9">
        <v>5.71</v>
      </c>
      <c r="BG572" s="9">
        <f t="shared" si="17"/>
        <v>3.6777583187390543E-2</v>
      </c>
      <c r="BH572" s="9">
        <f t="shared" si="16"/>
        <v>4.7748311233425079E-2</v>
      </c>
      <c r="BQ572" s="8">
        <v>8</v>
      </c>
      <c r="BR572" s="8" t="s">
        <v>1204</v>
      </c>
    </row>
    <row r="573" spans="1:70" x14ac:dyDescent="0.3">
      <c r="A573" s="11" t="s">
        <v>1205</v>
      </c>
      <c r="B573" s="12">
        <v>194000</v>
      </c>
      <c r="C573" s="12">
        <v>683600</v>
      </c>
      <c r="D573" s="12">
        <v>7.0000000000000007E-2</v>
      </c>
      <c r="E573" s="12">
        <v>0.17</v>
      </c>
      <c r="F573" s="12">
        <v>0.05</v>
      </c>
      <c r="G573" s="12">
        <v>0.08</v>
      </c>
      <c r="H573" s="12">
        <v>0.21</v>
      </c>
      <c r="I573" s="12">
        <v>0.06</v>
      </c>
      <c r="J573" s="12">
        <v>0.11</v>
      </c>
      <c r="K573" s="12">
        <v>0.27</v>
      </c>
      <c r="L573" s="12">
        <v>0.08</v>
      </c>
      <c r="M573" s="8">
        <v>8</v>
      </c>
      <c r="N573">
        <v>9</v>
      </c>
      <c r="O573" s="12">
        <v>12</v>
      </c>
      <c r="BF573" s="9">
        <v>5.72</v>
      </c>
      <c r="BG573" s="9">
        <f t="shared" si="17"/>
        <v>3.6713286713286712E-2</v>
      </c>
      <c r="BH573" s="9">
        <f t="shared" si="16"/>
        <v>4.7664835164835176E-2</v>
      </c>
      <c r="BQ573" s="8">
        <v>8</v>
      </c>
      <c r="BR573" s="8" t="s">
        <v>1206</v>
      </c>
    </row>
    <row r="574" spans="1:70" x14ac:dyDescent="0.3">
      <c r="A574" s="11" t="s">
        <v>1207</v>
      </c>
      <c r="B574" s="12">
        <v>191900</v>
      </c>
      <c r="C574" s="12">
        <v>699700</v>
      </c>
      <c r="D574" s="12">
        <v>7.0000000000000007E-2</v>
      </c>
      <c r="E574" s="12">
        <v>0.17</v>
      </c>
      <c r="F574" s="12">
        <v>0.05</v>
      </c>
      <c r="G574" s="12">
        <v>0.09</v>
      </c>
      <c r="H574" s="12">
        <v>0.22</v>
      </c>
      <c r="I574" s="12">
        <v>0.06</v>
      </c>
      <c r="J574" s="12">
        <v>0.12</v>
      </c>
      <c r="K574" s="12">
        <v>0.28999999999999998</v>
      </c>
      <c r="L574" s="12">
        <v>0.08</v>
      </c>
      <c r="M574" s="8">
        <v>8</v>
      </c>
      <c r="N574">
        <v>9</v>
      </c>
      <c r="O574" s="12">
        <v>12</v>
      </c>
      <c r="BF574" s="9">
        <v>5.73</v>
      </c>
      <c r="BG574" s="9">
        <f t="shared" si="17"/>
        <v>3.6649214659685861E-2</v>
      </c>
      <c r="BH574" s="9">
        <f t="shared" si="16"/>
        <v>4.7581650461231619E-2</v>
      </c>
      <c r="BQ574" s="8">
        <v>8</v>
      </c>
      <c r="BR574" s="8" t="s">
        <v>1208</v>
      </c>
    </row>
    <row r="575" spans="1:70" x14ac:dyDescent="0.3">
      <c r="A575" s="11" t="s">
        <v>1209</v>
      </c>
      <c r="B575" s="12">
        <v>180400</v>
      </c>
      <c r="C575" s="12">
        <v>628300</v>
      </c>
      <c r="D575" s="12">
        <v>0.06</v>
      </c>
      <c r="E575" s="12">
        <v>0.16</v>
      </c>
      <c r="F575" s="12">
        <v>0.04</v>
      </c>
      <c r="G575" s="12">
        <v>0.08</v>
      </c>
      <c r="H575" s="12">
        <v>0.2</v>
      </c>
      <c r="I575" s="12">
        <v>0.05</v>
      </c>
      <c r="J575" s="12">
        <v>0.11</v>
      </c>
      <c r="K575" s="12">
        <v>0.28000000000000003</v>
      </c>
      <c r="L575" s="12">
        <v>7.0000000000000007E-2</v>
      </c>
      <c r="M575" s="8">
        <v>8</v>
      </c>
      <c r="N575">
        <v>10</v>
      </c>
      <c r="O575" s="12">
        <v>12</v>
      </c>
      <c r="BF575" s="9">
        <v>5.74</v>
      </c>
      <c r="BG575" s="9">
        <f t="shared" si="17"/>
        <v>3.6585365853658534E-2</v>
      </c>
      <c r="BH575" s="9">
        <f t="shared" si="16"/>
        <v>4.74987555998009E-2</v>
      </c>
      <c r="BQ575" s="8">
        <v>8</v>
      </c>
      <c r="BR575" s="8" t="s">
        <v>1210</v>
      </c>
    </row>
    <row r="576" spans="1:70" x14ac:dyDescent="0.3">
      <c r="A576" s="11" t="s">
        <v>1211</v>
      </c>
      <c r="B576" s="12">
        <v>188900</v>
      </c>
      <c r="C576" s="12">
        <v>698600</v>
      </c>
      <c r="D576" s="12">
        <v>7.0000000000000007E-2</v>
      </c>
      <c r="E576" s="12">
        <v>0.17</v>
      </c>
      <c r="F576" s="12">
        <v>0.05</v>
      </c>
      <c r="G576" s="12">
        <v>0.09</v>
      </c>
      <c r="H576" s="12">
        <v>0.21</v>
      </c>
      <c r="I576" s="12">
        <v>0.06</v>
      </c>
      <c r="J576" s="12">
        <v>0.11</v>
      </c>
      <c r="K576" s="12">
        <v>0.28999999999999998</v>
      </c>
      <c r="L576" s="12">
        <v>0.08</v>
      </c>
      <c r="M576" s="8">
        <v>8</v>
      </c>
      <c r="N576">
        <v>9</v>
      </c>
      <c r="O576" s="12">
        <v>12</v>
      </c>
      <c r="BF576" s="9">
        <v>5.75</v>
      </c>
      <c r="BG576" s="9">
        <f t="shared" si="17"/>
        <v>3.6521739130434779E-2</v>
      </c>
      <c r="BH576" s="9">
        <f t="shared" si="16"/>
        <v>4.7416149068322991E-2</v>
      </c>
      <c r="BQ576" s="8">
        <v>7</v>
      </c>
      <c r="BR576" s="8" t="s">
        <v>1212</v>
      </c>
    </row>
    <row r="577" spans="1:70" x14ac:dyDescent="0.3">
      <c r="A577" s="11" t="s">
        <v>1213</v>
      </c>
      <c r="B577" s="12">
        <v>174400</v>
      </c>
      <c r="C577" s="12">
        <v>625200</v>
      </c>
      <c r="D577" s="12">
        <v>7.0000000000000007E-2</v>
      </c>
      <c r="E577" s="12">
        <v>0.16</v>
      </c>
      <c r="F577" s="12">
        <v>0.04</v>
      </c>
      <c r="G577" s="12">
        <v>0.09</v>
      </c>
      <c r="H577" s="12">
        <v>0.21</v>
      </c>
      <c r="I577" s="12">
        <v>0.05</v>
      </c>
      <c r="J577" s="12">
        <v>0.12</v>
      </c>
      <c r="K577" s="12">
        <v>0.28999999999999998</v>
      </c>
      <c r="L577" s="12">
        <v>7.0000000000000007E-2</v>
      </c>
      <c r="M577" s="8">
        <v>8</v>
      </c>
      <c r="N577">
        <v>10</v>
      </c>
      <c r="O577" s="12">
        <v>12</v>
      </c>
      <c r="BF577" s="9">
        <v>5.76</v>
      </c>
      <c r="BG577" s="9">
        <f t="shared" si="17"/>
        <v>3.6458333333333336E-2</v>
      </c>
      <c r="BH577" s="9">
        <f t="shared" si="16"/>
        <v>4.7333829365079377E-2</v>
      </c>
      <c r="BQ577" s="8">
        <v>8</v>
      </c>
      <c r="BR577" s="8" t="s">
        <v>1214</v>
      </c>
    </row>
    <row r="578" spans="1:70" x14ac:dyDescent="0.3">
      <c r="A578" s="11" t="s">
        <v>1215</v>
      </c>
      <c r="B578" s="12">
        <v>226200</v>
      </c>
      <c r="C578" s="12">
        <v>766200</v>
      </c>
      <c r="D578" s="12">
        <v>0.13</v>
      </c>
      <c r="E578" s="12">
        <v>0.33</v>
      </c>
      <c r="F578" s="12">
        <v>7.0000000000000007E-2</v>
      </c>
      <c r="G578" s="12">
        <v>0.16</v>
      </c>
      <c r="H578" s="12">
        <v>0.42</v>
      </c>
      <c r="I578" s="12">
        <v>0.09</v>
      </c>
      <c r="J578" s="12">
        <v>0.21</v>
      </c>
      <c r="K578" s="12">
        <v>0.55000000000000004</v>
      </c>
      <c r="L578" s="12">
        <v>0.12</v>
      </c>
      <c r="M578" s="8">
        <v>7</v>
      </c>
      <c r="N578">
        <v>8</v>
      </c>
      <c r="O578" s="12">
        <v>10</v>
      </c>
      <c r="BF578" s="9">
        <v>5.77</v>
      </c>
      <c r="BG578" s="9">
        <f t="shared" si="17"/>
        <v>3.6395147313691506E-2</v>
      </c>
      <c r="BH578" s="9">
        <f t="shared" ref="BH578:BH641" si="18">IFERROR(IF($BF578&lt;AZ$33,AZ$32*(AZ$30/AZ$29+(1-AZ$30/AZ$29)*$BF578/AZ$33),IF($BF578&lt;AZ$34,AZ$32,IF($BF578&lt;AZ$35,AZ$31/$BF578,AZ$31*AZ$35/($BF578^2))))*$BC$29,"")</f>
        <v>4.725179499876208E-2</v>
      </c>
      <c r="BQ578" s="8">
        <v>5</v>
      </c>
      <c r="BR578" s="8" t="s">
        <v>1216</v>
      </c>
    </row>
    <row r="579" spans="1:70" x14ac:dyDescent="0.3">
      <c r="A579" s="11" t="s">
        <v>1217</v>
      </c>
      <c r="B579" s="12">
        <v>193000</v>
      </c>
      <c r="C579" s="12">
        <v>614500</v>
      </c>
      <c r="D579" s="12">
        <v>7.0000000000000007E-2</v>
      </c>
      <c r="E579" s="12">
        <v>0.17</v>
      </c>
      <c r="F579" s="12">
        <v>0.04</v>
      </c>
      <c r="G579" s="12">
        <v>0.09</v>
      </c>
      <c r="H579" s="12">
        <v>0.23</v>
      </c>
      <c r="I579" s="12">
        <v>0.06</v>
      </c>
      <c r="J579" s="12">
        <v>0.12</v>
      </c>
      <c r="K579" s="12">
        <v>0.31</v>
      </c>
      <c r="L579" s="12">
        <v>0.08</v>
      </c>
      <c r="M579" s="8">
        <v>8</v>
      </c>
      <c r="N579">
        <v>9</v>
      </c>
      <c r="O579" s="12">
        <v>11</v>
      </c>
      <c r="BF579" s="9">
        <v>5.78</v>
      </c>
      <c r="BG579" s="9">
        <f t="shared" ref="BG579:BG642" si="19">IF(BF579&lt;AY$33,AY$32*(AY$30/AY$29+(1-AY$30/AY$29)*BF579/AY$33),IF(BF579&lt;AY$34,AY$32,IF(BF579&lt;AY$35,AY$31/BF579,AY$31*AY$35/(BF579^2))))*$BC$29</f>
        <v>3.6332179930795842E-2</v>
      </c>
      <c r="BH579" s="9">
        <f t="shared" si="18"/>
        <v>4.7170044488383592E-2</v>
      </c>
      <c r="BQ579" s="8">
        <v>8</v>
      </c>
      <c r="BR579" s="8" t="s">
        <v>1218</v>
      </c>
    </row>
    <row r="580" spans="1:70" x14ac:dyDescent="0.3">
      <c r="A580" s="11" t="s">
        <v>1219</v>
      </c>
      <c r="B580" s="12">
        <v>244000</v>
      </c>
      <c r="C580" s="12">
        <v>746400</v>
      </c>
      <c r="D580" s="12">
        <v>0.2</v>
      </c>
      <c r="E580" s="12">
        <v>0.5</v>
      </c>
      <c r="F580" s="12">
        <v>0.1</v>
      </c>
      <c r="G580" s="12">
        <v>0.25</v>
      </c>
      <c r="H580" s="12">
        <v>0.65</v>
      </c>
      <c r="I580" s="12">
        <v>0.13</v>
      </c>
      <c r="J580" s="12">
        <v>0.33</v>
      </c>
      <c r="K580" s="12">
        <v>0.87</v>
      </c>
      <c r="L580" s="12">
        <v>0.18</v>
      </c>
      <c r="M580" s="8">
        <v>5</v>
      </c>
      <c r="N580">
        <v>6</v>
      </c>
      <c r="O580" s="12">
        <v>8</v>
      </c>
      <c r="BF580" s="9">
        <v>5.79</v>
      </c>
      <c r="BG580" s="9">
        <f t="shared" si="19"/>
        <v>3.6269430051813469E-2</v>
      </c>
      <c r="BH580" s="9">
        <f t="shared" si="18"/>
        <v>4.7088576363187772E-2</v>
      </c>
      <c r="BQ580" s="8">
        <v>6</v>
      </c>
      <c r="BR580" s="8" t="s">
        <v>1220</v>
      </c>
    </row>
    <row r="581" spans="1:70" x14ac:dyDescent="0.3">
      <c r="A581" s="11" t="s">
        <v>1221</v>
      </c>
      <c r="B581" s="12">
        <v>185700</v>
      </c>
      <c r="C581" s="12">
        <v>655000</v>
      </c>
      <c r="D581" s="12">
        <v>0.06</v>
      </c>
      <c r="E581" s="12">
        <v>0.14000000000000001</v>
      </c>
      <c r="F581" s="12">
        <v>0.04</v>
      </c>
      <c r="G581" s="12">
        <v>7.0000000000000007E-2</v>
      </c>
      <c r="H581" s="12">
        <v>0.18</v>
      </c>
      <c r="I581" s="12">
        <v>0.05</v>
      </c>
      <c r="J581" s="12">
        <v>0.09</v>
      </c>
      <c r="K581" s="12">
        <v>0.23</v>
      </c>
      <c r="L581" s="12">
        <v>7.0000000000000007E-2</v>
      </c>
      <c r="M581" s="8">
        <v>8</v>
      </c>
      <c r="N581">
        <v>10</v>
      </c>
      <c r="O581" s="12">
        <v>12</v>
      </c>
      <c r="BF581" s="9">
        <v>5.8</v>
      </c>
      <c r="BG581" s="9">
        <f t="shared" si="19"/>
        <v>3.6206896551724141E-2</v>
      </c>
      <c r="BH581" s="9">
        <f t="shared" si="18"/>
        <v>4.7007389162561586E-2</v>
      </c>
      <c r="BQ581" s="8">
        <v>5</v>
      </c>
      <c r="BR581" s="8" t="s">
        <v>1222</v>
      </c>
    </row>
    <row r="582" spans="1:70" x14ac:dyDescent="0.3">
      <c r="A582" s="11" t="s">
        <v>1223</v>
      </c>
      <c r="B582" s="12">
        <v>241600</v>
      </c>
      <c r="C582" s="12">
        <v>768600</v>
      </c>
      <c r="D582" s="12">
        <v>0.18</v>
      </c>
      <c r="E582" s="12">
        <v>0.46</v>
      </c>
      <c r="F582" s="12">
        <v>0.09</v>
      </c>
      <c r="G582" s="12">
        <v>0.23</v>
      </c>
      <c r="H582" s="12">
        <v>0.59</v>
      </c>
      <c r="I582" s="12">
        <v>0.12</v>
      </c>
      <c r="J582" s="12">
        <v>0.3</v>
      </c>
      <c r="K582" s="12">
        <v>0.79</v>
      </c>
      <c r="L582" s="12">
        <v>0.17</v>
      </c>
      <c r="M582" s="8">
        <v>6</v>
      </c>
      <c r="N582">
        <v>7</v>
      </c>
      <c r="O582" s="12">
        <v>8</v>
      </c>
      <c r="BF582" s="9">
        <v>5.81</v>
      </c>
      <c r="BG582" s="9">
        <f t="shared" si="19"/>
        <v>3.614457831325301E-2</v>
      </c>
      <c r="BH582" s="9">
        <f t="shared" si="18"/>
        <v>4.6926481435947881E-2</v>
      </c>
      <c r="BQ582" s="8">
        <v>8</v>
      </c>
      <c r="BR582" s="8" t="s">
        <v>1224</v>
      </c>
    </row>
    <row r="583" spans="1:70" x14ac:dyDescent="0.3">
      <c r="A583" s="11" t="s">
        <v>1225</v>
      </c>
      <c r="B583" s="12">
        <v>247400</v>
      </c>
      <c r="C583" s="12">
        <v>745000</v>
      </c>
      <c r="D583" s="12">
        <v>0.23</v>
      </c>
      <c r="E583" s="12">
        <v>0.56999999999999995</v>
      </c>
      <c r="F583" s="12">
        <v>0.11</v>
      </c>
      <c r="G583" s="12">
        <v>0.28999999999999998</v>
      </c>
      <c r="H583" s="12">
        <v>0.75</v>
      </c>
      <c r="I583" s="12">
        <v>0.15</v>
      </c>
      <c r="J583" s="12">
        <v>0.39</v>
      </c>
      <c r="K583" s="12">
        <v>1.01</v>
      </c>
      <c r="L583" s="12">
        <v>0.21</v>
      </c>
      <c r="M583" s="8">
        <v>5</v>
      </c>
      <c r="N583">
        <v>6</v>
      </c>
      <c r="O583" s="12">
        <v>7</v>
      </c>
      <c r="BF583" s="9">
        <v>5.82</v>
      </c>
      <c r="BG583" s="9">
        <f t="shared" si="19"/>
        <v>3.608247422680412E-2</v>
      </c>
      <c r="BH583" s="9">
        <f t="shared" si="18"/>
        <v>4.6845851742758966E-2</v>
      </c>
      <c r="BQ583" s="8">
        <v>6</v>
      </c>
      <c r="BR583" s="8" t="s">
        <v>1226</v>
      </c>
    </row>
    <row r="584" spans="1:70" x14ac:dyDescent="0.3">
      <c r="A584" s="11" t="s">
        <v>1227</v>
      </c>
      <c r="B584" s="12">
        <v>190800</v>
      </c>
      <c r="C584" s="12">
        <v>695600</v>
      </c>
      <c r="D584" s="12">
        <v>7.0000000000000007E-2</v>
      </c>
      <c r="E584" s="12">
        <v>0.17</v>
      </c>
      <c r="F584" s="12">
        <v>0.05</v>
      </c>
      <c r="G584" s="12">
        <v>0.09</v>
      </c>
      <c r="H584" s="12">
        <v>0.21</v>
      </c>
      <c r="I584" s="12">
        <v>0.06</v>
      </c>
      <c r="J584" s="12">
        <v>0.11</v>
      </c>
      <c r="K584" s="12">
        <v>0.28000000000000003</v>
      </c>
      <c r="L584" s="12">
        <v>0.08</v>
      </c>
      <c r="M584" s="8">
        <v>8</v>
      </c>
      <c r="N584">
        <v>9</v>
      </c>
      <c r="O584" s="12">
        <v>12</v>
      </c>
      <c r="BF584" s="9">
        <v>5.83</v>
      </c>
      <c r="BG584" s="9">
        <f t="shared" si="19"/>
        <v>3.6020583190394508E-2</v>
      </c>
      <c r="BH584" s="9">
        <f t="shared" si="18"/>
        <v>4.6765498652291113E-2</v>
      </c>
      <c r="BQ584" s="8">
        <v>6</v>
      </c>
      <c r="BR584" s="8" t="s">
        <v>1228</v>
      </c>
    </row>
    <row r="585" spans="1:70" x14ac:dyDescent="0.3">
      <c r="A585" s="11" t="s">
        <v>1229</v>
      </c>
      <c r="B585" s="12">
        <v>239600</v>
      </c>
      <c r="C585" s="12">
        <v>757900</v>
      </c>
      <c r="D585" s="12">
        <v>0.17</v>
      </c>
      <c r="E585" s="12">
        <v>0.44</v>
      </c>
      <c r="F585" s="12">
        <v>0.08</v>
      </c>
      <c r="G585" s="12">
        <v>0.21</v>
      </c>
      <c r="H585" s="12">
        <v>0.56000000000000005</v>
      </c>
      <c r="I585" s="12">
        <v>0.11</v>
      </c>
      <c r="J585" s="12">
        <v>0.28000000000000003</v>
      </c>
      <c r="K585" s="12">
        <v>0.74</v>
      </c>
      <c r="L585" s="12">
        <v>0.16</v>
      </c>
      <c r="M585" s="8">
        <v>6</v>
      </c>
      <c r="N585">
        <v>7</v>
      </c>
      <c r="O585" s="12">
        <v>8</v>
      </c>
      <c r="BF585" s="9">
        <v>5.84</v>
      </c>
      <c r="BG585" s="9">
        <f t="shared" si="19"/>
        <v>3.5958904109589039E-2</v>
      </c>
      <c r="BH585" s="9">
        <f t="shared" si="18"/>
        <v>4.6685420743639933E-2</v>
      </c>
      <c r="BQ585" s="8">
        <v>6</v>
      </c>
      <c r="BR585" s="8" t="s">
        <v>1230</v>
      </c>
    </row>
    <row r="586" spans="1:70" x14ac:dyDescent="0.3">
      <c r="A586" s="11" t="s">
        <v>1231</v>
      </c>
      <c r="B586" s="12">
        <v>208900</v>
      </c>
      <c r="C586" s="12">
        <v>739000</v>
      </c>
      <c r="D586" s="12">
        <v>0.14000000000000001</v>
      </c>
      <c r="E586" s="12">
        <v>0.34</v>
      </c>
      <c r="F586" s="12">
        <v>7.0000000000000007E-2</v>
      </c>
      <c r="G586" s="12">
        <v>0.2</v>
      </c>
      <c r="H586" s="12">
        <v>0.48</v>
      </c>
      <c r="I586" s="12">
        <v>0.1</v>
      </c>
      <c r="J586" s="12">
        <v>0.28999999999999998</v>
      </c>
      <c r="K586" s="12">
        <v>0.72</v>
      </c>
      <c r="L586" s="12">
        <v>0.14000000000000001</v>
      </c>
      <c r="M586" s="8">
        <v>6</v>
      </c>
      <c r="N586">
        <v>7</v>
      </c>
      <c r="O586" s="12">
        <v>8</v>
      </c>
      <c r="BF586" s="9">
        <v>5.85</v>
      </c>
      <c r="BG586" s="9">
        <f t="shared" si="19"/>
        <v>3.5897435897435902E-2</v>
      </c>
      <c r="BH586" s="9">
        <f t="shared" si="18"/>
        <v>4.6605616605616615E-2</v>
      </c>
      <c r="BQ586" s="8">
        <v>5</v>
      </c>
      <c r="BR586" s="8" t="s">
        <v>1232</v>
      </c>
    </row>
    <row r="587" spans="1:70" x14ac:dyDescent="0.3">
      <c r="A587" s="11" t="s">
        <v>1233</v>
      </c>
      <c r="B587" s="12">
        <v>208800</v>
      </c>
      <c r="C587" s="12">
        <v>739600</v>
      </c>
      <c r="D587" s="12">
        <v>0.14000000000000001</v>
      </c>
      <c r="E587" s="12">
        <v>0.34</v>
      </c>
      <c r="F587" s="12">
        <v>7.0000000000000007E-2</v>
      </c>
      <c r="G587" s="12">
        <v>0.2</v>
      </c>
      <c r="H587" s="12">
        <v>0.49</v>
      </c>
      <c r="I587" s="12">
        <v>0.1</v>
      </c>
      <c r="J587" s="12">
        <v>0.28999999999999998</v>
      </c>
      <c r="K587" s="12">
        <v>0.72</v>
      </c>
      <c r="L587" s="12">
        <v>0.14000000000000001</v>
      </c>
      <c r="M587" s="8">
        <v>6</v>
      </c>
      <c r="N587">
        <v>7</v>
      </c>
      <c r="O587" s="12">
        <v>8</v>
      </c>
      <c r="BF587" s="9">
        <v>5.86</v>
      </c>
      <c r="BG587" s="9">
        <f t="shared" si="19"/>
        <v>3.5836177474402729E-2</v>
      </c>
      <c r="BH587" s="9">
        <f t="shared" si="18"/>
        <v>4.6526084836665045E-2</v>
      </c>
      <c r="BQ587" s="8">
        <v>8</v>
      </c>
      <c r="BR587" s="8" t="s">
        <v>1234</v>
      </c>
    </row>
    <row r="588" spans="1:70" x14ac:dyDescent="0.3">
      <c r="A588" s="11" t="s">
        <v>1235</v>
      </c>
      <c r="B588" s="12">
        <v>262400</v>
      </c>
      <c r="C588" s="12">
        <v>740900</v>
      </c>
      <c r="D588" s="12">
        <v>0.27</v>
      </c>
      <c r="E588" s="12">
        <v>0.65</v>
      </c>
      <c r="F588" s="12">
        <v>0.12</v>
      </c>
      <c r="G588" s="12">
        <v>0.35</v>
      </c>
      <c r="H588" s="12">
        <v>0.87</v>
      </c>
      <c r="I588" s="12">
        <v>0.17</v>
      </c>
      <c r="J588" s="12">
        <v>0.47</v>
      </c>
      <c r="K588" s="12">
        <v>1.19</v>
      </c>
      <c r="L588" s="12">
        <v>0.25</v>
      </c>
      <c r="M588" s="8">
        <v>5</v>
      </c>
      <c r="N588">
        <v>5</v>
      </c>
      <c r="O588" s="12">
        <v>6</v>
      </c>
      <c r="BF588" s="9">
        <v>5.87</v>
      </c>
      <c r="BG588" s="9">
        <f t="shared" si="19"/>
        <v>3.5775127768313458E-2</v>
      </c>
      <c r="BH588" s="9">
        <f t="shared" si="18"/>
        <v>4.6446824044779761E-2</v>
      </c>
      <c r="BQ588" s="8">
        <v>7</v>
      </c>
      <c r="BR588" s="8" t="s">
        <v>1236</v>
      </c>
    </row>
    <row r="589" spans="1:70" x14ac:dyDescent="0.3">
      <c r="A589" s="11" t="s">
        <v>1237</v>
      </c>
      <c r="B589" s="12">
        <v>192900</v>
      </c>
      <c r="C589" s="12">
        <v>654200</v>
      </c>
      <c r="D589" s="12">
        <v>0.06</v>
      </c>
      <c r="E589" s="12">
        <v>0.15</v>
      </c>
      <c r="F589" s="12">
        <v>0.04</v>
      </c>
      <c r="G589" s="12">
        <v>0.08</v>
      </c>
      <c r="H589" s="12">
        <v>0.19</v>
      </c>
      <c r="I589" s="12">
        <v>0.06</v>
      </c>
      <c r="J589" s="12">
        <v>0.1</v>
      </c>
      <c r="K589" s="12">
        <v>0.25</v>
      </c>
      <c r="L589" s="12">
        <v>0.08</v>
      </c>
      <c r="M589" s="8">
        <v>8</v>
      </c>
      <c r="N589">
        <v>10</v>
      </c>
      <c r="O589" s="12">
        <v>12</v>
      </c>
      <c r="BF589" s="9">
        <v>5.88</v>
      </c>
      <c r="BG589" s="9">
        <f t="shared" si="19"/>
        <v>3.5714285714285712E-2</v>
      </c>
      <c r="BH589" s="9">
        <f t="shared" si="18"/>
        <v>4.6367832847424691E-2</v>
      </c>
      <c r="BQ589" s="8">
        <v>8</v>
      </c>
      <c r="BR589" s="8" t="s">
        <v>1238</v>
      </c>
    </row>
    <row r="590" spans="1:70" x14ac:dyDescent="0.3">
      <c r="A590" s="11" t="s">
        <v>1239</v>
      </c>
      <c r="B590" s="12">
        <v>215800</v>
      </c>
      <c r="C590" s="12">
        <v>762200</v>
      </c>
      <c r="D590" s="12">
        <v>0.13</v>
      </c>
      <c r="E590" s="12">
        <v>0.31</v>
      </c>
      <c r="F590" s="12">
        <v>0.06</v>
      </c>
      <c r="G590" s="12">
        <v>0.16</v>
      </c>
      <c r="H590" s="12">
        <v>0.4</v>
      </c>
      <c r="I590" s="12">
        <v>0.08</v>
      </c>
      <c r="J590" s="12">
        <v>0.21</v>
      </c>
      <c r="K590" s="12">
        <v>0.54</v>
      </c>
      <c r="L590" s="12">
        <v>0.11</v>
      </c>
      <c r="M590" s="8">
        <v>7</v>
      </c>
      <c r="N590">
        <v>8</v>
      </c>
      <c r="O590" s="12">
        <v>10</v>
      </c>
      <c r="BF590" s="9">
        <v>5.89</v>
      </c>
      <c r="BG590" s="9">
        <f t="shared" si="19"/>
        <v>3.5653650254668934E-2</v>
      </c>
      <c r="BH590" s="9">
        <f t="shared" si="18"/>
        <v>4.6289109871452835E-2</v>
      </c>
      <c r="BQ590" s="8">
        <v>6</v>
      </c>
      <c r="BR590" s="8" t="s">
        <v>1240</v>
      </c>
    </row>
    <row r="591" spans="1:70" x14ac:dyDescent="0.3">
      <c r="A591" s="11" t="s">
        <v>1241</v>
      </c>
      <c r="B591" s="12">
        <v>190600</v>
      </c>
      <c r="C591" s="12">
        <v>694700</v>
      </c>
      <c r="D591" s="12">
        <v>7.0000000000000007E-2</v>
      </c>
      <c r="E591" s="12">
        <v>0.17</v>
      </c>
      <c r="F591" s="12">
        <v>0.05</v>
      </c>
      <c r="G591" s="12">
        <v>0.09</v>
      </c>
      <c r="H591" s="12">
        <v>0.21</v>
      </c>
      <c r="I591" s="12">
        <v>0.06</v>
      </c>
      <c r="J591" s="12">
        <v>0.11</v>
      </c>
      <c r="K591" s="12">
        <v>0.28000000000000003</v>
      </c>
      <c r="L591" s="12">
        <v>0.08</v>
      </c>
      <c r="M591" s="8">
        <v>8</v>
      </c>
      <c r="N591">
        <v>9</v>
      </c>
      <c r="O591" s="12">
        <v>12</v>
      </c>
      <c r="BF591" s="9">
        <v>5.9</v>
      </c>
      <c r="BG591" s="9">
        <f t="shared" si="19"/>
        <v>3.5593220338983045E-2</v>
      </c>
      <c r="BH591" s="9">
        <f t="shared" si="18"/>
        <v>4.6210653753026638E-2</v>
      </c>
      <c r="BQ591" s="8">
        <v>8</v>
      </c>
      <c r="BR591" s="8" t="s">
        <v>1242</v>
      </c>
    </row>
    <row r="592" spans="1:70" x14ac:dyDescent="0.3">
      <c r="A592" s="11" t="s">
        <v>1243</v>
      </c>
      <c r="B592" s="12">
        <v>214500</v>
      </c>
      <c r="C592" s="12">
        <v>731800</v>
      </c>
      <c r="D592" s="12">
        <v>0.14000000000000001</v>
      </c>
      <c r="E592" s="12">
        <v>0.35</v>
      </c>
      <c r="F592" s="12">
        <v>7.0000000000000007E-2</v>
      </c>
      <c r="G592" s="12">
        <v>0.2</v>
      </c>
      <c r="H592" s="12">
        <v>0.49</v>
      </c>
      <c r="I592" s="12">
        <v>0.1</v>
      </c>
      <c r="J592" s="12">
        <v>0.28999999999999998</v>
      </c>
      <c r="K592" s="12">
        <v>0.71</v>
      </c>
      <c r="L592" s="12">
        <v>0.14000000000000001</v>
      </c>
      <c r="M592" s="8">
        <v>6</v>
      </c>
      <c r="N592">
        <v>7</v>
      </c>
      <c r="O592" s="12">
        <v>8</v>
      </c>
      <c r="BF592" s="9">
        <v>5.91</v>
      </c>
      <c r="BG592" s="9">
        <f t="shared" si="19"/>
        <v>3.5532994923857864E-2</v>
      </c>
      <c r="BH592" s="9">
        <f t="shared" si="18"/>
        <v>4.6132463137539284E-2</v>
      </c>
      <c r="BQ592" s="8">
        <v>6</v>
      </c>
      <c r="BR592" s="8" t="s">
        <v>1244</v>
      </c>
    </row>
    <row r="593" spans="1:70" x14ac:dyDescent="0.3">
      <c r="A593" s="11" t="s">
        <v>1245</v>
      </c>
      <c r="B593" s="12">
        <v>194200</v>
      </c>
      <c r="C593" s="12">
        <v>691700</v>
      </c>
      <c r="D593" s="12">
        <v>7.0000000000000007E-2</v>
      </c>
      <c r="E593" s="12">
        <v>0.17</v>
      </c>
      <c r="F593" s="12">
        <v>0.05</v>
      </c>
      <c r="G593" s="12">
        <v>0.09</v>
      </c>
      <c r="H593" s="12">
        <v>0.22</v>
      </c>
      <c r="I593" s="12">
        <v>0.06</v>
      </c>
      <c r="J593" s="12">
        <v>0.11</v>
      </c>
      <c r="K593" s="12">
        <v>0.28000000000000003</v>
      </c>
      <c r="L593" s="12">
        <v>0.08</v>
      </c>
      <c r="M593" s="8">
        <v>8</v>
      </c>
      <c r="N593">
        <v>9</v>
      </c>
      <c r="O593" s="12">
        <v>12</v>
      </c>
      <c r="BF593" s="9">
        <v>5.92</v>
      </c>
      <c r="BG593" s="9">
        <f t="shared" si="19"/>
        <v>3.5472972972972971E-2</v>
      </c>
      <c r="BH593" s="9">
        <f t="shared" si="18"/>
        <v>4.6054536679536691E-2</v>
      </c>
      <c r="BQ593" s="8">
        <v>8</v>
      </c>
      <c r="BR593" s="8" t="s">
        <v>1246</v>
      </c>
    </row>
    <row r="594" spans="1:70" x14ac:dyDescent="0.3">
      <c r="A594" s="11" t="s">
        <v>1247</v>
      </c>
      <c r="B594" s="12">
        <v>234300</v>
      </c>
      <c r="C594" s="12">
        <v>719400</v>
      </c>
      <c r="D594" s="12">
        <v>0.17</v>
      </c>
      <c r="E594" s="12">
        <v>0.43</v>
      </c>
      <c r="F594" s="12">
        <v>0.08</v>
      </c>
      <c r="G594" s="12">
        <v>0.22</v>
      </c>
      <c r="H594" s="12">
        <v>0.56000000000000005</v>
      </c>
      <c r="I594" s="12">
        <v>0.11</v>
      </c>
      <c r="J594" s="12">
        <v>0.3</v>
      </c>
      <c r="K594" s="12">
        <v>0.77</v>
      </c>
      <c r="L594" s="12">
        <v>0.16</v>
      </c>
      <c r="M594" s="8">
        <v>6</v>
      </c>
      <c r="N594">
        <v>7</v>
      </c>
      <c r="O594" s="12">
        <v>8</v>
      </c>
      <c r="BF594" s="9">
        <v>5.93</v>
      </c>
      <c r="BG594" s="9">
        <f t="shared" si="19"/>
        <v>3.5413153456998317E-2</v>
      </c>
      <c r="BH594" s="9">
        <f t="shared" si="18"/>
        <v>4.5976873042640337E-2</v>
      </c>
      <c r="BQ594" s="8">
        <v>6</v>
      </c>
      <c r="BR594" s="8" t="s">
        <v>1248</v>
      </c>
    </row>
    <row r="595" spans="1:70" x14ac:dyDescent="0.3">
      <c r="A595" s="11" t="s">
        <v>1249</v>
      </c>
      <c r="B595" s="12">
        <v>197000</v>
      </c>
      <c r="C595" s="12">
        <v>686600</v>
      </c>
      <c r="D595" s="12">
        <v>7.0000000000000007E-2</v>
      </c>
      <c r="E595" s="12">
        <v>0.18</v>
      </c>
      <c r="F595" s="12">
        <v>0.05</v>
      </c>
      <c r="G595" s="12">
        <v>0.09</v>
      </c>
      <c r="H595" s="12">
        <v>0.22</v>
      </c>
      <c r="I595" s="12">
        <v>0.06</v>
      </c>
      <c r="J595" s="12">
        <v>0.11</v>
      </c>
      <c r="K595" s="12">
        <v>0.28999999999999998</v>
      </c>
      <c r="L595" s="12">
        <v>0.08</v>
      </c>
      <c r="M595" s="8">
        <v>8</v>
      </c>
      <c r="N595">
        <v>9</v>
      </c>
      <c r="O595" s="12">
        <v>11</v>
      </c>
      <c r="BF595" s="9">
        <v>5.94</v>
      </c>
      <c r="BG595" s="9">
        <f t="shared" si="19"/>
        <v>3.5353535353535352E-2</v>
      </c>
      <c r="BH595" s="9">
        <f t="shared" si="18"/>
        <v>4.5899470899470905E-2</v>
      </c>
      <c r="BQ595" s="8">
        <v>6</v>
      </c>
      <c r="BR595" s="8" t="s">
        <v>1250</v>
      </c>
    </row>
    <row r="596" spans="1:70" x14ac:dyDescent="0.3">
      <c r="A596" s="11" t="s">
        <v>1251</v>
      </c>
      <c r="B596" s="12">
        <v>241600</v>
      </c>
      <c r="C596" s="12">
        <v>736400</v>
      </c>
      <c r="D596" s="12">
        <v>0.18</v>
      </c>
      <c r="E596" s="12">
        <v>0.47</v>
      </c>
      <c r="F596" s="12">
        <v>0.09</v>
      </c>
      <c r="G596" s="12">
        <v>0.23</v>
      </c>
      <c r="H596" s="12">
        <v>0.6</v>
      </c>
      <c r="I596" s="12">
        <v>0.12</v>
      </c>
      <c r="J596" s="12">
        <v>0.3</v>
      </c>
      <c r="K596" s="12">
        <v>0.8</v>
      </c>
      <c r="L596" s="12">
        <v>0.17</v>
      </c>
      <c r="M596" s="8">
        <v>6</v>
      </c>
      <c r="N596">
        <v>7</v>
      </c>
      <c r="O596" s="12">
        <v>8</v>
      </c>
      <c r="BF596" s="9">
        <v>5.95</v>
      </c>
      <c r="BG596" s="9">
        <f t="shared" si="19"/>
        <v>3.5294117647058823E-2</v>
      </c>
      <c r="BH596" s="9">
        <f t="shared" si="18"/>
        <v>4.5822328931572634E-2</v>
      </c>
      <c r="BQ596" s="8">
        <v>8</v>
      </c>
      <c r="BR596" s="8" t="s">
        <v>1252</v>
      </c>
    </row>
    <row r="597" spans="1:70" x14ac:dyDescent="0.3">
      <c r="A597" s="11" t="s">
        <v>1253</v>
      </c>
      <c r="B597" s="12">
        <v>232100</v>
      </c>
      <c r="C597" s="12">
        <v>739200</v>
      </c>
      <c r="D597" s="12">
        <v>0.15</v>
      </c>
      <c r="E597" s="12">
        <v>0.38</v>
      </c>
      <c r="F597" s="12">
        <v>0.08</v>
      </c>
      <c r="G597" s="12">
        <v>0.19</v>
      </c>
      <c r="H597" s="12">
        <v>0.49</v>
      </c>
      <c r="I597" s="12">
        <v>0.1</v>
      </c>
      <c r="J597" s="12">
        <v>0.25</v>
      </c>
      <c r="K597" s="12">
        <v>0.65</v>
      </c>
      <c r="L597" s="12">
        <v>0.14000000000000001</v>
      </c>
      <c r="M597" s="8">
        <v>6</v>
      </c>
      <c r="N597">
        <v>7</v>
      </c>
      <c r="O597" s="12">
        <v>9</v>
      </c>
      <c r="BF597" s="9">
        <v>5.96</v>
      </c>
      <c r="BG597" s="9">
        <f t="shared" si="19"/>
        <v>3.5234899328859058E-2</v>
      </c>
      <c r="BH597" s="9">
        <f t="shared" si="18"/>
        <v>4.5745445829338455E-2</v>
      </c>
      <c r="BQ597" s="8">
        <v>9</v>
      </c>
      <c r="BR597" s="8" t="s">
        <v>1254</v>
      </c>
    </row>
    <row r="598" spans="1:70" x14ac:dyDescent="0.3">
      <c r="A598" s="11" t="s">
        <v>1255</v>
      </c>
      <c r="B598" s="12">
        <v>192300</v>
      </c>
      <c r="C598" s="12">
        <v>694500</v>
      </c>
      <c r="D598" s="12">
        <v>7.0000000000000007E-2</v>
      </c>
      <c r="E598" s="12">
        <v>0.17</v>
      </c>
      <c r="F598" s="12">
        <v>0.05</v>
      </c>
      <c r="G598" s="12">
        <v>0.09</v>
      </c>
      <c r="H598" s="12">
        <v>0.22</v>
      </c>
      <c r="I598" s="12">
        <v>0.06</v>
      </c>
      <c r="J598" s="12">
        <v>0.11</v>
      </c>
      <c r="K598" s="12">
        <v>0.28000000000000003</v>
      </c>
      <c r="L598" s="12">
        <v>0.08</v>
      </c>
      <c r="M598" s="8">
        <v>8</v>
      </c>
      <c r="N598">
        <v>9</v>
      </c>
      <c r="O598" s="12">
        <v>12</v>
      </c>
      <c r="BF598" s="9">
        <v>5.97</v>
      </c>
      <c r="BG598" s="9">
        <f t="shared" si="19"/>
        <v>3.5175879396984924E-2</v>
      </c>
      <c r="BH598" s="9">
        <f t="shared" si="18"/>
        <v>4.5668820291935877E-2</v>
      </c>
      <c r="BQ598" s="8">
        <v>8</v>
      </c>
      <c r="BR598" s="8" t="s">
        <v>1256</v>
      </c>
    </row>
    <row r="599" spans="1:70" x14ac:dyDescent="0.3">
      <c r="A599" s="11" t="s">
        <v>1257</v>
      </c>
      <c r="B599" s="12">
        <v>155900</v>
      </c>
      <c r="C599" s="12">
        <v>593600</v>
      </c>
      <c r="D599" s="12">
        <v>0.05</v>
      </c>
      <c r="E599" s="12">
        <v>0.11</v>
      </c>
      <c r="F599" s="12">
        <v>0.03</v>
      </c>
      <c r="G599" s="12">
        <v>0.06</v>
      </c>
      <c r="H599" s="12">
        <v>0.15</v>
      </c>
      <c r="I599" s="12">
        <v>0.04</v>
      </c>
      <c r="J599" s="12">
        <v>0.08</v>
      </c>
      <c r="K599" s="12">
        <v>0.19</v>
      </c>
      <c r="L599" s="12">
        <v>0.06</v>
      </c>
      <c r="M599" s="8">
        <v>9</v>
      </c>
      <c r="N599">
        <v>10</v>
      </c>
      <c r="O599" s="12">
        <v>13</v>
      </c>
      <c r="BF599" s="9">
        <v>5.98</v>
      </c>
      <c r="BG599" s="9">
        <f t="shared" si="19"/>
        <v>3.5117056856187288E-2</v>
      </c>
      <c r="BH599" s="9">
        <f t="shared" si="18"/>
        <v>4.5592451027233638E-2</v>
      </c>
      <c r="BQ599" s="8">
        <v>6</v>
      </c>
      <c r="BR599" s="8" t="s">
        <v>1258</v>
      </c>
    </row>
    <row r="600" spans="1:70" x14ac:dyDescent="0.3">
      <c r="A600" s="11" t="s">
        <v>1259</v>
      </c>
      <c r="B600" s="12">
        <v>190200</v>
      </c>
      <c r="C600" s="12">
        <v>675000</v>
      </c>
      <c r="D600" s="12">
        <v>0.06</v>
      </c>
      <c r="E600" s="12">
        <v>0.16</v>
      </c>
      <c r="F600" s="12">
        <v>0.04</v>
      </c>
      <c r="G600" s="12">
        <v>0.08</v>
      </c>
      <c r="H600" s="12">
        <v>0.2</v>
      </c>
      <c r="I600" s="12">
        <v>0.06</v>
      </c>
      <c r="J600" s="12">
        <v>0.1</v>
      </c>
      <c r="K600" s="12">
        <v>0.25</v>
      </c>
      <c r="L600" s="12">
        <v>0.08</v>
      </c>
      <c r="M600" s="8">
        <v>8</v>
      </c>
      <c r="N600">
        <v>10</v>
      </c>
      <c r="O600" s="12">
        <v>12</v>
      </c>
      <c r="BF600" s="9">
        <v>5.99</v>
      </c>
      <c r="BG600" s="9">
        <f t="shared" si="19"/>
        <v>3.5058430717863104E-2</v>
      </c>
      <c r="BH600" s="9">
        <f t="shared" si="18"/>
        <v>4.5516336751729079E-2</v>
      </c>
      <c r="BQ600" s="8">
        <v>8</v>
      </c>
      <c r="BR600" s="8" t="s">
        <v>1260</v>
      </c>
    </row>
    <row r="601" spans="1:70" x14ac:dyDescent="0.3">
      <c r="A601" s="11" t="s">
        <v>1261</v>
      </c>
      <c r="B601" s="12">
        <v>224700</v>
      </c>
      <c r="C601" s="12">
        <v>746300</v>
      </c>
      <c r="D601" s="12">
        <v>0.14000000000000001</v>
      </c>
      <c r="E601" s="12">
        <v>0.35</v>
      </c>
      <c r="F601" s="12">
        <v>7.0000000000000007E-2</v>
      </c>
      <c r="G601" s="12">
        <v>0.18</v>
      </c>
      <c r="H601" s="12">
        <v>0.45</v>
      </c>
      <c r="I601" s="12">
        <v>0.09</v>
      </c>
      <c r="J601" s="12">
        <v>0.23</v>
      </c>
      <c r="K601" s="12">
        <v>0.6</v>
      </c>
      <c r="L601" s="12">
        <v>0.13</v>
      </c>
      <c r="M601" s="8">
        <v>6</v>
      </c>
      <c r="N601">
        <v>8</v>
      </c>
      <c r="O601" s="12">
        <v>9</v>
      </c>
      <c r="BF601" s="9">
        <v>6</v>
      </c>
      <c r="BG601" s="9">
        <f t="shared" si="19"/>
        <v>3.4999999999999996E-2</v>
      </c>
      <c r="BH601" s="9">
        <f t="shared" si="18"/>
        <v>4.5440476190476198E-2</v>
      </c>
      <c r="BQ601" s="8">
        <v>6</v>
      </c>
      <c r="BR601" s="8" t="s">
        <v>1262</v>
      </c>
    </row>
    <row r="602" spans="1:70" x14ac:dyDescent="0.3">
      <c r="A602" s="11" t="s">
        <v>1263</v>
      </c>
      <c r="B602" s="12">
        <v>184500</v>
      </c>
      <c r="C602" s="12">
        <v>626600</v>
      </c>
      <c r="D602" s="12">
        <v>0.06</v>
      </c>
      <c r="E602" s="12">
        <v>0.16</v>
      </c>
      <c r="F602" s="12">
        <v>0.04</v>
      </c>
      <c r="G602" s="12">
        <v>0.08</v>
      </c>
      <c r="H602" s="12">
        <v>0.2</v>
      </c>
      <c r="I602" s="12">
        <v>0.05</v>
      </c>
      <c r="J602" s="12">
        <v>0.11</v>
      </c>
      <c r="K602" s="12">
        <v>0.27</v>
      </c>
      <c r="L602" s="12">
        <v>7.0000000000000007E-2</v>
      </c>
      <c r="M602" s="8">
        <v>8</v>
      </c>
      <c r="N602">
        <v>10</v>
      </c>
      <c r="O602" s="12">
        <v>12</v>
      </c>
      <c r="BF602" s="9">
        <v>6.01</v>
      </c>
      <c r="BG602" s="9">
        <f t="shared" si="19"/>
        <v>3.4941763727121461E-2</v>
      </c>
      <c r="BH602" s="9">
        <f t="shared" si="18"/>
        <v>4.5364868077014509E-2</v>
      </c>
      <c r="BQ602" s="8">
        <v>6</v>
      </c>
      <c r="BR602" s="8" t="s">
        <v>1264</v>
      </c>
    </row>
    <row r="603" spans="1:70" x14ac:dyDescent="0.3">
      <c r="A603" s="11" t="s">
        <v>1265</v>
      </c>
      <c r="B603" s="12">
        <v>209500</v>
      </c>
      <c r="C603" s="12">
        <v>754900</v>
      </c>
      <c r="D603" s="12">
        <v>0.13</v>
      </c>
      <c r="E603" s="12">
        <v>0.33</v>
      </c>
      <c r="F603" s="12">
        <v>7.0000000000000007E-2</v>
      </c>
      <c r="G603" s="12">
        <v>0.18</v>
      </c>
      <c r="H603" s="12">
        <v>0.45</v>
      </c>
      <c r="I603" s="12">
        <v>0.09</v>
      </c>
      <c r="J603" s="12">
        <v>0.25</v>
      </c>
      <c r="K603" s="12">
        <v>0.64</v>
      </c>
      <c r="L603" s="12">
        <v>0.13</v>
      </c>
      <c r="M603" s="8">
        <v>6</v>
      </c>
      <c r="N603">
        <v>7</v>
      </c>
      <c r="O603" s="12">
        <v>9</v>
      </c>
      <c r="BF603" s="9">
        <v>6.02</v>
      </c>
      <c r="BG603" s="9">
        <f t="shared" si="19"/>
        <v>3.4883720930232558E-2</v>
      </c>
      <c r="BH603" s="9">
        <f t="shared" si="18"/>
        <v>4.5289511153298538E-2</v>
      </c>
      <c r="BQ603" s="8">
        <v>8</v>
      </c>
      <c r="BR603" s="8" t="s">
        <v>1266</v>
      </c>
    </row>
    <row r="604" spans="1:70" x14ac:dyDescent="0.3">
      <c r="A604" s="11" t="s">
        <v>1267</v>
      </c>
      <c r="B604" s="12">
        <v>239900</v>
      </c>
      <c r="C604" s="12">
        <v>727900</v>
      </c>
      <c r="D604" s="12">
        <v>0.18</v>
      </c>
      <c r="E604" s="12">
        <v>0.45</v>
      </c>
      <c r="F604" s="12">
        <v>0.09</v>
      </c>
      <c r="G604" s="12">
        <v>0.22</v>
      </c>
      <c r="H604" s="12">
        <v>0.57999999999999996</v>
      </c>
      <c r="I604" s="12">
        <v>0.12</v>
      </c>
      <c r="J604" s="12">
        <v>0.28999999999999998</v>
      </c>
      <c r="K604" s="12">
        <v>0.78</v>
      </c>
      <c r="L604" s="12">
        <v>0.16</v>
      </c>
      <c r="M604" s="8">
        <v>6</v>
      </c>
      <c r="N604">
        <v>7</v>
      </c>
      <c r="O604" s="12">
        <v>8</v>
      </c>
      <c r="BF604" s="9">
        <v>6.03</v>
      </c>
      <c r="BG604" s="9">
        <f t="shared" si="19"/>
        <v>3.4825870646766163E-2</v>
      </c>
      <c r="BH604" s="9">
        <f t="shared" si="18"/>
        <v>4.5214404169628054E-2</v>
      </c>
      <c r="BQ604" s="8">
        <v>8</v>
      </c>
      <c r="BR604" s="8" t="s">
        <v>1268</v>
      </c>
    </row>
    <row r="605" spans="1:70" x14ac:dyDescent="0.3">
      <c r="A605" s="11" t="s">
        <v>1269</v>
      </c>
      <c r="B605" s="12">
        <v>177100</v>
      </c>
      <c r="C605" s="12">
        <v>637700</v>
      </c>
      <c r="D605" s="12">
        <v>0.06</v>
      </c>
      <c r="E605" s="12">
        <v>0.14000000000000001</v>
      </c>
      <c r="F605" s="12">
        <v>0.04</v>
      </c>
      <c r="G605" s="12">
        <v>0.08</v>
      </c>
      <c r="H605" s="12">
        <v>0.18</v>
      </c>
      <c r="I605" s="12">
        <v>0.05</v>
      </c>
      <c r="J605" s="12">
        <v>0.1</v>
      </c>
      <c r="K605" s="12">
        <v>0.25</v>
      </c>
      <c r="L605" s="12">
        <v>7.0000000000000007E-2</v>
      </c>
      <c r="M605" s="8">
        <v>8</v>
      </c>
      <c r="N605">
        <v>10</v>
      </c>
      <c r="O605" s="12">
        <v>12</v>
      </c>
      <c r="BF605" s="9">
        <v>6.04</v>
      </c>
      <c r="BG605" s="9">
        <f t="shared" si="19"/>
        <v>3.4768211920529798E-2</v>
      </c>
      <c r="BH605" s="9">
        <f t="shared" si="18"/>
        <v>4.5139545884579003E-2</v>
      </c>
      <c r="BQ605" s="8">
        <v>5</v>
      </c>
      <c r="BR605" s="8" t="s">
        <v>1270</v>
      </c>
    </row>
    <row r="606" spans="1:70" x14ac:dyDescent="0.3">
      <c r="A606" s="11" t="s">
        <v>1271</v>
      </c>
      <c r="B606" s="12">
        <v>188000</v>
      </c>
      <c r="C606" s="12">
        <v>686400</v>
      </c>
      <c r="D606" s="12">
        <v>7.0000000000000007E-2</v>
      </c>
      <c r="E606" s="12">
        <v>0.16</v>
      </c>
      <c r="F606" s="12">
        <v>0.04</v>
      </c>
      <c r="G606" s="12">
        <v>0.08</v>
      </c>
      <c r="H606" s="12">
        <v>0.2</v>
      </c>
      <c r="I606" s="12">
        <v>0.06</v>
      </c>
      <c r="J606" s="12">
        <v>0.1</v>
      </c>
      <c r="K606" s="12">
        <v>0.26</v>
      </c>
      <c r="L606" s="12">
        <v>0.08</v>
      </c>
      <c r="M606" s="8">
        <v>8</v>
      </c>
      <c r="N606">
        <v>10</v>
      </c>
      <c r="O606" s="12">
        <v>12</v>
      </c>
      <c r="BF606" s="9">
        <v>6.05</v>
      </c>
      <c r="BG606" s="9">
        <f t="shared" si="19"/>
        <v>3.4710743801652892E-2</v>
      </c>
      <c r="BH606" s="9">
        <f t="shared" si="18"/>
        <v>4.5064935064935072E-2</v>
      </c>
      <c r="BQ606" s="8">
        <v>8</v>
      </c>
      <c r="BR606" s="8" t="s">
        <v>1272</v>
      </c>
    </row>
    <row r="607" spans="1:70" x14ac:dyDescent="0.3">
      <c r="A607" s="11" t="s">
        <v>1273</v>
      </c>
      <c r="B607" s="12">
        <v>261800</v>
      </c>
      <c r="C607" s="12">
        <v>789100</v>
      </c>
      <c r="D607" s="12">
        <v>0.25</v>
      </c>
      <c r="E607" s="12">
        <v>0.63</v>
      </c>
      <c r="F607" s="12">
        <v>0.12</v>
      </c>
      <c r="G607" s="12">
        <v>0.33</v>
      </c>
      <c r="H607" s="12">
        <v>0.84</v>
      </c>
      <c r="I607" s="12">
        <v>0.17</v>
      </c>
      <c r="J607" s="12">
        <v>0.45</v>
      </c>
      <c r="K607" s="12">
        <v>1.1499999999999999</v>
      </c>
      <c r="L607" s="12">
        <v>0.24</v>
      </c>
      <c r="M607" s="8">
        <v>5</v>
      </c>
      <c r="N607">
        <v>6</v>
      </c>
      <c r="O607" s="12">
        <v>7</v>
      </c>
      <c r="BF607" s="9">
        <v>6.06</v>
      </c>
      <c r="BG607" s="9">
        <f t="shared" si="19"/>
        <v>3.4653465346534656E-2</v>
      </c>
      <c r="BH607" s="9">
        <f t="shared" si="18"/>
        <v>4.4990570485620003E-2</v>
      </c>
      <c r="BQ607" s="8">
        <v>8</v>
      </c>
      <c r="BR607" s="8" t="s">
        <v>1274</v>
      </c>
    </row>
    <row r="608" spans="1:70" x14ac:dyDescent="0.3">
      <c r="A608" s="11" t="s">
        <v>1275</v>
      </c>
      <c r="B608" s="12">
        <v>191500</v>
      </c>
      <c r="C608" s="12">
        <v>675500</v>
      </c>
      <c r="D608" s="12">
        <v>7.0000000000000007E-2</v>
      </c>
      <c r="E608" s="12">
        <v>0.16</v>
      </c>
      <c r="F608" s="12">
        <v>0.04</v>
      </c>
      <c r="G608" s="12">
        <v>0.08</v>
      </c>
      <c r="H608" s="12">
        <v>0.2</v>
      </c>
      <c r="I608" s="12">
        <v>0.06</v>
      </c>
      <c r="J608" s="12">
        <v>0.1</v>
      </c>
      <c r="K608" s="12">
        <v>0.26</v>
      </c>
      <c r="L608" s="12">
        <v>0.08</v>
      </c>
      <c r="M608" s="8">
        <v>8</v>
      </c>
      <c r="N608">
        <v>10</v>
      </c>
      <c r="O608" s="12">
        <v>12</v>
      </c>
      <c r="BF608" s="9">
        <v>6.07</v>
      </c>
      <c r="BG608" s="9">
        <f t="shared" si="19"/>
        <v>3.459637561779242E-2</v>
      </c>
      <c r="BH608" s="9">
        <f t="shared" si="18"/>
        <v>4.4916450929630508E-2</v>
      </c>
      <c r="BQ608" s="8">
        <v>8</v>
      </c>
      <c r="BR608" s="8" t="s">
        <v>1276</v>
      </c>
    </row>
    <row r="609" spans="1:70" x14ac:dyDescent="0.3">
      <c r="A609" s="11" t="s">
        <v>1277</v>
      </c>
      <c r="B609" s="12">
        <v>163300</v>
      </c>
      <c r="C609" s="12">
        <v>620500</v>
      </c>
      <c r="D609" s="12">
        <v>7.0000000000000007E-2</v>
      </c>
      <c r="E609" s="12">
        <v>0.16</v>
      </c>
      <c r="F609" s="12">
        <v>0.04</v>
      </c>
      <c r="G609" s="12">
        <v>0.09</v>
      </c>
      <c r="H609" s="12">
        <v>0.21</v>
      </c>
      <c r="I609" s="12">
        <v>0.05</v>
      </c>
      <c r="J609" s="12">
        <v>0.12</v>
      </c>
      <c r="K609" s="12">
        <v>0.3</v>
      </c>
      <c r="L609" s="12">
        <v>7.0000000000000007E-2</v>
      </c>
      <c r="M609" s="8">
        <v>8</v>
      </c>
      <c r="N609">
        <v>10</v>
      </c>
      <c r="O609" s="12">
        <v>12</v>
      </c>
      <c r="BF609" s="9">
        <v>6.08</v>
      </c>
      <c r="BG609" s="9">
        <f t="shared" si="19"/>
        <v>3.4539473684210523E-2</v>
      </c>
      <c r="BH609" s="9">
        <f t="shared" si="18"/>
        <v>4.4842575187969934E-2</v>
      </c>
      <c r="BQ609" s="8">
        <v>8</v>
      </c>
      <c r="BR609" s="8" t="s">
        <v>1278</v>
      </c>
    </row>
    <row r="610" spans="1:70" x14ac:dyDescent="0.3">
      <c r="A610" s="11" t="s">
        <v>1279</v>
      </c>
      <c r="B610" s="12">
        <v>193000</v>
      </c>
      <c r="C610" s="12">
        <v>664900</v>
      </c>
      <c r="D610" s="12">
        <v>0.06</v>
      </c>
      <c r="E610" s="12">
        <v>0.16</v>
      </c>
      <c r="F610" s="12">
        <v>0.04</v>
      </c>
      <c r="G610" s="12">
        <v>0.08</v>
      </c>
      <c r="H610" s="12">
        <v>0.2</v>
      </c>
      <c r="I610" s="12">
        <v>0.06</v>
      </c>
      <c r="J610" s="12">
        <v>0.1</v>
      </c>
      <c r="K610" s="12">
        <v>0.25</v>
      </c>
      <c r="L610" s="12">
        <v>0.08</v>
      </c>
      <c r="M610" s="8">
        <v>8</v>
      </c>
      <c r="N610">
        <v>10</v>
      </c>
      <c r="O610" s="12">
        <v>12</v>
      </c>
      <c r="BF610" s="9">
        <v>6.09</v>
      </c>
      <c r="BG610" s="9">
        <f t="shared" si="19"/>
        <v>3.4482758620689655E-2</v>
      </c>
      <c r="BH610" s="9">
        <f t="shared" si="18"/>
        <v>4.4768942059582463E-2</v>
      </c>
      <c r="BQ610" s="8">
        <v>8</v>
      </c>
      <c r="BR610" s="8" t="s">
        <v>1280</v>
      </c>
    </row>
    <row r="611" spans="1:70" x14ac:dyDescent="0.3">
      <c r="A611" s="11" t="s">
        <v>1281</v>
      </c>
      <c r="B611" s="12">
        <v>194500</v>
      </c>
      <c r="C611" s="12">
        <v>684700</v>
      </c>
      <c r="D611" s="12">
        <v>7.0000000000000007E-2</v>
      </c>
      <c r="E611" s="12">
        <v>0.17</v>
      </c>
      <c r="F611" s="12">
        <v>0.05</v>
      </c>
      <c r="G611" s="12">
        <v>0.08</v>
      </c>
      <c r="H611" s="12">
        <v>0.21</v>
      </c>
      <c r="I611" s="12">
        <v>0.06</v>
      </c>
      <c r="J611" s="12">
        <v>0.11</v>
      </c>
      <c r="K611" s="12">
        <v>0.28000000000000003</v>
      </c>
      <c r="L611" s="12">
        <v>0.08</v>
      </c>
      <c r="M611" s="8">
        <v>8</v>
      </c>
      <c r="N611">
        <v>9</v>
      </c>
      <c r="O611" s="12">
        <v>12</v>
      </c>
      <c r="BF611" s="9">
        <v>6.1</v>
      </c>
      <c r="BG611" s="9">
        <f t="shared" si="19"/>
        <v>3.4426229508196723E-2</v>
      </c>
      <c r="BH611" s="9">
        <f t="shared" si="18"/>
        <v>4.4695550351288069E-2</v>
      </c>
      <c r="BQ611" s="8">
        <v>7</v>
      </c>
      <c r="BR611" s="8" t="s">
        <v>1282</v>
      </c>
    </row>
    <row r="612" spans="1:70" x14ac:dyDescent="0.3">
      <c r="A612" s="11" t="s">
        <v>1283</v>
      </c>
      <c r="B612" s="12">
        <v>155500</v>
      </c>
      <c r="C612" s="12">
        <v>599300</v>
      </c>
      <c r="D612" s="12">
        <v>0.05</v>
      </c>
      <c r="E612" s="12">
        <v>0.12</v>
      </c>
      <c r="F612" s="12">
        <v>0.03</v>
      </c>
      <c r="G612" s="12">
        <v>0.06</v>
      </c>
      <c r="H612" s="12">
        <v>0.15</v>
      </c>
      <c r="I612" s="12">
        <v>0.04</v>
      </c>
      <c r="J612" s="12">
        <v>0.08</v>
      </c>
      <c r="K612" s="12">
        <v>0.21</v>
      </c>
      <c r="L612" s="12">
        <v>0.06</v>
      </c>
      <c r="M612" s="8">
        <v>8</v>
      </c>
      <c r="N612">
        <v>10</v>
      </c>
      <c r="O612" s="12">
        <v>13</v>
      </c>
      <c r="BF612" s="9">
        <v>6.11</v>
      </c>
      <c r="BG612" s="9">
        <f t="shared" si="19"/>
        <v>3.4369885433715219E-2</v>
      </c>
      <c r="BH612" s="9">
        <f t="shared" si="18"/>
        <v>4.4622398877718031E-2</v>
      </c>
      <c r="BQ612" s="8">
        <v>7</v>
      </c>
      <c r="BR612" s="8" t="s">
        <v>1284</v>
      </c>
    </row>
    <row r="613" spans="1:70" x14ac:dyDescent="0.3">
      <c r="A613" s="11" t="s">
        <v>1285</v>
      </c>
      <c r="B613" s="12">
        <v>211000</v>
      </c>
      <c r="C613" s="12">
        <v>617500</v>
      </c>
      <c r="D613" s="12">
        <v>0.08</v>
      </c>
      <c r="E613" s="12">
        <v>0.2</v>
      </c>
      <c r="F613" s="12">
        <v>0.05</v>
      </c>
      <c r="G613" s="12">
        <v>0.1</v>
      </c>
      <c r="H613" s="12">
        <v>0.26</v>
      </c>
      <c r="I613" s="12">
        <v>7.0000000000000007E-2</v>
      </c>
      <c r="J613" s="12">
        <v>0.13</v>
      </c>
      <c r="K613" s="12">
        <v>0.34</v>
      </c>
      <c r="L613" s="12">
        <v>0.09</v>
      </c>
      <c r="M613" s="8">
        <v>7</v>
      </c>
      <c r="N613">
        <v>9</v>
      </c>
      <c r="O613" s="12">
        <v>10</v>
      </c>
      <c r="BF613" s="9">
        <v>6.12</v>
      </c>
      <c r="BG613" s="9">
        <f t="shared" si="19"/>
        <v>3.4313725490196074E-2</v>
      </c>
      <c r="BH613" s="9">
        <f t="shared" si="18"/>
        <v>4.4549486461251175E-2</v>
      </c>
      <c r="BQ613" s="8">
        <v>8</v>
      </c>
      <c r="BR613" s="8" t="s">
        <v>1286</v>
      </c>
    </row>
    <row r="614" spans="1:70" x14ac:dyDescent="0.3">
      <c r="A614" s="11" t="s">
        <v>1287</v>
      </c>
      <c r="B614" s="12">
        <v>200300</v>
      </c>
      <c r="C614" s="12">
        <v>709800</v>
      </c>
      <c r="D614" s="12">
        <v>0.09</v>
      </c>
      <c r="E614" s="12">
        <v>0.21</v>
      </c>
      <c r="F614" s="12">
        <v>0.05</v>
      </c>
      <c r="G614" s="12">
        <v>0.11</v>
      </c>
      <c r="H614" s="12">
        <v>0.27</v>
      </c>
      <c r="I614" s="12">
        <v>7.0000000000000007E-2</v>
      </c>
      <c r="J614" s="12">
        <v>0.14000000000000001</v>
      </c>
      <c r="K614" s="12">
        <v>0.36</v>
      </c>
      <c r="L614" s="12">
        <v>0.09</v>
      </c>
      <c r="M614" s="8">
        <v>7</v>
      </c>
      <c r="N614">
        <v>9</v>
      </c>
      <c r="O614" s="12">
        <v>11</v>
      </c>
      <c r="BF614" s="9">
        <v>6.13</v>
      </c>
      <c r="BG614" s="9">
        <f t="shared" si="19"/>
        <v>3.4257748776508973E-2</v>
      </c>
      <c r="BH614" s="9">
        <f t="shared" si="18"/>
        <v>4.4476811931950605E-2</v>
      </c>
      <c r="BQ614" s="8">
        <v>5</v>
      </c>
      <c r="BR614" s="8" t="s">
        <v>1288</v>
      </c>
    </row>
    <row r="615" spans="1:70" x14ac:dyDescent="0.3">
      <c r="A615" s="11" t="s">
        <v>1289</v>
      </c>
      <c r="B615" s="12">
        <v>198000</v>
      </c>
      <c r="C615" s="12">
        <v>669000</v>
      </c>
      <c r="D615" s="12">
        <v>7.0000000000000007E-2</v>
      </c>
      <c r="E615" s="12">
        <v>0.17</v>
      </c>
      <c r="F615" s="12">
        <v>0.05</v>
      </c>
      <c r="G615" s="12">
        <v>0.09</v>
      </c>
      <c r="H615" s="12">
        <v>0.21</v>
      </c>
      <c r="I615" s="12">
        <v>0.06</v>
      </c>
      <c r="J615" s="12">
        <v>0.11</v>
      </c>
      <c r="K615" s="12">
        <v>0.27</v>
      </c>
      <c r="L615" s="12">
        <v>0.08</v>
      </c>
      <c r="M615" s="8">
        <v>8</v>
      </c>
      <c r="N615">
        <v>9</v>
      </c>
      <c r="O615" s="12">
        <v>11</v>
      </c>
      <c r="BF615" s="9">
        <v>6.14</v>
      </c>
      <c r="BG615" s="9">
        <f t="shared" si="19"/>
        <v>3.4201954397394138E-2</v>
      </c>
      <c r="BH615" s="9">
        <f t="shared" si="18"/>
        <v>4.4404374127501173E-2</v>
      </c>
      <c r="BQ615" s="8">
        <v>7</v>
      </c>
      <c r="BR615" s="8" t="s">
        <v>1290</v>
      </c>
    </row>
    <row r="616" spans="1:70" x14ac:dyDescent="0.3">
      <c r="A616" s="11" t="s">
        <v>1291</v>
      </c>
      <c r="B616" s="12">
        <v>242300</v>
      </c>
      <c r="C616" s="12">
        <v>730200</v>
      </c>
      <c r="D616" s="12">
        <v>0.19</v>
      </c>
      <c r="E616" s="12">
        <v>0.48</v>
      </c>
      <c r="F616" s="12">
        <v>0.09</v>
      </c>
      <c r="G616" s="12">
        <v>0.24</v>
      </c>
      <c r="H616" s="12">
        <v>0.62</v>
      </c>
      <c r="I616" s="12">
        <v>0.12</v>
      </c>
      <c r="J616" s="12">
        <v>0.31</v>
      </c>
      <c r="K616" s="12">
        <v>0.83</v>
      </c>
      <c r="L616" s="12">
        <v>0.17</v>
      </c>
      <c r="M616" s="8">
        <v>5</v>
      </c>
      <c r="N616">
        <v>6</v>
      </c>
      <c r="O616" s="12">
        <v>8</v>
      </c>
      <c r="BF616" s="9">
        <v>6.15</v>
      </c>
      <c r="BG616" s="9">
        <f t="shared" si="19"/>
        <v>3.414634146341463E-2</v>
      </c>
      <c r="BH616" s="9">
        <f t="shared" si="18"/>
        <v>4.4332171893147511E-2</v>
      </c>
      <c r="BQ616" s="8">
        <v>7</v>
      </c>
      <c r="BR616" s="8" t="s">
        <v>1292</v>
      </c>
    </row>
    <row r="617" spans="1:70" x14ac:dyDescent="0.3">
      <c r="A617" s="11" t="s">
        <v>1293</v>
      </c>
      <c r="B617" s="12">
        <v>205300</v>
      </c>
      <c r="C617" s="12">
        <v>712400</v>
      </c>
      <c r="D617" s="12">
        <v>0.1</v>
      </c>
      <c r="E617" s="12">
        <v>0.24</v>
      </c>
      <c r="F617" s="12">
        <v>0.06</v>
      </c>
      <c r="G617" s="12">
        <v>0.12</v>
      </c>
      <c r="H617" s="12">
        <v>0.31</v>
      </c>
      <c r="I617" s="12">
        <v>7.0000000000000007E-2</v>
      </c>
      <c r="J617" s="12">
        <v>0.17</v>
      </c>
      <c r="K617" s="12">
        <v>0.43</v>
      </c>
      <c r="L617" s="12">
        <v>0.1</v>
      </c>
      <c r="M617" s="8">
        <v>7</v>
      </c>
      <c r="N617">
        <v>8</v>
      </c>
      <c r="O617" s="12">
        <v>10</v>
      </c>
      <c r="BF617" s="9">
        <v>6.16</v>
      </c>
      <c r="BG617" s="9">
        <f t="shared" si="19"/>
        <v>3.4090909090909088E-2</v>
      </c>
      <c r="BH617" s="9">
        <f t="shared" si="18"/>
        <v>4.4260204081632656E-2</v>
      </c>
      <c r="BQ617" s="8">
        <v>7</v>
      </c>
      <c r="BR617" s="8" t="s">
        <v>1294</v>
      </c>
    </row>
    <row r="618" spans="1:70" x14ac:dyDescent="0.3">
      <c r="A618" s="11" t="s">
        <v>1295</v>
      </c>
      <c r="B618" s="12">
        <v>211000</v>
      </c>
      <c r="C618" s="12">
        <v>776900</v>
      </c>
      <c r="D618" s="12">
        <v>0.11</v>
      </c>
      <c r="E618" s="12">
        <v>0.28000000000000003</v>
      </c>
      <c r="F618" s="12">
        <v>0.06</v>
      </c>
      <c r="G618" s="12">
        <v>0.15</v>
      </c>
      <c r="H618" s="12">
        <v>0.37</v>
      </c>
      <c r="I618" s="12">
        <v>0.08</v>
      </c>
      <c r="J618" s="12">
        <v>0.2</v>
      </c>
      <c r="K618" s="12">
        <v>0.51</v>
      </c>
      <c r="L618" s="12">
        <v>0.11</v>
      </c>
      <c r="M618" s="8">
        <v>7</v>
      </c>
      <c r="N618">
        <v>8</v>
      </c>
      <c r="O618" s="12">
        <v>10</v>
      </c>
      <c r="BF618" s="9">
        <v>6.17</v>
      </c>
      <c r="BG618" s="9">
        <f t="shared" si="19"/>
        <v>3.4035656401944892E-2</v>
      </c>
      <c r="BH618" s="9">
        <f t="shared" si="18"/>
        <v>4.4188469553137308E-2</v>
      </c>
      <c r="BQ618" s="8">
        <v>5</v>
      </c>
      <c r="BR618" s="8" t="s">
        <v>1296</v>
      </c>
    </row>
    <row r="619" spans="1:70" x14ac:dyDescent="0.3">
      <c r="A619" s="11" t="s">
        <v>1297</v>
      </c>
      <c r="B619" s="12">
        <v>227300</v>
      </c>
      <c r="C619" s="12">
        <v>778300</v>
      </c>
      <c r="D619" s="12">
        <v>0.12</v>
      </c>
      <c r="E619" s="12">
        <v>0.31</v>
      </c>
      <c r="F619" s="12">
        <v>7.0000000000000007E-2</v>
      </c>
      <c r="G619" s="12">
        <v>0.15</v>
      </c>
      <c r="H619" s="12">
        <v>0.39</v>
      </c>
      <c r="I619" s="12">
        <v>0.09</v>
      </c>
      <c r="J619" s="12">
        <v>0.2</v>
      </c>
      <c r="K619" s="12">
        <v>0.51</v>
      </c>
      <c r="L619" s="12">
        <v>0.12</v>
      </c>
      <c r="M619" s="8">
        <v>7</v>
      </c>
      <c r="N619">
        <v>8</v>
      </c>
      <c r="O619" s="12">
        <v>10</v>
      </c>
      <c r="BF619" s="9">
        <v>6.18</v>
      </c>
      <c r="BG619" s="9">
        <f t="shared" si="19"/>
        <v>3.3980582524271843E-2</v>
      </c>
      <c r="BH619" s="9">
        <f t="shared" si="18"/>
        <v>4.411696717521961E-2</v>
      </c>
      <c r="BQ619" s="8">
        <v>7</v>
      </c>
      <c r="BR619" s="8" t="s">
        <v>1298</v>
      </c>
    </row>
    <row r="620" spans="1:70" x14ac:dyDescent="0.3">
      <c r="A620" s="11" t="s">
        <v>1299</v>
      </c>
      <c r="B620" s="12">
        <v>252600</v>
      </c>
      <c r="C620" s="12">
        <v>707300</v>
      </c>
      <c r="D620" s="12">
        <v>0.25</v>
      </c>
      <c r="E620" s="12">
        <v>0.63</v>
      </c>
      <c r="F620" s="12">
        <v>0.12</v>
      </c>
      <c r="G620" s="12">
        <v>0.33</v>
      </c>
      <c r="H620" s="12">
        <v>0.84</v>
      </c>
      <c r="I620" s="12">
        <v>0.16</v>
      </c>
      <c r="J620" s="12">
        <v>0.45</v>
      </c>
      <c r="K620" s="12">
        <v>1.1499999999999999</v>
      </c>
      <c r="L620" s="12">
        <v>0.24</v>
      </c>
      <c r="M620" s="8">
        <v>5</v>
      </c>
      <c r="N620">
        <v>5</v>
      </c>
      <c r="O620" s="12">
        <v>6</v>
      </c>
      <c r="BF620" s="9">
        <v>6.19</v>
      </c>
      <c r="BG620" s="9">
        <f t="shared" si="19"/>
        <v>3.3925686591276247E-2</v>
      </c>
      <c r="BH620" s="9">
        <f t="shared" si="18"/>
        <v>4.4045695822755603E-2</v>
      </c>
      <c r="BQ620" s="8">
        <v>6</v>
      </c>
      <c r="BR620" s="8" t="s">
        <v>1300</v>
      </c>
    </row>
    <row r="621" spans="1:70" x14ac:dyDescent="0.3">
      <c r="A621" s="11" t="s">
        <v>1301</v>
      </c>
      <c r="B621" s="12">
        <v>203400</v>
      </c>
      <c r="C621" s="12">
        <v>646500</v>
      </c>
      <c r="D621" s="12">
        <v>7.0000000000000007E-2</v>
      </c>
      <c r="E621" s="12">
        <v>0.18</v>
      </c>
      <c r="F621" s="12">
        <v>0.05</v>
      </c>
      <c r="G621" s="12">
        <v>0.09</v>
      </c>
      <c r="H621" s="12">
        <v>0.22</v>
      </c>
      <c r="I621" s="12">
        <v>0.06</v>
      </c>
      <c r="J621" s="12">
        <v>0.11</v>
      </c>
      <c r="K621" s="12">
        <v>0.28999999999999998</v>
      </c>
      <c r="L621" s="12">
        <v>0.08</v>
      </c>
      <c r="M621" s="8">
        <v>7</v>
      </c>
      <c r="N621">
        <v>9</v>
      </c>
      <c r="O621" s="12">
        <v>11</v>
      </c>
      <c r="BF621" s="9">
        <v>6.2</v>
      </c>
      <c r="BG621" s="9">
        <f t="shared" si="19"/>
        <v>3.387096774193548E-2</v>
      </c>
      <c r="BH621" s="9">
        <f t="shared" si="18"/>
        <v>4.3974654377880187E-2</v>
      </c>
      <c r="BQ621" s="8">
        <v>8</v>
      </c>
      <c r="BR621" s="8" t="s">
        <v>1302</v>
      </c>
    </row>
    <row r="622" spans="1:70" x14ac:dyDescent="0.3">
      <c r="A622" s="11" t="s">
        <v>1303</v>
      </c>
      <c r="B622" s="12">
        <v>243100</v>
      </c>
      <c r="C622" s="12">
        <v>762300</v>
      </c>
      <c r="D622" s="12">
        <v>0.19</v>
      </c>
      <c r="E622" s="12">
        <v>0.49</v>
      </c>
      <c r="F622" s="12">
        <v>0.09</v>
      </c>
      <c r="G622" s="12">
        <v>0.24</v>
      </c>
      <c r="H622" s="12">
        <v>0.63</v>
      </c>
      <c r="I622" s="12">
        <v>0.12</v>
      </c>
      <c r="J622" s="12">
        <v>0.32</v>
      </c>
      <c r="K622" s="12">
        <v>0.84</v>
      </c>
      <c r="L622" s="12">
        <v>0.18</v>
      </c>
      <c r="M622" s="8">
        <v>6</v>
      </c>
      <c r="N622">
        <v>7</v>
      </c>
      <c r="O622" s="12">
        <v>8</v>
      </c>
      <c r="BF622" s="9">
        <v>6.21</v>
      </c>
      <c r="BG622" s="9">
        <f t="shared" si="19"/>
        <v>3.3816425120772944E-2</v>
      </c>
      <c r="BH622" s="9">
        <f t="shared" si="18"/>
        <v>4.3903841729928693E-2</v>
      </c>
      <c r="BQ622" s="8">
        <v>8</v>
      </c>
      <c r="BR622" s="8" t="s">
        <v>1304</v>
      </c>
    </row>
    <row r="623" spans="1:70" x14ac:dyDescent="0.3">
      <c r="A623" s="11" t="s">
        <v>1305</v>
      </c>
      <c r="B623" s="12">
        <v>193800</v>
      </c>
      <c r="C623" s="12">
        <v>644000</v>
      </c>
      <c r="D623" s="12">
        <v>0.06</v>
      </c>
      <c r="E623" s="12">
        <v>0.15</v>
      </c>
      <c r="F623" s="12">
        <v>0.04</v>
      </c>
      <c r="G623" s="12">
        <v>0.08</v>
      </c>
      <c r="H623" s="12">
        <v>0.19</v>
      </c>
      <c r="I623" s="12">
        <v>0.06</v>
      </c>
      <c r="J623" s="12">
        <v>0.1</v>
      </c>
      <c r="K623" s="12">
        <v>0.25</v>
      </c>
      <c r="L623" s="12">
        <v>0.08</v>
      </c>
      <c r="M623" s="8">
        <v>8</v>
      </c>
      <c r="N623">
        <v>10</v>
      </c>
      <c r="O623" s="12">
        <v>12</v>
      </c>
      <c r="BF623" s="9">
        <v>6.22</v>
      </c>
      <c r="BG623" s="9">
        <f t="shared" si="19"/>
        <v>3.3762057877813507E-2</v>
      </c>
      <c r="BH623" s="9">
        <f t="shared" si="18"/>
        <v>4.383325677537897E-2</v>
      </c>
      <c r="BQ623" s="8">
        <v>6</v>
      </c>
      <c r="BR623" s="8" t="s">
        <v>1306</v>
      </c>
    </row>
    <row r="624" spans="1:70" x14ac:dyDescent="0.3">
      <c r="A624" s="11" t="s">
        <v>1307</v>
      </c>
      <c r="B624" s="12">
        <v>183000</v>
      </c>
      <c r="C624" s="12">
        <v>676500</v>
      </c>
      <c r="D624" s="12">
        <v>0.06</v>
      </c>
      <c r="E624" s="12">
        <v>0.15</v>
      </c>
      <c r="F624" s="12">
        <v>0.04</v>
      </c>
      <c r="G624" s="12">
        <v>0.08</v>
      </c>
      <c r="H624" s="12">
        <v>0.19</v>
      </c>
      <c r="I624" s="12">
        <v>0.06</v>
      </c>
      <c r="J624" s="12">
        <v>0.1</v>
      </c>
      <c r="K624" s="12">
        <v>0.25</v>
      </c>
      <c r="L624" s="12">
        <v>0.08</v>
      </c>
      <c r="M624" s="8">
        <v>8</v>
      </c>
      <c r="N624">
        <v>10</v>
      </c>
      <c r="O624" s="12">
        <v>12</v>
      </c>
      <c r="BF624" s="9">
        <v>6.23</v>
      </c>
      <c r="BG624" s="9">
        <f t="shared" si="19"/>
        <v>3.3707865168539325E-2</v>
      </c>
      <c r="BH624" s="9">
        <f t="shared" si="18"/>
        <v>4.3762898417794086E-2</v>
      </c>
      <c r="BQ624" s="8">
        <v>6</v>
      </c>
      <c r="BR624" s="8" t="s">
        <v>1308</v>
      </c>
    </row>
    <row r="625" spans="1:70" x14ac:dyDescent="0.3">
      <c r="A625" s="11" t="s">
        <v>1309</v>
      </c>
      <c r="B625" s="12">
        <v>239800</v>
      </c>
      <c r="C625" s="12">
        <v>732500</v>
      </c>
      <c r="D625" s="12">
        <v>0.18</v>
      </c>
      <c r="E625" s="12">
        <v>0.45</v>
      </c>
      <c r="F625" s="12">
        <v>0.09</v>
      </c>
      <c r="G625" s="12">
        <v>0.22</v>
      </c>
      <c r="H625" s="12">
        <v>0.56999999999999995</v>
      </c>
      <c r="I625" s="12">
        <v>0.11</v>
      </c>
      <c r="J625" s="12">
        <v>0.28000000000000003</v>
      </c>
      <c r="K625" s="12">
        <v>0.76</v>
      </c>
      <c r="L625" s="12">
        <v>0.16</v>
      </c>
      <c r="M625" s="8">
        <v>6</v>
      </c>
      <c r="N625">
        <v>7</v>
      </c>
      <c r="O625" s="12">
        <v>8</v>
      </c>
      <c r="BF625" s="9">
        <v>6.24</v>
      </c>
      <c r="BG625" s="9">
        <f t="shared" si="19"/>
        <v>3.3653846153846152E-2</v>
      </c>
      <c r="BH625" s="9">
        <f t="shared" si="18"/>
        <v>4.3692765567765572E-2</v>
      </c>
      <c r="BQ625" s="8">
        <v>5</v>
      </c>
      <c r="BR625" s="8" t="s">
        <v>1310</v>
      </c>
    </row>
    <row r="626" spans="1:70" x14ac:dyDescent="0.3">
      <c r="A626" s="11" t="s">
        <v>1311</v>
      </c>
      <c r="B626" s="12">
        <v>223800</v>
      </c>
      <c r="C626" s="12">
        <v>669500</v>
      </c>
      <c r="D626" s="12">
        <v>0.12</v>
      </c>
      <c r="E626" s="12">
        <v>0.31</v>
      </c>
      <c r="F626" s="12">
        <v>7.0000000000000007E-2</v>
      </c>
      <c r="G626" s="12">
        <v>0.16</v>
      </c>
      <c r="H626" s="12">
        <v>0.41</v>
      </c>
      <c r="I626" s="12">
        <v>0.09</v>
      </c>
      <c r="J626" s="12">
        <v>0.21</v>
      </c>
      <c r="K626" s="12">
        <v>0.55000000000000004</v>
      </c>
      <c r="L626" s="12">
        <v>0.12</v>
      </c>
      <c r="M626" s="8">
        <v>6</v>
      </c>
      <c r="N626">
        <v>7</v>
      </c>
      <c r="O626" s="12">
        <v>9</v>
      </c>
      <c r="BF626" s="9">
        <v>6.25</v>
      </c>
      <c r="BG626" s="9">
        <f t="shared" si="19"/>
        <v>3.3599999999999998E-2</v>
      </c>
      <c r="BH626" s="9">
        <f t="shared" si="18"/>
        <v>4.3622857142857151E-2</v>
      </c>
      <c r="BQ626" s="8">
        <v>6</v>
      </c>
      <c r="BR626" s="8" t="s">
        <v>1312</v>
      </c>
    </row>
    <row r="627" spans="1:70" x14ac:dyDescent="0.3">
      <c r="A627" s="11" t="s">
        <v>1313</v>
      </c>
      <c r="B627" s="12">
        <v>257100</v>
      </c>
      <c r="C627" s="12">
        <v>759500</v>
      </c>
      <c r="D627" s="12">
        <v>0.28000000000000003</v>
      </c>
      <c r="E627" s="12">
        <v>0.7</v>
      </c>
      <c r="F627" s="12">
        <v>0.13</v>
      </c>
      <c r="G627" s="12">
        <v>0.37</v>
      </c>
      <c r="H627" s="12">
        <v>0.93</v>
      </c>
      <c r="I627" s="12">
        <v>0.18</v>
      </c>
      <c r="J627" s="12">
        <v>0.5</v>
      </c>
      <c r="K627" s="12">
        <v>1.27</v>
      </c>
      <c r="L627" s="12">
        <v>0.27</v>
      </c>
      <c r="M627" s="8">
        <v>5</v>
      </c>
      <c r="N627">
        <v>5</v>
      </c>
      <c r="O627" s="12">
        <v>6</v>
      </c>
      <c r="BF627" s="9">
        <v>6.26</v>
      </c>
      <c r="BG627" s="9">
        <f t="shared" si="19"/>
        <v>3.3546325878594248E-2</v>
      </c>
      <c r="BH627" s="9">
        <f t="shared" si="18"/>
        <v>4.3553172067549072E-2</v>
      </c>
      <c r="BQ627" s="8">
        <v>8</v>
      </c>
      <c r="BR627" s="8" t="s">
        <v>1314</v>
      </c>
    </row>
    <row r="628" spans="1:70" x14ac:dyDescent="0.3">
      <c r="A628" s="11" t="s">
        <v>1315</v>
      </c>
      <c r="B628" s="12">
        <v>244200</v>
      </c>
      <c r="C628" s="12">
        <v>771500</v>
      </c>
      <c r="D628" s="12">
        <v>0.2</v>
      </c>
      <c r="E628" s="12">
        <v>0.5</v>
      </c>
      <c r="F628" s="12">
        <v>0.09</v>
      </c>
      <c r="G628" s="12">
        <v>0.25</v>
      </c>
      <c r="H628" s="12">
        <v>0.65</v>
      </c>
      <c r="I628" s="12">
        <v>0.13</v>
      </c>
      <c r="J628" s="12">
        <v>0.33</v>
      </c>
      <c r="K628" s="12">
        <v>0.87</v>
      </c>
      <c r="L628" s="12">
        <v>0.18</v>
      </c>
      <c r="M628" s="8">
        <v>6</v>
      </c>
      <c r="N628">
        <v>7</v>
      </c>
      <c r="O628" s="12">
        <v>8</v>
      </c>
      <c r="BF628" s="9">
        <v>6.27</v>
      </c>
      <c r="BG628" s="9">
        <f t="shared" si="19"/>
        <v>3.3492822966507178E-2</v>
      </c>
      <c r="BH628" s="9">
        <f t="shared" si="18"/>
        <v>4.3483709273182965E-2</v>
      </c>
      <c r="BQ628" s="8">
        <v>8</v>
      </c>
      <c r="BR628" s="8" t="s">
        <v>1316</v>
      </c>
    </row>
    <row r="629" spans="1:70" x14ac:dyDescent="0.3">
      <c r="A629" s="11" t="s">
        <v>1317</v>
      </c>
      <c r="B629" s="12">
        <v>193800</v>
      </c>
      <c r="C629" s="12">
        <v>651700</v>
      </c>
      <c r="D629" s="12">
        <v>0.06</v>
      </c>
      <c r="E629" s="12">
        <v>0.15</v>
      </c>
      <c r="F629" s="12">
        <v>0.04</v>
      </c>
      <c r="G629" s="12">
        <v>0.08</v>
      </c>
      <c r="H629" s="12">
        <v>0.19</v>
      </c>
      <c r="I629" s="12">
        <v>0.06</v>
      </c>
      <c r="J629" s="12">
        <v>0.1</v>
      </c>
      <c r="K629" s="12">
        <v>0.25</v>
      </c>
      <c r="L629" s="12">
        <v>0.08</v>
      </c>
      <c r="M629" s="8">
        <v>8</v>
      </c>
      <c r="N629">
        <v>10</v>
      </c>
      <c r="O629" s="12">
        <v>12</v>
      </c>
      <c r="BF629" s="9">
        <v>6.28</v>
      </c>
      <c r="BG629" s="9">
        <f t="shared" si="19"/>
        <v>3.3439490445859872E-2</v>
      </c>
      <c r="BH629" s="9">
        <f t="shared" si="18"/>
        <v>4.3414467697907196E-2</v>
      </c>
      <c r="BQ629" s="8">
        <v>7</v>
      </c>
      <c r="BR629" s="8" t="s">
        <v>1318</v>
      </c>
    </row>
    <row r="630" spans="1:70" x14ac:dyDescent="0.3">
      <c r="A630" s="11" t="s">
        <v>1319</v>
      </c>
      <c r="B630" s="12">
        <v>173800</v>
      </c>
      <c r="C630" s="12">
        <v>636300</v>
      </c>
      <c r="D630" s="12">
        <v>0.06</v>
      </c>
      <c r="E630" s="12">
        <v>0.15</v>
      </c>
      <c r="F630" s="12">
        <v>0.04</v>
      </c>
      <c r="G630" s="12">
        <v>0.08</v>
      </c>
      <c r="H630" s="12">
        <v>0.19</v>
      </c>
      <c r="I630" s="12">
        <v>0.05</v>
      </c>
      <c r="J630" s="12">
        <v>0.1</v>
      </c>
      <c r="K630" s="12">
        <v>0.26</v>
      </c>
      <c r="L630" s="12">
        <v>7.0000000000000007E-2</v>
      </c>
      <c r="M630" s="8">
        <v>8</v>
      </c>
      <c r="N630">
        <v>10</v>
      </c>
      <c r="O630" s="12">
        <v>12</v>
      </c>
      <c r="BF630" s="9">
        <v>6.29</v>
      </c>
      <c r="BG630" s="9">
        <f t="shared" si="19"/>
        <v>3.3386327503974564E-2</v>
      </c>
      <c r="BH630" s="9">
        <f t="shared" si="18"/>
        <v>4.3345446286622763E-2</v>
      </c>
      <c r="BQ630" s="8">
        <v>9</v>
      </c>
      <c r="BR630" s="8" t="s">
        <v>1320</v>
      </c>
    </row>
    <row r="631" spans="1:70" x14ac:dyDescent="0.3">
      <c r="A631" s="11" t="s">
        <v>1321</v>
      </c>
      <c r="B631" s="12">
        <v>199300</v>
      </c>
      <c r="C631" s="12">
        <v>727900</v>
      </c>
      <c r="D631" s="12">
        <v>0.1</v>
      </c>
      <c r="E631" s="12">
        <v>0.26</v>
      </c>
      <c r="F631" s="12">
        <v>0.06</v>
      </c>
      <c r="G631" s="12">
        <v>0.14000000000000001</v>
      </c>
      <c r="H631" s="12">
        <v>0.35</v>
      </c>
      <c r="I631" s="12">
        <v>0.08</v>
      </c>
      <c r="J631" s="12">
        <v>0.2</v>
      </c>
      <c r="K631" s="12">
        <v>0.5</v>
      </c>
      <c r="L631" s="12">
        <v>0.11</v>
      </c>
      <c r="M631" s="8">
        <v>7</v>
      </c>
      <c r="N631">
        <v>8</v>
      </c>
      <c r="O631" s="12">
        <v>10</v>
      </c>
      <c r="BF631" s="9">
        <v>6.3</v>
      </c>
      <c r="BG631" s="9">
        <f t="shared" si="19"/>
        <v>3.3333333333333333E-2</v>
      </c>
      <c r="BH631" s="9">
        <f t="shared" si="18"/>
        <v>4.3276643990929717E-2</v>
      </c>
      <c r="BQ631" s="8">
        <v>8</v>
      </c>
      <c r="BR631" s="8" t="s">
        <v>1322</v>
      </c>
    </row>
    <row r="632" spans="1:70" x14ac:dyDescent="0.3">
      <c r="A632" s="11" t="s">
        <v>1323</v>
      </c>
      <c r="B632" s="12">
        <v>131700</v>
      </c>
      <c r="C632" s="12">
        <v>571100</v>
      </c>
      <c r="D632" s="12">
        <v>0.04</v>
      </c>
      <c r="E632" s="12">
        <v>0.08</v>
      </c>
      <c r="F632" s="12">
        <v>0.03</v>
      </c>
      <c r="G632" s="12">
        <v>0.04</v>
      </c>
      <c r="H632" s="12">
        <v>0.1</v>
      </c>
      <c r="I632" s="12">
        <v>0.04</v>
      </c>
      <c r="J632" s="12">
        <v>0.06</v>
      </c>
      <c r="K632" s="12">
        <v>0.13</v>
      </c>
      <c r="L632" s="12">
        <v>0.05</v>
      </c>
      <c r="M632" s="8">
        <v>9</v>
      </c>
      <c r="N632">
        <v>11</v>
      </c>
      <c r="O632" s="12">
        <v>14</v>
      </c>
      <c r="BF632" s="9">
        <v>6.31</v>
      </c>
      <c r="BG632" s="9">
        <f t="shared" si="19"/>
        <v>3.328050713153724E-2</v>
      </c>
      <c r="BH632" s="9">
        <f t="shared" si="18"/>
        <v>4.3208059769074041E-2</v>
      </c>
      <c r="BQ632" s="8">
        <v>7</v>
      </c>
      <c r="BR632" s="8" t="s">
        <v>1324</v>
      </c>
    </row>
    <row r="633" spans="1:70" x14ac:dyDescent="0.3">
      <c r="A633" s="11" t="s">
        <v>1325</v>
      </c>
      <c r="B633" s="12">
        <v>191000</v>
      </c>
      <c r="C633" s="12">
        <v>639600</v>
      </c>
      <c r="D633" s="12">
        <v>0.06</v>
      </c>
      <c r="E633" s="12">
        <v>0.15</v>
      </c>
      <c r="F633" s="12">
        <v>0.04</v>
      </c>
      <c r="G633" s="12">
        <v>0.08</v>
      </c>
      <c r="H633" s="12">
        <v>0.19</v>
      </c>
      <c r="I633" s="12">
        <v>0.06</v>
      </c>
      <c r="J633" s="12">
        <v>0.1</v>
      </c>
      <c r="K633" s="12">
        <v>0.24</v>
      </c>
      <c r="L633" s="12">
        <v>7.0000000000000007E-2</v>
      </c>
      <c r="M633" s="8">
        <v>8</v>
      </c>
      <c r="N633">
        <v>10</v>
      </c>
      <c r="O633" s="12">
        <v>12</v>
      </c>
      <c r="BF633" s="9">
        <v>6.32</v>
      </c>
      <c r="BG633" s="9">
        <f t="shared" si="19"/>
        <v>3.3227848101265819E-2</v>
      </c>
      <c r="BH633" s="9">
        <f t="shared" si="18"/>
        <v>4.3139692585895124E-2</v>
      </c>
      <c r="BQ633" s="8">
        <v>6</v>
      </c>
      <c r="BR633" s="8" t="s">
        <v>1326</v>
      </c>
    </row>
    <row r="634" spans="1:70" x14ac:dyDescent="0.3">
      <c r="A634" s="11" t="s">
        <v>1327</v>
      </c>
      <c r="B634" s="12">
        <v>209600</v>
      </c>
      <c r="C634" s="12">
        <v>612800</v>
      </c>
      <c r="D634" s="12">
        <v>0.08</v>
      </c>
      <c r="E634" s="12">
        <v>0.2</v>
      </c>
      <c r="F634" s="12">
        <v>0.05</v>
      </c>
      <c r="G634" s="12">
        <v>0.1</v>
      </c>
      <c r="H634" s="12">
        <v>0.26</v>
      </c>
      <c r="I634" s="12">
        <v>7.0000000000000007E-2</v>
      </c>
      <c r="J634" s="12">
        <v>0.13</v>
      </c>
      <c r="K634" s="12">
        <v>0.34</v>
      </c>
      <c r="L634" s="12">
        <v>0.09</v>
      </c>
      <c r="M634" s="8">
        <v>7</v>
      </c>
      <c r="N634">
        <v>9</v>
      </c>
      <c r="O634" s="12">
        <v>10</v>
      </c>
      <c r="BF634" s="9">
        <v>6.33</v>
      </c>
      <c r="BG634" s="9">
        <f t="shared" si="19"/>
        <v>3.3175355450236962E-2</v>
      </c>
      <c r="BH634" s="9">
        <f t="shared" si="18"/>
        <v>4.3071541412773647E-2</v>
      </c>
      <c r="BQ634" s="8">
        <v>8</v>
      </c>
      <c r="BR634" s="8" t="s">
        <v>1328</v>
      </c>
    </row>
    <row r="635" spans="1:70" x14ac:dyDescent="0.3">
      <c r="A635" s="11" t="s">
        <v>1329</v>
      </c>
      <c r="B635" s="12">
        <v>228700</v>
      </c>
      <c r="C635" s="12">
        <v>758400</v>
      </c>
      <c r="D635" s="12">
        <v>0.14000000000000001</v>
      </c>
      <c r="E635" s="12">
        <v>0.35</v>
      </c>
      <c r="F635" s="12">
        <v>7.0000000000000007E-2</v>
      </c>
      <c r="G635" s="12">
        <v>0.17</v>
      </c>
      <c r="H635" s="12">
        <v>0.44</v>
      </c>
      <c r="I635" s="12">
        <v>0.09</v>
      </c>
      <c r="J635" s="12">
        <v>0.22</v>
      </c>
      <c r="K635" s="12">
        <v>0.57999999999999996</v>
      </c>
      <c r="L635" s="12">
        <v>0.12</v>
      </c>
      <c r="M635" s="8">
        <v>6</v>
      </c>
      <c r="N635">
        <v>8</v>
      </c>
      <c r="O635" s="12">
        <v>10</v>
      </c>
      <c r="BF635" s="9">
        <v>6.34</v>
      </c>
      <c r="BG635" s="9">
        <f t="shared" si="19"/>
        <v>3.3123028391167195E-2</v>
      </c>
      <c r="BH635" s="9">
        <f t="shared" si="18"/>
        <v>4.3003605227579997E-2</v>
      </c>
      <c r="BQ635" s="8">
        <v>7</v>
      </c>
      <c r="BR635" s="8" t="s">
        <v>1330</v>
      </c>
    </row>
    <row r="636" spans="1:70" x14ac:dyDescent="0.3">
      <c r="A636" s="11" t="s">
        <v>1331</v>
      </c>
      <c r="B636" s="12">
        <v>156700</v>
      </c>
      <c r="C636" s="12">
        <v>612500</v>
      </c>
      <c r="D636" s="12">
        <v>0.06</v>
      </c>
      <c r="E636" s="12">
        <v>0.14000000000000001</v>
      </c>
      <c r="F636" s="12">
        <v>0.04</v>
      </c>
      <c r="G636" s="12">
        <v>0.08</v>
      </c>
      <c r="H636" s="12">
        <v>0.19</v>
      </c>
      <c r="I636" s="12">
        <v>0.05</v>
      </c>
      <c r="J636" s="12">
        <v>0.11</v>
      </c>
      <c r="K636" s="12">
        <v>0.27</v>
      </c>
      <c r="L636" s="12">
        <v>0.06</v>
      </c>
      <c r="M636" s="8">
        <v>8</v>
      </c>
      <c r="N636">
        <v>10</v>
      </c>
      <c r="O636" s="12">
        <v>13</v>
      </c>
      <c r="BF636" s="9">
        <v>6.35</v>
      </c>
      <c r="BG636" s="9">
        <f t="shared" si="19"/>
        <v>3.3070866141732283E-2</v>
      </c>
      <c r="BH636" s="9">
        <f t="shared" si="18"/>
        <v>4.2935883014623179E-2</v>
      </c>
      <c r="BQ636" s="8">
        <v>6</v>
      </c>
      <c r="BR636" s="8" t="s">
        <v>1332</v>
      </c>
    </row>
    <row r="637" spans="1:70" x14ac:dyDescent="0.3">
      <c r="A637" s="11" t="s">
        <v>1333</v>
      </c>
      <c r="B637" s="12">
        <v>192100</v>
      </c>
      <c r="C637" s="12">
        <v>582300</v>
      </c>
      <c r="D637" s="12">
        <v>7.0000000000000007E-2</v>
      </c>
      <c r="E637" s="12">
        <v>0.17</v>
      </c>
      <c r="F637" s="12">
        <v>0.04</v>
      </c>
      <c r="G637" s="12">
        <v>0.09</v>
      </c>
      <c r="H637" s="12">
        <v>0.22</v>
      </c>
      <c r="I637" s="12">
        <v>0.06</v>
      </c>
      <c r="J637" s="12">
        <v>0.12</v>
      </c>
      <c r="K637" s="12">
        <v>0.3</v>
      </c>
      <c r="L637" s="12">
        <v>0.08</v>
      </c>
      <c r="M637" s="8">
        <v>7</v>
      </c>
      <c r="N637">
        <v>9</v>
      </c>
      <c r="O637" s="12">
        <v>11</v>
      </c>
      <c r="BF637" s="9">
        <v>6.36</v>
      </c>
      <c r="BG637" s="9">
        <f t="shared" si="19"/>
        <v>3.3018867924528301E-2</v>
      </c>
      <c r="BH637" s="9">
        <f t="shared" si="18"/>
        <v>4.2868373764600183E-2</v>
      </c>
      <c r="BQ637" s="8">
        <v>6</v>
      </c>
      <c r="BR637" s="8" t="s">
        <v>1334</v>
      </c>
    </row>
    <row r="638" spans="1:70" x14ac:dyDescent="0.3">
      <c r="A638" s="11" t="s">
        <v>1335</v>
      </c>
      <c r="B638" s="12">
        <v>217500</v>
      </c>
      <c r="C638" s="12">
        <v>593400</v>
      </c>
      <c r="D638" s="12">
        <v>0.11</v>
      </c>
      <c r="E638" s="12">
        <v>0.26</v>
      </c>
      <c r="F638" s="12">
        <v>0.06</v>
      </c>
      <c r="G638" s="12">
        <v>0.13</v>
      </c>
      <c r="H638" s="12">
        <v>0.34</v>
      </c>
      <c r="I638" s="12">
        <v>0.08</v>
      </c>
      <c r="J638" s="12">
        <v>0.18</v>
      </c>
      <c r="K638" s="12">
        <v>0.46</v>
      </c>
      <c r="L638" s="12">
        <v>0.11</v>
      </c>
      <c r="M638" s="8">
        <v>6</v>
      </c>
      <c r="N638">
        <v>8</v>
      </c>
      <c r="O638" s="12">
        <v>9</v>
      </c>
      <c r="BF638" s="9">
        <v>6.37</v>
      </c>
      <c r="BG638" s="9">
        <f t="shared" si="19"/>
        <v>3.2967032967032968E-2</v>
      </c>
      <c r="BH638" s="9">
        <f t="shared" si="18"/>
        <v>4.2801076474545868E-2</v>
      </c>
      <c r="BQ638" s="8">
        <v>6</v>
      </c>
      <c r="BR638" s="8" t="s">
        <v>1336</v>
      </c>
    </row>
    <row r="639" spans="1:70" x14ac:dyDescent="0.3">
      <c r="A639" s="11" t="s">
        <v>1337</v>
      </c>
      <c r="B639" s="12">
        <v>226700</v>
      </c>
      <c r="C639" s="12">
        <v>760700</v>
      </c>
      <c r="D639" s="12">
        <v>0.13</v>
      </c>
      <c r="E639" s="12">
        <v>0.34</v>
      </c>
      <c r="F639" s="12">
        <v>7.0000000000000007E-2</v>
      </c>
      <c r="G639" s="12">
        <v>0.17</v>
      </c>
      <c r="H639" s="12">
        <v>0.43</v>
      </c>
      <c r="I639" s="12">
        <v>0.09</v>
      </c>
      <c r="J639" s="12">
        <v>0.21</v>
      </c>
      <c r="K639" s="12">
        <v>0.56000000000000005</v>
      </c>
      <c r="L639" s="12">
        <v>0.12</v>
      </c>
      <c r="M639" s="8">
        <v>6</v>
      </c>
      <c r="N639">
        <v>8</v>
      </c>
      <c r="O639" s="12">
        <v>10</v>
      </c>
      <c r="BF639" s="9">
        <v>6.38</v>
      </c>
      <c r="BG639" s="9">
        <f t="shared" si="19"/>
        <v>3.2915360501567396E-2</v>
      </c>
      <c r="BH639" s="9">
        <f t="shared" si="18"/>
        <v>4.2733990147783257E-2</v>
      </c>
      <c r="BQ639" s="8">
        <v>5</v>
      </c>
      <c r="BR639" s="8" t="s">
        <v>1338</v>
      </c>
    </row>
    <row r="640" spans="1:70" x14ac:dyDescent="0.3">
      <c r="A640" s="11" t="s">
        <v>1339</v>
      </c>
      <c r="B640" s="12">
        <v>241700</v>
      </c>
      <c r="C640" s="12">
        <v>743600</v>
      </c>
      <c r="D640" s="12">
        <v>0.18</v>
      </c>
      <c r="E640" s="12">
        <v>0.47</v>
      </c>
      <c r="F640" s="12">
        <v>0.09</v>
      </c>
      <c r="G640" s="12">
        <v>0.23</v>
      </c>
      <c r="H640" s="12">
        <v>0.6</v>
      </c>
      <c r="I640" s="12">
        <v>0.12</v>
      </c>
      <c r="J640" s="12">
        <v>0.3</v>
      </c>
      <c r="K640" s="12">
        <v>0.8</v>
      </c>
      <c r="L640" s="12">
        <v>0.17</v>
      </c>
      <c r="M640" s="8">
        <v>6</v>
      </c>
      <c r="N640">
        <v>7</v>
      </c>
      <c r="O640" s="12">
        <v>8</v>
      </c>
      <c r="BF640" s="9">
        <v>6.39</v>
      </c>
      <c r="BG640" s="9">
        <f t="shared" si="19"/>
        <v>3.2863849765258218E-2</v>
      </c>
      <c r="BH640" s="9">
        <f t="shared" si="18"/>
        <v>4.2667113793874369E-2</v>
      </c>
      <c r="BQ640" s="8">
        <v>8</v>
      </c>
      <c r="BR640" s="8" t="s">
        <v>1340</v>
      </c>
    </row>
    <row r="641" spans="1:70" x14ac:dyDescent="0.3">
      <c r="A641" s="11" t="s">
        <v>1341</v>
      </c>
      <c r="B641" s="12">
        <v>246800</v>
      </c>
      <c r="C641" s="12">
        <v>752100</v>
      </c>
      <c r="D641" s="12">
        <v>0.22</v>
      </c>
      <c r="E641" s="12">
        <v>0.56000000000000005</v>
      </c>
      <c r="F641" s="12">
        <v>0.11</v>
      </c>
      <c r="G641" s="12">
        <v>0.28999999999999998</v>
      </c>
      <c r="H641" s="12">
        <v>0.73</v>
      </c>
      <c r="I641" s="12">
        <v>0.14000000000000001</v>
      </c>
      <c r="J641" s="12">
        <v>0.38</v>
      </c>
      <c r="K641" s="12">
        <v>0.99</v>
      </c>
      <c r="L641" s="12">
        <v>0.21</v>
      </c>
      <c r="M641" s="8">
        <v>5</v>
      </c>
      <c r="N641">
        <v>6</v>
      </c>
      <c r="O641" s="12">
        <v>7</v>
      </c>
      <c r="BF641" s="9">
        <v>6.4</v>
      </c>
      <c r="BG641" s="9">
        <f t="shared" si="19"/>
        <v>3.2812499999999994E-2</v>
      </c>
      <c r="BH641" s="9">
        <f t="shared" si="18"/>
        <v>4.2600446428571435E-2</v>
      </c>
      <c r="BQ641" s="8">
        <v>5</v>
      </c>
      <c r="BR641" s="8" t="s">
        <v>1342</v>
      </c>
    </row>
    <row r="642" spans="1:70" x14ac:dyDescent="0.3">
      <c r="A642" s="11" t="s">
        <v>1343</v>
      </c>
      <c r="B642" s="12">
        <v>187600</v>
      </c>
      <c r="C642" s="12">
        <v>587500</v>
      </c>
      <c r="D642" s="12">
        <v>7.0000000000000007E-2</v>
      </c>
      <c r="E642" s="12">
        <v>0.17</v>
      </c>
      <c r="F642" s="12">
        <v>0.04</v>
      </c>
      <c r="G642" s="12">
        <v>0.09</v>
      </c>
      <c r="H642" s="12">
        <v>0.22</v>
      </c>
      <c r="I642" s="12">
        <v>0.05</v>
      </c>
      <c r="J642" s="12">
        <v>0.12</v>
      </c>
      <c r="K642" s="12">
        <v>0.3</v>
      </c>
      <c r="L642" s="12">
        <v>7.0000000000000007E-2</v>
      </c>
      <c r="M642" s="8">
        <v>8</v>
      </c>
      <c r="N642">
        <v>9</v>
      </c>
      <c r="O642" s="12">
        <v>11</v>
      </c>
      <c r="BF642" s="9">
        <v>6.41</v>
      </c>
      <c r="BG642" s="9">
        <f t="shared" si="19"/>
        <v>3.2761310452418098E-2</v>
      </c>
      <c r="BH642" s="9">
        <f t="shared" ref="BH642:BH705" si="20">IFERROR(IF($BF642&lt;AZ$33,AZ$32*(AZ$30/AZ$29+(1-AZ$30/AZ$29)*$BF642/AZ$33),IF($BF642&lt;AZ$34,AZ$32,IF($BF642&lt;AZ$35,AZ$31/$BF642,AZ$31*AZ$35/($BF642^2))))*$BC$29,"")</f>
        <v>4.2533987073768674E-2</v>
      </c>
      <c r="BQ642" s="8">
        <v>7</v>
      </c>
      <c r="BR642" s="8" t="s">
        <v>1344</v>
      </c>
    </row>
    <row r="643" spans="1:70" x14ac:dyDescent="0.3">
      <c r="A643" s="11" t="s">
        <v>1345</v>
      </c>
      <c r="B643" s="12">
        <v>260800</v>
      </c>
      <c r="C643" s="12">
        <v>783000</v>
      </c>
      <c r="D643" s="12">
        <v>0.27</v>
      </c>
      <c r="E643" s="12">
        <v>0.66</v>
      </c>
      <c r="F643" s="12">
        <v>0.12</v>
      </c>
      <c r="G643" s="12">
        <v>0.35</v>
      </c>
      <c r="H643" s="12">
        <v>0.88</v>
      </c>
      <c r="I643" s="12">
        <v>0.17</v>
      </c>
      <c r="J643" s="12">
        <v>0.48</v>
      </c>
      <c r="K643" s="12">
        <v>1.21</v>
      </c>
      <c r="L643" s="12">
        <v>0.26</v>
      </c>
      <c r="M643" s="8">
        <v>5</v>
      </c>
      <c r="N643">
        <v>6</v>
      </c>
      <c r="O643" s="12">
        <v>7</v>
      </c>
      <c r="BF643" s="9">
        <v>6.42</v>
      </c>
      <c r="BG643" s="9">
        <f t="shared" ref="BG643:BG706" si="21">IF(BF643&lt;AY$33,AY$32*(AY$30/AY$29+(1-AY$30/AY$29)*BF643/AY$33),IF(BF643&lt;AY$34,AY$32,IF(BF643&lt;AY$35,AY$31/BF643,AY$31*AY$35/(BF643^2))))*$BC$29</f>
        <v>3.2710280373831772E-2</v>
      </c>
      <c r="BH643" s="9">
        <f t="shared" si="20"/>
        <v>4.2467734757454391E-2</v>
      </c>
      <c r="BQ643" s="8">
        <v>8</v>
      </c>
      <c r="BR643" s="8" t="s">
        <v>1346</v>
      </c>
    </row>
    <row r="644" spans="1:70" x14ac:dyDescent="0.3">
      <c r="A644" s="11" t="s">
        <v>1347</v>
      </c>
      <c r="B644" s="12">
        <v>201200</v>
      </c>
      <c r="C644" s="12">
        <v>700200</v>
      </c>
      <c r="D644" s="12">
        <v>0.08</v>
      </c>
      <c r="E644" s="12">
        <v>0.2</v>
      </c>
      <c r="F644" s="12">
        <v>0.05</v>
      </c>
      <c r="G644" s="12">
        <v>0.1</v>
      </c>
      <c r="H644" s="12">
        <v>0.25</v>
      </c>
      <c r="I644" s="12">
        <v>7.0000000000000007E-2</v>
      </c>
      <c r="J644" s="12">
        <v>0.13</v>
      </c>
      <c r="K644" s="12">
        <v>0.33</v>
      </c>
      <c r="L644" s="12">
        <v>0.09</v>
      </c>
      <c r="M644" s="8">
        <v>7</v>
      </c>
      <c r="N644">
        <v>9</v>
      </c>
      <c r="O644" s="12">
        <v>11</v>
      </c>
      <c r="BF644" s="9">
        <v>6.43</v>
      </c>
      <c r="BG644" s="9">
        <f t="shared" si="21"/>
        <v>3.2659409020217731E-2</v>
      </c>
      <c r="BH644" s="9">
        <f t="shared" si="20"/>
        <v>4.2401688513663639E-2</v>
      </c>
      <c r="BQ644" s="8">
        <v>8</v>
      </c>
      <c r="BR644" s="8" t="s">
        <v>1348</v>
      </c>
    </row>
    <row r="645" spans="1:70" x14ac:dyDescent="0.3">
      <c r="A645" s="11" t="s">
        <v>1349</v>
      </c>
      <c r="B645" s="12">
        <v>182500</v>
      </c>
      <c r="C645" s="12">
        <v>586500</v>
      </c>
      <c r="D645" s="12">
        <v>7.0000000000000007E-2</v>
      </c>
      <c r="E645" s="12">
        <v>0.16</v>
      </c>
      <c r="F645" s="12">
        <v>0.04</v>
      </c>
      <c r="G645" s="12">
        <v>0.08</v>
      </c>
      <c r="H645" s="12">
        <v>0.2</v>
      </c>
      <c r="I645" s="12">
        <v>0.05</v>
      </c>
      <c r="J645" s="12">
        <v>0.11</v>
      </c>
      <c r="K645" s="12">
        <v>0.28000000000000003</v>
      </c>
      <c r="L645" s="12">
        <v>7.0000000000000007E-2</v>
      </c>
      <c r="M645" s="8">
        <v>8</v>
      </c>
      <c r="N645">
        <v>9</v>
      </c>
      <c r="O645" s="12">
        <v>12</v>
      </c>
      <c r="BF645" s="9">
        <v>6.44</v>
      </c>
      <c r="BG645" s="9">
        <f t="shared" si="21"/>
        <v>3.2608695652173912E-2</v>
      </c>
      <c r="BH645" s="9">
        <f t="shared" si="20"/>
        <v>4.2335847382431235E-2</v>
      </c>
      <c r="BQ645" s="8">
        <v>8</v>
      </c>
      <c r="BR645" s="8" t="s">
        <v>1350</v>
      </c>
    </row>
    <row r="646" spans="1:70" x14ac:dyDescent="0.3">
      <c r="A646" s="11" t="s">
        <v>1351</v>
      </c>
      <c r="B646" s="12">
        <v>190300</v>
      </c>
      <c r="C646" s="12">
        <v>650600</v>
      </c>
      <c r="D646" s="12">
        <v>0.06</v>
      </c>
      <c r="E646" s="12">
        <v>0.15</v>
      </c>
      <c r="F646" s="12">
        <v>0.04</v>
      </c>
      <c r="G646" s="12">
        <v>0.08</v>
      </c>
      <c r="H646" s="12">
        <v>0.18</v>
      </c>
      <c r="I646" s="12">
        <v>0.06</v>
      </c>
      <c r="J646" s="12">
        <v>0.09</v>
      </c>
      <c r="K646" s="12">
        <v>0.24</v>
      </c>
      <c r="L646" s="12">
        <v>7.0000000000000007E-2</v>
      </c>
      <c r="M646" s="8">
        <v>8</v>
      </c>
      <c r="N646">
        <v>10</v>
      </c>
      <c r="O646" s="12">
        <v>12</v>
      </c>
      <c r="BF646" s="9">
        <v>6.45</v>
      </c>
      <c r="BG646" s="9">
        <f t="shared" si="21"/>
        <v>3.255813953488372E-2</v>
      </c>
      <c r="BH646" s="9">
        <f t="shared" si="20"/>
        <v>4.2270210409745296E-2</v>
      </c>
      <c r="BQ646" s="8">
        <v>7</v>
      </c>
      <c r="BR646" s="8" t="s">
        <v>1352</v>
      </c>
    </row>
    <row r="647" spans="1:70" x14ac:dyDescent="0.3">
      <c r="A647" s="11" t="s">
        <v>1353</v>
      </c>
      <c r="B647" s="12">
        <v>189500</v>
      </c>
      <c r="C647" s="12">
        <v>621800</v>
      </c>
      <c r="D647" s="12">
        <v>7.0000000000000007E-2</v>
      </c>
      <c r="E647" s="12">
        <v>0.16</v>
      </c>
      <c r="F647" s="12">
        <v>0.04</v>
      </c>
      <c r="G647" s="12">
        <v>0.09</v>
      </c>
      <c r="H647" s="12">
        <v>0.21</v>
      </c>
      <c r="I647" s="12">
        <v>0.05</v>
      </c>
      <c r="J647" s="12">
        <v>0.11</v>
      </c>
      <c r="K647" s="12">
        <v>0.28999999999999998</v>
      </c>
      <c r="L647" s="12">
        <v>7.0000000000000007E-2</v>
      </c>
      <c r="M647" s="8">
        <v>8</v>
      </c>
      <c r="N647">
        <v>9</v>
      </c>
      <c r="O647" s="12">
        <v>12</v>
      </c>
      <c r="BF647" s="9">
        <v>6.46</v>
      </c>
      <c r="BG647" s="9">
        <f t="shared" si="21"/>
        <v>3.2507739938080496E-2</v>
      </c>
      <c r="BH647" s="9">
        <f t="shared" si="20"/>
        <v>4.2204776647501115E-2</v>
      </c>
      <c r="BQ647" s="8">
        <v>6</v>
      </c>
      <c r="BR647" s="8" t="s">
        <v>1354</v>
      </c>
    </row>
    <row r="648" spans="1:70" x14ac:dyDescent="0.3">
      <c r="A648" s="11" t="s">
        <v>1355</v>
      </c>
      <c r="B648" s="12">
        <v>209500</v>
      </c>
      <c r="C648" s="12">
        <v>763100</v>
      </c>
      <c r="D648" s="12">
        <v>0.12</v>
      </c>
      <c r="E648" s="12">
        <v>0.31</v>
      </c>
      <c r="F648" s="12">
        <v>0.06</v>
      </c>
      <c r="G648" s="12">
        <v>0.16</v>
      </c>
      <c r="H648" s="12">
        <v>0.41</v>
      </c>
      <c r="I648" s="12">
        <v>0.08</v>
      </c>
      <c r="J648" s="12">
        <v>0.23</v>
      </c>
      <c r="K648" s="12">
        <v>0.57999999999999996</v>
      </c>
      <c r="L648" s="12">
        <v>0.12</v>
      </c>
      <c r="M648" s="8">
        <v>7</v>
      </c>
      <c r="N648">
        <v>8</v>
      </c>
      <c r="O648" s="12">
        <v>9</v>
      </c>
      <c r="BF648" s="9">
        <v>6.47</v>
      </c>
      <c r="BG648" s="9">
        <f t="shared" si="21"/>
        <v>3.2457496136012363E-2</v>
      </c>
      <c r="BH648" s="9">
        <f t="shared" si="20"/>
        <v>4.213954515345552E-2</v>
      </c>
      <c r="BQ648" s="8">
        <v>5</v>
      </c>
      <c r="BR648" s="8" t="s">
        <v>1356</v>
      </c>
    </row>
    <row r="649" spans="1:70" x14ac:dyDescent="0.3">
      <c r="A649" s="11" t="s">
        <v>1357</v>
      </c>
      <c r="B649" s="12">
        <v>234000</v>
      </c>
      <c r="C649" s="12">
        <v>754100</v>
      </c>
      <c r="D649" s="12">
        <v>0.15</v>
      </c>
      <c r="E649" s="12">
        <v>0.38</v>
      </c>
      <c r="F649" s="12">
        <v>0.08</v>
      </c>
      <c r="G649" s="12">
        <v>0.18</v>
      </c>
      <c r="H649" s="12">
        <v>0.48</v>
      </c>
      <c r="I649" s="12">
        <v>0.1</v>
      </c>
      <c r="J649" s="12">
        <v>0.24</v>
      </c>
      <c r="K649" s="12">
        <v>0.63</v>
      </c>
      <c r="L649" s="12">
        <v>0.14000000000000001</v>
      </c>
      <c r="M649" s="8">
        <v>6</v>
      </c>
      <c r="N649">
        <v>7</v>
      </c>
      <c r="O649" s="12">
        <v>9</v>
      </c>
      <c r="BF649" s="9">
        <v>6.48</v>
      </c>
      <c r="BG649" s="9">
        <f t="shared" si="21"/>
        <v>3.2407407407407406E-2</v>
      </c>
      <c r="BH649" s="9">
        <f t="shared" si="20"/>
        <v>4.2074514991181665E-2</v>
      </c>
      <c r="BQ649" s="8">
        <v>7</v>
      </c>
      <c r="BR649" s="8" t="s">
        <v>1358</v>
      </c>
    </row>
    <row r="650" spans="1:70" x14ac:dyDescent="0.3">
      <c r="A650" s="11" t="s">
        <v>1359</v>
      </c>
      <c r="B650" s="12">
        <v>208100</v>
      </c>
      <c r="C650" s="12">
        <v>433400</v>
      </c>
      <c r="D650" s="12">
        <v>0.18</v>
      </c>
      <c r="E650" s="12">
        <v>0.44</v>
      </c>
      <c r="F650" s="12">
        <v>0.08</v>
      </c>
      <c r="G650" s="12">
        <v>0.25</v>
      </c>
      <c r="H650" s="12">
        <v>0.62</v>
      </c>
      <c r="I650" s="12">
        <v>0.11</v>
      </c>
      <c r="J650" s="12">
        <v>0.36</v>
      </c>
      <c r="K650" s="12">
        <v>0.9</v>
      </c>
      <c r="L650" s="12">
        <v>0.18</v>
      </c>
      <c r="M650" s="8">
        <v>5</v>
      </c>
      <c r="N650">
        <v>5</v>
      </c>
      <c r="O650" s="12">
        <v>6</v>
      </c>
      <c r="BF650" s="9">
        <v>6.49</v>
      </c>
      <c r="BG650" s="9">
        <f t="shared" si="21"/>
        <v>3.2357473035439135E-2</v>
      </c>
      <c r="BH650" s="9">
        <f t="shared" si="20"/>
        <v>4.200968523002422E-2</v>
      </c>
      <c r="BQ650" s="8">
        <v>8</v>
      </c>
      <c r="BR650" s="8" t="s">
        <v>1360</v>
      </c>
    </row>
    <row r="651" spans="1:70" x14ac:dyDescent="0.3">
      <c r="A651" s="11" t="s">
        <v>1361</v>
      </c>
      <c r="B651" s="12">
        <v>211000</v>
      </c>
      <c r="C651" s="12">
        <v>774000</v>
      </c>
      <c r="D651" s="12">
        <v>0.11</v>
      </c>
      <c r="E651" s="12">
        <v>0.28000000000000003</v>
      </c>
      <c r="F651" s="12">
        <v>0.06</v>
      </c>
      <c r="G651" s="12">
        <v>0.15</v>
      </c>
      <c r="H651" s="12">
        <v>0.37</v>
      </c>
      <c r="I651" s="12">
        <v>0.08</v>
      </c>
      <c r="J651" s="12">
        <v>0.2</v>
      </c>
      <c r="K651" s="12">
        <v>0.52</v>
      </c>
      <c r="L651" s="12">
        <v>0.11</v>
      </c>
      <c r="M651" s="8">
        <v>7</v>
      </c>
      <c r="N651">
        <v>8</v>
      </c>
      <c r="O651" s="12">
        <v>10</v>
      </c>
      <c r="BF651" s="9">
        <v>6.5</v>
      </c>
      <c r="BG651" s="9">
        <f t="shared" si="21"/>
        <v>3.2307692307692308E-2</v>
      </c>
      <c r="BH651" s="9">
        <f t="shared" si="20"/>
        <v>4.1945054945054953E-2</v>
      </c>
      <c r="BQ651" s="8">
        <v>7</v>
      </c>
      <c r="BR651" s="8" t="s">
        <v>1362</v>
      </c>
    </row>
    <row r="652" spans="1:70" x14ac:dyDescent="0.3">
      <c r="A652" s="11" t="s">
        <v>1363</v>
      </c>
      <c r="B652" s="12">
        <v>185200</v>
      </c>
      <c r="C652" s="12">
        <v>607700</v>
      </c>
      <c r="D652" s="12">
        <v>7.0000000000000007E-2</v>
      </c>
      <c r="E652" s="12">
        <v>0.17</v>
      </c>
      <c r="F652" s="12">
        <v>0.04</v>
      </c>
      <c r="G652" s="12">
        <v>0.09</v>
      </c>
      <c r="H652" s="12">
        <v>0.23</v>
      </c>
      <c r="I652" s="12">
        <v>0.05</v>
      </c>
      <c r="J652" s="12">
        <v>0.13</v>
      </c>
      <c r="K652" s="12">
        <v>0.32</v>
      </c>
      <c r="L652" s="12">
        <v>7.0000000000000007E-2</v>
      </c>
      <c r="M652" s="8">
        <v>8</v>
      </c>
      <c r="N652">
        <v>9</v>
      </c>
      <c r="O652" s="12">
        <v>12</v>
      </c>
      <c r="BF652" s="9">
        <v>6.51</v>
      </c>
      <c r="BG652" s="9">
        <f t="shared" si="21"/>
        <v>3.2258064516129031E-2</v>
      </c>
      <c r="BH652" s="9">
        <f t="shared" si="20"/>
        <v>4.1880623217028755E-2</v>
      </c>
      <c r="BQ652" s="8">
        <v>7</v>
      </c>
      <c r="BR652" s="8" t="s">
        <v>1364</v>
      </c>
    </row>
    <row r="653" spans="1:70" x14ac:dyDescent="0.3">
      <c r="A653" s="11" t="s">
        <v>1365</v>
      </c>
      <c r="B653" s="12">
        <v>203200</v>
      </c>
      <c r="C653" s="12">
        <v>647200</v>
      </c>
      <c r="D653" s="12">
        <v>7.0000000000000007E-2</v>
      </c>
      <c r="E653" s="12">
        <v>0.18</v>
      </c>
      <c r="F653" s="12">
        <v>0.05</v>
      </c>
      <c r="G653" s="12">
        <v>0.09</v>
      </c>
      <c r="H653" s="12">
        <v>0.22</v>
      </c>
      <c r="I653" s="12">
        <v>0.06</v>
      </c>
      <c r="J653" s="12">
        <v>0.11</v>
      </c>
      <c r="K653" s="12">
        <v>0.28999999999999998</v>
      </c>
      <c r="L653" s="12">
        <v>0.08</v>
      </c>
      <c r="M653" s="8">
        <v>7</v>
      </c>
      <c r="N653">
        <v>9</v>
      </c>
      <c r="O653" s="12">
        <v>11</v>
      </c>
      <c r="BF653" s="9">
        <v>6.52</v>
      </c>
      <c r="BG653" s="9">
        <f t="shared" si="21"/>
        <v>3.2208588957055216E-2</v>
      </c>
      <c r="BH653" s="9">
        <f t="shared" si="20"/>
        <v>4.1816389132340065E-2</v>
      </c>
      <c r="BQ653" s="8">
        <v>8</v>
      </c>
      <c r="BR653" s="8" t="s">
        <v>1366</v>
      </c>
    </row>
    <row r="654" spans="1:70" x14ac:dyDescent="0.3">
      <c r="A654" s="11" t="s">
        <v>1367</v>
      </c>
      <c r="B654" s="12">
        <v>224800</v>
      </c>
      <c r="C654" s="12">
        <v>762700</v>
      </c>
      <c r="D654" s="12">
        <v>0.13</v>
      </c>
      <c r="E654" s="12">
        <v>0.33</v>
      </c>
      <c r="F654" s="12">
        <v>7.0000000000000007E-2</v>
      </c>
      <c r="G654" s="12">
        <v>0.16</v>
      </c>
      <c r="H654" s="12">
        <v>0.41</v>
      </c>
      <c r="I654" s="12">
        <v>0.09</v>
      </c>
      <c r="J654" s="12">
        <v>0.21</v>
      </c>
      <c r="K654" s="12">
        <v>0.54</v>
      </c>
      <c r="L654" s="12">
        <v>0.12</v>
      </c>
      <c r="M654" s="8">
        <v>7</v>
      </c>
      <c r="N654">
        <v>8</v>
      </c>
      <c r="O654" s="12">
        <v>10</v>
      </c>
      <c r="BF654" s="9">
        <v>6.53</v>
      </c>
      <c r="BG654" s="9">
        <f t="shared" si="21"/>
        <v>3.2159264931087284E-2</v>
      </c>
      <c r="BH654" s="9">
        <f t="shared" si="20"/>
        <v>4.175235178297966E-2</v>
      </c>
      <c r="BQ654" s="8">
        <v>7</v>
      </c>
      <c r="BR654" s="8" t="s">
        <v>1368</v>
      </c>
    </row>
    <row r="655" spans="1:70" x14ac:dyDescent="0.3">
      <c r="A655" s="11" t="s">
        <v>1369</v>
      </c>
      <c r="B655" s="12">
        <v>186500</v>
      </c>
      <c r="C655" s="12">
        <v>581500</v>
      </c>
      <c r="D655" s="12">
        <v>7.0000000000000007E-2</v>
      </c>
      <c r="E655" s="12">
        <v>0.16</v>
      </c>
      <c r="F655" s="12">
        <v>0.04</v>
      </c>
      <c r="G655" s="12">
        <v>0.08</v>
      </c>
      <c r="H655" s="12">
        <v>0.21</v>
      </c>
      <c r="I655" s="12">
        <v>0.05</v>
      </c>
      <c r="J655" s="12">
        <v>0.11</v>
      </c>
      <c r="K655" s="12">
        <v>0.28000000000000003</v>
      </c>
      <c r="L655" s="12">
        <v>7.0000000000000007E-2</v>
      </c>
      <c r="M655" s="8">
        <v>8</v>
      </c>
      <c r="N655">
        <v>9</v>
      </c>
      <c r="O655" s="12">
        <v>11</v>
      </c>
      <c r="BF655" s="9">
        <v>6.54</v>
      </c>
      <c r="BG655" s="9">
        <f t="shared" si="21"/>
        <v>3.2110091743119268E-2</v>
      </c>
      <c r="BH655" s="9">
        <f t="shared" si="20"/>
        <v>4.1688510266491924E-2</v>
      </c>
      <c r="BQ655" s="8">
        <v>7</v>
      </c>
      <c r="BR655" s="8" t="s">
        <v>1370</v>
      </c>
    </row>
    <row r="656" spans="1:70" x14ac:dyDescent="0.3">
      <c r="A656" s="11" t="s">
        <v>1371</v>
      </c>
      <c r="B656" s="12">
        <v>200600</v>
      </c>
      <c r="C656" s="12">
        <v>703200</v>
      </c>
      <c r="D656" s="12">
        <v>0.08</v>
      </c>
      <c r="E656" s="12">
        <v>0.2</v>
      </c>
      <c r="F656" s="12">
        <v>0.05</v>
      </c>
      <c r="G656" s="12">
        <v>0.1</v>
      </c>
      <c r="H656" s="12">
        <v>0.26</v>
      </c>
      <c r="I656" s="12">
        <v>7.0000000000000007E-2</v>
      </c>
      <c r="J656" s="12">
        <v>0.13</v>
      </c>
      <c r="K656" s="12">
        <v>0.34</v>
      </c>
      <c r="L656" s="12">
        <v>0.09</v>
      </c>
      <c r="M656" s="8">
        <v>7</v>
      </c>
      <c r="N656">
        <v>9</v>
      </c>
      <c r="O656" s="12">
        <v>11</v>
      </c>
      <c r="BF656" s="9">
        <v>6.55</v>
      </c>
      <c r="BG656" s="9">
        <f t="shared" si="21"/>
        <v>3.2061068702290078E-2</v>
      </c>
      <c r="BH656" s="9">
        <f t="shared" si="20"/>
        <v>4.1624863685932399E-2</v>
      </c>
      <c r="BQ656" s="8">
        <v>7</v>
      </c>
      <c r="BR656" s="8" t="s">
        <v>1372</v>
      </c>
    </row>
    <row r="657" spans="1:70" x14ac:dyDescent="0.3">
      <c r="A657" s="11" t="s">
        <v>1373</v>
      </c>
      <c r="B657" s="12">
        <v>197500</v>
      </c>
      <c r="C657" s="12">
        <v>721800</v>
      </c>
      <c r="D657" s="12">
        <v>0.09</v>
      </c>
      <c r="E657" s="12">
        <v>0.23</v>
      </c>
      <c r="F657" s="12">
        <v>0.05</v>
      </c>
      <c r="G657" s="12">
        <v>0.12</v>
      </c>
      <c r="H657" s="12">
        <v>0.3</v>
      </c>
      <c r="I657" s="12">
        <v>7.0000000000000007E-2</v>
      </c>
      <c r="J657" s="12">
        <v>0.16</v>
      </c>
      <c r="K657" s="12">
        <v>0.42</v>
      </c>
      <c r="L657" s="12">
        <v>0.1</v>
      </c>
      <c r="M657" s="8">
        <v>7</v>
      </c>
      <c r="N657">
        <v>9</v>
      </c>
      <c r="O657" s="12">
        <v>10</v>
      </c>
      <c r="BF657" s="9">
        <v>6.56</v>
      </c>
      <c r="BG657" s="9">
        <f t="shared" si="21"/>
        <v>3.201219512195122E-2</v>
      </c>
      <c r="BH657" s="9">
        <f t="shared" si="20"/>
        <v>4.156141114982579E-2</v>
      </c>
      <c r="BQ657" s="8">
        <v>6</v>
      </c>
      <c r="BR657" s="8" t="s">
        <v>1374</v>
      </c>
    </row>
    <row r="658" spans="1:70" x14ac:dyDescent="0.3">
      <c r="A658" s="11" t="s">
        <v>1375</v>
      </c>
      <c r="B658" s="12">
        <v>210100</v>
      </c>
      <c r="C658" s="12">
        <v>625500</v>
      </c>
      <c r="D658" s="12">
        <v>0.08</v>
      </c>
      <c r="E658" s="12">
        <v>0.2</v>
      </c>
      <c r="F658" s="12">
        <v>0.05</v>
      </c>
      <c r="G658" s="12">
        <v>0.1</v>
      </c>
      <c r="H658" s="12">
        <v>0.25</v>
      </c>
      <c r="I658" s="12">
        <v>7.0000000000000007E-2</v>
      </c>
      <c r="J658" s="12">
        <v>0.13</v>
      </c>
      <c r="K658" s="12">
        <v>0.33</v>
      </c>
      <c r="L658" s="12">
        <v>0.09</v>
      </c>
      <c r="M658" s="8">
        <v>7</v>
      </c>
      <c r="N658">
        <v>9</v>
      </c>
      <c r="O658" s="12">
        <v>11</v>
      </c>
      <c r="BF658" s="9">
        <v>6.57</v>
      </c>
      <c r="BG658" s="9">
        <f t="shared" si="21"/>
        <v>3.1963470319634701E-2</v>
      </c>
      <c r="BH658" s="9">
        <f t="shared" si="20"/>
        <v>4.1498151772124382E-2</v>
      </c>
      <c r="BQ658" s="8">
        <v>7</v>
      </c>
      <c r="BR658" s="8" t="s">
        <v>1376</v>
      </c>
    </row>
    <row r="659" spans="1:70" x14ac:dyDescent="0.3">
      <c r="A659" s="11" t="s">
        <v>1377</v>
      </c>
      <c r="B659" s="12">
        <v>216500</v>
      </c>
      <c r="C659" s="12">
        <v>702900</v>
      </c>
      <c r="D659" s="12">
        <v>0.11</v>
      </c>
      <c r="E659" s="12">
        <v>0.28000000000000003</v>
      </c>
      <c r="F659" s="12">
        <v>0.06</v>
      </c>
      <c r="G659" s="12">
        <v>0.15</v>
      </c>
      <c r="H659" s="12">
        <v>0.37</v>
      </c>
      <c r="I659" s="12">
        <v>0.08</v>
      </c>
      <c r="J659" s="12">
        <v>0.2</v>
      </c>
      <c r="K659" s="12">
        <v>0.52</v>
      </c>
      <c r="L659" s="12">
        <v>0.12</v>
      </c>
      <c r="M659" s="8">
        <v>6</v>
      </c>
      <c r="N659">
        <v>8</v>
      </c>
      <c r="O659" s="12">
        <v>9</v>
      </c>
      <c r="BF659" s="9">
        <v>6.58</v>
      </c>
      <c r="BG659" s="9">
        <f t="shared" si="21"/>
        <v>3.1914893617021274E-2</v>
      </c>
      <c r="BH659" s="9">
        <f t="shared" si="20"/>
        <v>4.1435084672166743E-2</v>
      </c>
      <c r="BQ659" s="8">
        <v>5</v>
      </c>
      <c r="BR659" s="8" t="s">
        <v>1378</v>
      </c>
    </row>
    <row r="660" spans="1:70" x14ac:dyDescent="0.3">
      <c r="A660" s="11" t="s">
        <v>1379</v>
      </c>
      <c r="B660" s="12">
        <v>203500</v>
      </c>
      <c r="C660" s="12">
        <v>639600</v>
      </c>
      <c r="D660" s="12">
        <v>7.0000000000000007E-2</v>
      </c>
      <c r="E660" s="12">
        <v>0.18</v>
      </c>
      <c r="F660" s="12">
        <v>0.05</v>
      </c>
      <c r="G660" s="12">
        <v>0.09</v>
      </c>
      <c r="H660" s="12">
        <v>0.22</v>
      </c>
      <c r="I660" s="12">
        <v>0.06</v>
      </c>
      <c r="J660" s="12">
        <v>0.11</v>
      </c>
      <c r="K660" s="12">
        <v>0.28999999999999998</v>
      </c>
      <c r="L660" s="12">
        <v>0.08</v>
      </c>
      <c r="M660" s="8">
        <v>7</v>
      </c>
      <c r="N660">
        <v>9</v>
      </c>
      <c r="O660" s="12">
        <v>11</v>
      </c>
      <c r="BF660" s="9">
        <v>6.59</v>
      </c>
      <c r="BG660" s="9">
        <f t="shared" si="21"/>
        <v>3.1866464339908952E-2</v>
      </c>
      <c r="BH660" s="9">
        <f t="shared" si="20"/>
        <v>4.1372208974636906E-2</v>
      </c>
      <c r="BQ660" s="8">
        <v>8</v>
      </c>
      <c r="BR660" s="8" t="s">
        <v>1380</v>
      </c>
    </row>
    <row r="661" spans="1:70" x14ac:dyDescent="0.3">
      <c r="A661" s="11" t="s">
        <v>1381</v>
      </c>
      <c r="B661" s="12">
        <v>261500</v>
      </c>
      <c r="C661" s="12">
        <v>737900</v>
      </c>
      <c r="D661" s="12">
        <v>0.27</v>
      </c>
      <c r="E661" s="12">
        <v>0.66</v>
      </c>
      <c r="F661" s="12">
        <v>0.12</v>
      </c>
      <c r="G661" s="12">
        <v>0.35</v>
      </c>
      <c r="H661" s="12">
        <v>0.87</v>
      </c>
      <c r="I661" s="12">
        <v>0.17</v>
      </c>
      <c r="J661" s="12">
        <v>0.47</v>
      </c>
      <c r="K661" s="12">
        <v>1.2</v>
      </c>
      <c r="L661" s="12">
        <v>0.25</v>
      </c>
      <c r="M661" s="8">
        <v>5</v>
      </c>
      <c r="N661">
        <v>5</v>
      </c>
      <c r="O661" s="12">
        <v>6</v>
      </c>
      <c r="BF661" s="9">
        <v>6.6</v>
      </c>
      <c r="BG661" s="9">
        <f t="shared" si="21"/>
        <v>3.1818181818181822E-2</v>
      </c>
      <c r="BH661" s="9">
        <f t="shared" si="20"/>
        <v>4.1309523809523817E-2</v>
      </c>
      <c r="BQ661" s="8">
        <v>8</v>
      </c>
      <c r="BR661" s="8" t="s">
        <v>1382</v>
      </c>
    </row>
    <row r="662" spans="1:70" x14ac:dyDescent="0.3">
      <c r="A662" s="11" t="s">
        <v>1383</v>
      </c>
      <c r="B662" s="12">
        <v>199000</v>
      </c>
      <c r="C662" s="12">
        <v>649000</v>
      </c>
      <c r="D662" s="12">
        <v>7.0000000000000007E-2</v>
      </c>
      <c r="E662" s="12">
        <v>0.17</v>
      </c>
      <c r="F662" s="12">
        <v>0.05</v>
      </c>
      <c r="G662" s="12">
        <v>0.08</v>
      </c>
      <c r="H662" s="12">
        <v>0.21</v>
      </c>
      <c r="I662" s="12">
        <v>0.06</v>
      </c>
      <c r="J662" s="12">
        <v>0.11</v>
      </c>
      <c r="K662" s="12">
        <v>0.27</v>
      </c>
      <c r="L662" s="12">
        <v>0.08</v>
      </c>
      <c r="M662" s="8">
        <v>8</v>
      </c>
      <c r="N662">
        <v>9</v>
      </c>
      <c r="O662" s="12">
        <v>11</v>
      </c>
      <c r="BF662" s="9">
        <v>6.61</v>
      </c>
      <c r="BG662" s="9">
        <f t="shared" si="21"/>
        <v>3.1770045385779121E-2</v>
      </c>
      <c r="BH662" s="9">
        <f t="shared" si="20"/>
        <v>4.1247028312081269E-2</v>
      </c>
      <c r="BQ662" s="8">
        <v>8</v>
      </c>
      <c r="BR662" s="8" t="s">
        <v>1384</v>
      </c>
    </row>
    <row r="663" spans="1:70" x14ac:dyDescent="0.3">
      <c r="A663" s="11" t="s">
        <v>1385</v>
      </c>
      <c r="B663" s="12">
        <v>187700</v>
      </c>
      <c r="C663" s="12">
        <v>701000</v>
      </c>
      <c r="D663" s="12">
        <v>7.0000000000000007E-2</v>
      </c>
      <c r="E663" s="12">
        <v>0.17</v>
      </c>
      <c r="F663" s="12">
        <v>0.05</v>
      </c>
      <c r="G663" s="12">
        <v>0.09</v>
      </c>
      <c r="H663" s="12">
        <v>0.22</v>
      </c>
      <c r="I663" s="12">
        <v>0.06</v>
      </c>
      <c r="J663" s="12">
        <v>0.11</v>
      </c>
      <c r="K663" s="12">
        <v>0.28999999999999998</v>
      </c>
      <c r="L663" s="12">
        <v>0.08</v>
      </c>
      <c r="M663" s="8">
        <v>8</v>
      </c>
      <c r="N663">
        <v>9</v>
      </c>
      <c r="O663" s="12">
        <v>12</v>
      </c>
      <c r="BF663" s="9">
        <v>6.62</v>
      </c>
      <c r="BG663" s="9">
        <f t="shared" si="21"/>
        <v>3.1722054380664652E-2</v>
      </c>
      <c r="BH663" s="9">
        <f t="shared" si="20"/>
        <v>4.1184721622788092E-2</v>
      </c>
      <c r="BQ663" s="8">
        <v>9</v>
      </c>
      <c r="BR663" s="8" t="s">
        <v>1386</v>
      </c>
    </row>
    <row r="664" spans="1:70" x14ac:dyDescent="0.3">
      <c r="A664" s="11" t="s">
        <v>1387</v>
      </c>
      <c r="B664" s="12">
        <v>167300</v>
      </c>
      <c r="C664" s="12">
        <v>595300</v>
      </c>
      <c r="D664" s="12">
        <v>0.06</v>
      </c>
      <c r="E664" s="12">
        <v>0.14000000000000001</v>
      </c>
      <c r="F664" s="12">
        <v>0.04</v>
      </c>
      <c r="G664" s="12">
        <v>7.0000000000000007E-2</v>
      </c>
      <c r="H664" s="12">
        <v>0.18</v>
      </c>
      <c r="I664" s="12">
        <v>0.05</v>
      </c>
      <c r="J664" s="12">
        <v>0.1</v>
      </c>
      <c r="K664" s="12">
        <v>0.25</v>
      </c>
      <c r="L664" s="12">
        <v>0.06</v>
      </c>
      <c r="M664" s="8">
        <v>8</v>
      </c>
      <c r="N664">
        <v>10</v>
      </c>
      <c r="O664" s="12">
        <v>12</v>
      </c>
      <c r="BF664" s="9">
        <v>6.63</v>
      </c>
      <c r="BG664" s="9">
        <f t="shared" si="21"/>
        <v>3.1674208144796379E-2</v>
      </c>
      <c r="BH664" s="9">
        <f t="shared" si="20"/>
        <v>4.1122602887308776E-2</v>
      </c>
      <c r="BQ664" s="8">
        <v>8</v>
      </c>
      <c r="BR664" s="8" t="s">
        <v>1388</v>
      </c>
    </row>
    <row r="665" spans="1:70" x14ac:dyDescent="0.3">
      <c r="A665" s="11" t="s">
        <v>1389</v>
      </c>
      <c r="B665" s="12">
        <v>143400</v>
      </c>
      <c r="C665" s="12">
        <v>572500</v>
      </c>
      <c r="D665" s="12">
        <v>0.04</v>
      </c>
      <c r="E665" s="12">
        <v>0.09</v>
      </c>
      <c r="F665" s="12">
        <v>0.03</v>
      </c>
      <c r="G665" s="12">
        <v>0.05</v>
      </c>
      <c r="H665" s="12">
        <v>0.11</v>
      </c>
      <c r="I665" s="12">
        <v>0.04</v>
      </c>
      <c r="J665" s="12">
        <v>0.06</v>
      </c>
      <c r="K665" s="12">
        <v>0.14000000000000001</v>
      </c>
      <c r="L665" s="12">
        <v>0.06</v>
      </c>
      <c r="M665" s="8">
        <v>9</v>
      </c>
      <c r="N665">
        <v>11</v>
      </c>
      <c r="O665" s="12">
        <v>13</v>
      </c>
      <c r="BF665" s="9">
        <v>6.64</v>
      </c>
      <c r="BG665" s="9">
        <f t="shared" si="21"/>
        <v>3.1626506024096383E-2</v>
      </c>
      <c r="BH665" s="9">
        <f t="shared" si="20"/>
        <v>4.1060671256454399E-2</v>
      </c>
      <c r="BQ665" s="8">
        <v>7</v>
      </c>
      <c r="BR665" s="8" t="s">
        <v>1390</v>
      </c>
    </row>
    <row r="666" spans="1:70" x14ac:dyDescent="0.3">
      <c r="A666" s="11" t="s">
        <v>1391</v>
      </c>
      <c r="B666" s="12">
        <v>160000</v>
      </c>
      <c r="C666" s="12">
        <v>614600</v>
      </c>
      <c r="D666" s="12">
        <v>0.06</v>
      </c>
      <c r="E666" s="12">
        <v>0.15</v>
      </c>
      <c r="F666" s="12">
        <v>0.04</v>
      </c>
      <c r="G666" s="12">
        <v>0.08</v>
      </c>
      <c r="H666" s="12">
        <v>0.2</v>
      </c>
      <c r="I666" s="12">
        <v>0.05</v>
      </c>
      <c r="J666" s="12">
        <v>0.12</v>
      </c>
      <c r="K666" s="12">
        <v>0.28999999999999998</v>
      </c>
      <c r="L666" s="12">
        <v>0.06</v>
      </c>
      <c r="M666" s="8">
        <v>8</v>
      </c>
      <c r="N666">
        <v>10</v>
      </c>
      <c r="O666" s="12">
        <v>12</v>
      </c>
      <c r="BF666" s="9">
        <v>6.65</v>
      </c>
      <c r="BG666" s="9">
        <f t="shared" si="21"/>
        <v>3.1578947368421047E-2</v>
      </c>
      <c r="BH666" s="9">
        <f t="shared" si="20"/>
        <v>4.0998925886143935E-2</v>
      </c>
      <c r="BQ666" s="8">
        <v>7</v>
      </c>
      <c r="BR666" s="8" t="s">
        <v>1392</v>
      </c>
    </row>
    <row r="667" spans="1:70" x14ac:dyDescent="0.3">
      <c r="A667" s="11" t="s">
        <v>1393</v>
      </c>
      <c r="B667" s="12">
        <v>214800</v>
      </c>
      <c r="C667" s="12">
        <v>634200</v>
      </c>
      <c r="D667" s="12">
        <v>0.09</v>
      </c>
      <c r="E667" s="12">
        <v>0.22</v>
      </c>
      <c r="F667" s="12">
        <v>0.05</v>
      </c>
      <c r="G667" s="12">
        <v>0.11</v>
      </c>
      <c r="H667" s="12">
        <v>0.28000000000000003</v>
      </c>
      <c r="I667" s="12">
        <v>7.0000000000000007E-2</v>
      </c>
      <c r="J667" s="12">
        <v>0.14000000000000001</v>
      </c>
      <c r="K667" s="12">
        <v>0.36</v>
      </c>
      <c r="L667" s="12">
        <v>0.1</v>
      </c>
      <c r="M667" s="8">
        <v>7</v>
      </c>
      <c r="N667">
        <v>8</v>
      </c>
      <c r="O667" s="12">
        <v>10</v>
      </c>
      <c r="BF667" s="9">
        <v>6.66</v>
      </c>
      <c r="BG667" s="9">
        <f t="shared" si="21"/>
        <v>3.1531531531531529E-2</v>
      </c>
      <c r="BH667" s="9">
        <f t="shared" si="20"/>
        <v>4.0937365937365945E-2</v>
      </c>
      <c r="BQ667" s="8">
        <v>5</v>
      </c>
      <c r="BR667" s="8" t="s">
        <v>1394</v>
      </c>
    </row>
    <row r="668" spans="1:70" x14ac:dyDescent="0.3">
      <c r="A668" s="11" t="s">
        <v>1395</v>
      </c>
      <c r="B668" s="12">
        <v>223900</v>
      </c>
      <c r="C668" s="12">
        <v>758500</v>
      </c>
      <c r="D668" s="12">
        <v>0.13</v>
      </c>
      <c r="E668" s="12">
        <v>0.33</v>
      </c>
      <c r="F668" s="12">
        <v>7.0000000000000007E-2</v>
      </c>
      <c r="G668" s="12">
        <v>0.16</v>
      </c>
      <c r="H668" s="12">
        <v>0.42</v>
      </c>
      <c r="I668" s="12">
        <v>0.09</v>
      </c>
      <c r="J668" s="12">
        <v>0.21</v>
      </c>
      <c r="K668" s="12">
        <v>0.55000000000000004</v>
      </c>
      <c r="L668" s="12">
        <v>0.12</v>
      </c>
      <c r="M668" s="8">
        <v>7</v>
      </c>
      <c r="N668">
        <v>8</v>
      </c>
      <c r="O668" s="12">
        <v>10</v>
      </c>
      <c r="BF668" s="9">
        <v>6.67</v>
      </c>
      <c r="BG668" s="9">
        <f t="shared" si="21"/>
        <v>3.1484257871064465E-2</v>
      </c>
      <c r="BH668" s="9">
        <f t="shared" si="20"/>
        <v>4.0875990576140511E-2</v>
      </c>
      <c r="BQ668" s="8">
        <v>6</v>
      </c>
      <c r="BR668" s="8" t="s">
        <v>1396</v>
      </c>
    </row>
    <row r="669" spans="1:70" x14ac:dyDescent="0.3">
      <c r="A669" s="11" t="s">
        <v>1397</v>
      </c>
      <c r="B669" s="12">
        <v>272200</v>
      </c>
      <c r="C669" s="12">
        <v>797200</v>
      </c>
      <c r="D669" s="12">
        <v>0.21</v>
      </c>
      <c r="E669" s="12">
        <v>0.54</v>
      </c>
      <c r="F669" s="12">
        <v>0.11</v>
      </c>
      <c r="G669" s="12">
        <v>0.28000000000000003</v>
      </c>
      <c r="H669" s="12">
        <v>0.71</v>
      </c>
      <c r="I669" s="12">
        <v>0.14000000000000001</v>
      </c>
      <c r="J669" s="12">
        <v>0.38</v>
      </c>
      <c r="K669" s="12">
        <v>0.98</v>
      </c>
      <c r="L669" s="12">
        <v>0.21</v>
      </c>
      <c r="M669" s="8">
        <v>5</v>
      </c>
      <c r="N669">
        <v>6</v>
      </c>
      <c r="O669" s="12">
        <v>8</v>
      </c>
      <c r="BF669" s="9">
        <v>6.68</v>
      </c>
      <c r="BG669" s="9">
        <f t="shared" si="21"/>
        <v>3.1437125748502992E-2</v>
      </c>
      <c r="BH669" s="9">
        <f t="shared" si="20"/>
        <v>4.0814798973481614E-2</v>
      </c>
      <c r="BQ669" s="8">
        <v>7</v>
      </c>
      <c r="BR669" s="8" t="s">
        <v>1398</v>
      </c>
    </row>
    <row r="670" spans="1:70" x14ac:dyDescent="0.3">
      <c r="A670" s="11" t="s">
        <v>1399</v>
      </c>
      <c r="B670" s="12">
        <v>238500</v>
      </c>
      <c r="C670" s="12">
        <v>755100</v>
      </c>
      <c r="D670" s="12">
        <v>0.17</v>
      </c>
      <c r="E670" s="12">
        <v>0.43</v>
      </c>
      <c r="F670" s="12">
        <v>0.08</v>
      </c>
      <c r="G670" s="12">
        <v>0.21</v>
      </c>
      <c r="H670" s="12">
        <v>0.54</v>
      </c>
      <c r="I670" s="12">
        <v>0.11</v>
      </c>
      <c r="J670" s="12">
        <v>0.27</v>
      </c>
      <c r="K670" s="12">
        <v>0.71</v>
      </c>
      <c r="L670" s="12">
        <v>0.15</v>
      </c>
      <c r="M670" s="8">
        <v>6</v>
      </c>
      <c r="N670">
        <v>7</v>
      </c>
      <c r="O670" s="12">
        <v>9</v>
      </c>
      <c r="BF670" s="9">
        <v>6.69</v>
      </c>
      <c r="BG670" s="9">
        <f t="shared" si="21"/>
        <v>3.1390134529147982E-2</v>
      </c>
      <c r="BH670" s="9">
        <f t="shared" si="20"/>
        <v>4.0753790305359819E-2</v>
      </c>
      <c r="BQ670" s="8">
        <v>5</v>
      </c>
      <c r="BR670" s="8" t="s">
        <v>1400</v>
      </c>
    </row>
    <row r="671" spans="1:70" x14ac:dyDescent="0.3">
      <c r="A671" s="11" t="s">
        <v>1401</v>
      </c>
      <c r="B671" s="12">
        <v>196700</v>
      </c>
      <c r="C671" s="12">
        <v>737400</v>
      </c>
      <c r="D671" s="12">
        <v>0.11</v>
      </c>
      <c r="E671" s="12">
        <v>0.28000000000000003</v>
      </c>
      <c r="F671" s="12">
        <v>0.06</v>
      </c>
      <c r="G671" s="12">
        <v>0.16</v>
      </c>
      <c r="H671" s="12">
        <v>0.39</v>
      </c>
      <c r="I671" s="12">
        <v>0.08</v>
      </c>
      <c r="J671" s="12">
        <v>0.23</v>
      </c>
      <c r="K671" s="12">
        <v>0.56999999999999995</v>
      </c>
      <c r="L671" s="12">
        <v>0.11</v>
      </c>
      <c r="M671" s="8">
        <v>7</v>
      </c>
      <c r="N671">
        <v>8</v>
      </c>
      <c r="O671" s="12">
        <v>9</v>
      </c>
      <c r="BF671" s="9">
        <v>6.7</v>
      </c>
      <c r="BG671" s="9">
        <f t="shared" si="21"/>
        <v>3.134328358208955E-2</v>
      </c>
      <c r="BH671" s="9">
        <f t="shared" si="20"/>
        <v>4.0692963752665248E-2</v>
      </c>
      <c r="BQ671" s="8">
        <v>6</v>
      </c>
      <c r="BR671" s="8" t="s">
        <v>1402</v>
      </c>
    </row>
    <row r="672" spans="1:70" x14ac:dyDescent="0.3">
      <c r="A672" s="11" t="s">
        <v>1403</v>
      </c>
      <c r="B672" s="12">
        <v>247500</v>
      </c>
      <c r="C672" s="12">
        <v>749400</v>
      </c>
      <c r="D672" s="12">
        <v>0.23</v>
      </c>
      <c r="E672" s="12">
        <v>0.56999999999999995</v>
      </c>
      <c r="F672" s="12">
        <v>0.11</v>
      </c>
      <c r="G672" s="12">
        <v>0.28999999999999998</v>
      </c>
      <c r="H672" s="12">
        <v>0.75</v>
      </c>
      <c r="I672" s="12">
        <v>0.15</v>
      </c>
      <c r="J672" s="12">
        <v>0.39</v>
      </c>
      <c r="K672" s="12">
        <v>1.02</v>
      </c>
      <c r="L672" s="12">
        <v>0.21</v>
      </c>
      <c r="M672" s="8">
        <v>5</v>
      </c>
      <c r="N672">
        <v>6</v>
      </c>
      <c r="O672" s="12">
        <v>7</v>
      </c>
      <c r="BF672" s="9">
        <v>6.71</v>
      </c>
      <c r="BG672" s="9">
        <f t="shared" si="21"/>
        <v>3.1296572280178833E-2</v>
      </c>
      <c r="BH672" s="9">
        <f t="shared" si="20"/>
        <v>4.0632318501170966E-2</v>
      </c>
      <c r="BQ672" s="8">
        <v>7</v>
      </c>
      <c r="BR672" s="8" t="s">
        <v>1404</v>
      </c>
    </row>
    <row r="673" spans="1:70" x14ac:dyDescent="0.3">
      <c r="A673" s="11" t="s">
        <v>1405</v>
      </c>
      <c r="B673" s="12">
        <v>222700</v>
      </c>
      <c r="C673" s="12">
        <v>731500</v>
      </c>
      <c r="D673" s="12">
        <v>0.15</v>
      </c>
      <c r="E673" s="12">
        <v>0.37</v>
      </c>
      <c r="F673" s="12">
        <v>7.0000000000000007E-2</v>
      </c>
      <c r="G673" s="12">
        <v>0.2</v>
      </c>
      <c r="H673" s="12">
        <v>0.5</v>
      </c>
      <c r="I673" s="12">
        <v>0.1</v>
      </c>
      <c r="J673" s="12">
        <v>0.28000000000000003</v>
      </c>
      <c r="K673" s="12">
        <v>0.71</v>
      </c>
      <c r="L673" s="12">
        <v>0.14000000000000001</v>
      </c>
      <c r="M673" s="8">
        <v>6</v>
      </c>
      <c r="N673">
        <v>7</v>
      </c>
      <c r="O673" s="12">
        <v>8</v>
      </c>
      <c r="BF673" s="9">
        <v>6.72</v>
      </c>
      <c r="BG673" s="9">
        <f t="shared" si="21"/>
        <v>3.125E-2</v>
      </c>
      <c r="BH673" s="9">
        <f t="shared" si="20"/>
        <v>4.0571853741496605E-2</v>
      </c>
      <c r="BQ673" s="8">
        <v>7</v>
      </c>
      <c r="BR673" s="8" t="s">
        <v>1406</v>
      </c>
    </row>
    <row r="674" spans="1:70" x14ac:dyDescent="0.3">
      <c r="A674" s="11" t="s">
        <v>1407</v>
      </c>
      <c r="B674" s="12">
        <v>213600</v>
      </c>
      <c r="C674" s="12">
        <v>616400</v>
      </c>
      <c r="D674" s="12">
        <v>0.09</v>
      </c>
      <c r="E674" s="12">
        <v>0.21</v>
      </c>
      <c r="F674" s="12">
        <v>0.05</v>
      </c>
      <c r="G674" s="12">
        <v>0.11</v>
      </c>
      <c r="H674" s="12">
        <v>0.27</v>
      </c>
      <c r="I674" s="12">
        <v>7.0000000000000007E-2</v>
      </c>
      <c r="J674" s="12">
        <v>0.14000000000000001</v>
      </c>
      <c r="K674" s="12">
        <v>0.36</v>
      </c>
      <c r="L674" s="12">
        <v>0.09</v>
      </c>
      <c r="M674" s="8">
        <v>7</v>
      </c>
      <c r="N674">
        <v>8</v>
      </c>
      <c r="O674" s="12">
        <v>10</v>
      </c>
      <c r="BF674" s="9">
        <v>6.73</v>
      </c>
      <c r="BG674" s="9">
        <f t="shared" si="21"/>
        <v>3.1203566121842493E-2</v>
      </c>
      <c r="BH674" s="9">
        <f t="shared" si="20"/>
        <v>4.0511568669072386E-2</v>
      </c>
      <c r="BQ674" s="8">
        <v>5</v>
      </c>
      <c r="BR674" s="8" t="s">
        <v>1408</v>
      </c>
    </row>
    <row r="675" spans="1:70" x14ac:dyDescent="0.3">
      <c r="A675" s="11" t="s">
        <v>1409</v>
      </c>
      <c r="B675" s="12">
        <v>226000</v>
      </c>
      <c r="C675" s="12">
        <v>764600</v>
      </c>
      <c r="D675" s="12">
        <v>0.13</v>
      </c>
      <c r="E675" s="12">
        <v>0.33</v>
      </c>
      <c r="F675" s="12">
        <v>7.0000000000000007E-2</v>
      </c>
      <c r="G675" s="12">
        <v>0.16</v>
      </c>
      <c r="H675" s="12">
        <v>0.42</v>
      </c>
      <c r="I675" s="12">
        <v>0.09</v>
      </c>
      <c r="J675" s="12">
        <v>0.21</v>
      </c>
      <c r="K675" s="12">
        <v>0.55000000000000004</v>
      </c>
      <c r="L675" s="12">
        <v>0.12</v>
      </c>
      <c r="M675" s="8">
        <v>7</v>
      </c>
      <c r="N675">
        <v>8</v>
      </c>
      <c r="O675" s="12">
        <v>10</v>
      </c>
      <c r="BF675" s="9">
        <v>6.74</v>
      </c>
      <c r="BG675" s="9">
        <f t="shared" si="21"/>
        <v>3.1157270029673587E-2</v>
      </c>
      <c r="BH675" s="9">
        <f t="shared" si="20"/>
        <v>4.0451462484103438E-2</v>
      </c>
      <c r="BQ675" s="8">
        <v>6</v>
      </c>
      <c r="BR675" s="8" t="s">
        <v>1410</v>
      </c>
    </row>
    <row r="676" spans="1:70" x14ac:dyDescent="0.3">
      <c r="A676" s="11" t="s">
        <v>1411</v>
      </c>
      <c r="B676" s="12">
        <v>232500</v>
      </c>
      <c r="C676" s="12">
        <v>666300</v>
      </c>
      <c r="D676" s="12">
        <v>0.17</v>
      </c>
      <c r="E676" s="12">
        <v>0.42</v>
      </c>
      <c r="F676" s="12">
        <v>0.08</v>
      </c>
      <c r="G676" s="12">
        <v>0.22</v>
      </c>
      <c r="H676" s="12">
        <v>0.56000000000000005</v>
      </c>
      <c r="I676" s="12">
        <v>0.11</v>
      </c>
      <c r="J676" s="12">
        <v>0.3</v>
      </c>
      <c r="K676" s="12">
        <v>0.77</v>
      </c>
      <c r="L676" s="12">
        <v>0.16</v>
      </c>
      <c r="M676" s="8">
        <v>5</v>
      </c>
      <c r="N676">
        <v>6</v>
      </c>
      <c r="O676" s="12">
        <v>7</v>
      </c>
      <c r="BF676" s="9">
        <v>6.75</v>
      </c>
      <c r="BG676" s="9">
        <f t="shared" si="21"/>
        <v>3.111111111111111E-2</v>
      </c>
      <c r="BH676" s="9">
        <f t="shared" si="20"/>
        <v>4.0391534391534395E-2</v>
      </c>
      <c r="BQ676" s="8">
        <v>7</v>
      </c>
      <c r="BR676" s="8" t="s">
        <v>1412</v>
      </c>
    </row>
    <row r="677" spans="1:70" x14ac:dyDescent="0.3">
      <c r="A677" s="11" t="s">
        <v>1413</v>
      </c>
      <c r="B677" s="12">
        <v>217200</v>
      </c>
      <c r="C677" s="12">
        <v>720500</v>
      </c>
      <c r="D677" s="12">
        <v>0.14000000000000001</v>
      </c>
      <c r="E677" s="12">
        <v>0.34</v>
      </c>
      <c r="F677" s="12">
        <v>7.0000000000000007E-2</v>
      </c>
      <c r="G677" s="12">
        <v>0.19</v>
      </c>
      <c r="H677" s="12">
        <v>0.48</v>
      </c>
      <c r="I677" s="12">
        <v>0.1</v>
      </c>
      <c r="J677" s="12">
        <v>0.28000000000000003</v>
      </c>
      <c r="K677" s="12">
        <v>0.69</v>
      </c>
      <c r="L677" s="12">
        <v>0.14000000000000001</v>
      </c>
      <c r="M677" s="8">
        <v>6</v>
      </c>
      <c r="N677">
        <v>7</v>
      </c>
      <c r="O677" s="12">
        <v>8</v>
      </c>
      <c r="BF677" s="9">
        <v>6.76</v>
      </c>
      <c r="BG677" s="9">
        <f t="shared" si="21"/>
        <v>3.1065088757396449E-2</v>
      </c>
      <c r="BH677" s="9">
        <f t="shared" si="20"/>
        <v>4.033178360101438E-2</v>
      </c>
      <c r="BQ677" s="8">
        <v>9</v>
      </c>
      <c r="BR677" s="8" t="s">
        <v>1414</v>
      </c>
    </row>
    <row r="678" spans="1:70" x14ac:dyDescent="0.3">
      <c r="A678" s="11" t="s">
        <v>1415</v>
      </c>
      <c r="B678" s="12">
        <v>203600</v>
      </c>
      <c r="C678" s="12">
        <v>699100</v>
      </c>
      <c r="D678" s="12">
        <v>0.08</v>
      </c>
      <c r="E678" s="12">
        <v>0.21</v>
      </c>
      <c r="F678" s="12">
        <v>0.05</v>
      </c>
      <c r="G678" s="12">
        <v>0.1</v>
      </c>
      <c r="H678" s="12">
        <v>0.26</v>
      </c>
      <c r="I678" s="12">
        <v>7.0000000000000007E-2</v>
      </c>
      <c r="J678" s="12">
        <v>0.13</v>
      </c>
      <c r="K678" s="12">
        <v>0.34</v>
      </c>
      <c r="L678" s="12">
        <v>0.09</v>
      </c>
      <c r="M678" s="8">
        <v>7</v>
      </c>
      <c r="N678">
        <v>9</v>
      </c>
      <c r="O678" s="12">
        <v>11</v>
      </c>
      <c r="BF678" s="9">
        <v>6.77</v>
      </c>
      <c r="BG678" s="9">
        <f t="shared" si="21"/>
        <v>3.10192023633678E-2</v>
      </c>
      <c r="BH678" s="9">
        <f t="shared" si="20"/>
        <v>4.0272209326862214E-2</v>
      </c>
      <c r="BQ678" s="8">
        <v>6</v>
      </c>
      <c r="BR678" s="8" t="s">
        <v>1416</v>
      </c>
    </row>
    <row r="679" spans="1:70" x14ac:dyDescent="0.3">
      <c r="A679" s="11" t="s">
        <v>1417</v>
      </c>
      <c r="B679" s="12">
        <v>145500</v>
      </c>
      <c r="C679" s="12">
        <v>578700</v>
      </c>
      <c r="D679" s="12">
        <v>0.04</v>
      </c>
      <c r="E679" s="12">
        <v>0.09</v>
      </c>
      <c r="F679" s="12">
        <v>0.03</v>
      </c>
      <c r="G679" s="12">
        <v>0.05</v>
      </c>
      <c r="H679" s="12">
        <v>0.12</v>
      </c>
      <c r="I679" s="12">
        <v>0.04</v>
      </c>
      <c r="J679" s="12">
        <v>0.06</v>
      </c>
      <c r="K679" s="12">
        <v>0.15</v>
      </c>
      <c r="L679" s="12">
        <v>0.06</v>
      </c>
      <c r="M679" s="8">
        <v>9</v>
      </c>
      <c r="N679">
        <v>11</v>
      </c>
      <c r="O679" s="12">
        <v>13</v>
      </c>
      <c r="BF679" s="9">
        <v>6.78</v>
      </c>
      <c r="BG679" s="9">
        <f t="shared" si="21"/>
        <v>3.0973451327433624E-2</v>
      </c>
      <c r="BH679" s="9">
        <f t="shared" si="20"/>
        <v>4.021281078803203E-2</v>
      </c>
      <c r="BQ679" s="8">
        <v>8</v>
      </c>
      <c r="BR679" s="8" t="s">
        <v>1418</v>
      </c>
    </row>
    <row r="680" spans="1:70" x14ac:dyDescent="0.3">
      <c r="A680" s="11" t="s">
        <v>1419</v>
      </c>
      <c r="B680" s="12">
        <v>229200</v>
      </c>
      <c r="C680" s="12">
        <v>714100</v>
      </c>
      <c r="D680" s="12">
        <v>0.16</v>
      </c>
      <c r="E680" s="12">
        <v>0.4</v>
      </c>
      <c r="F680" s="12">
        <v>0.08</v>
      </c>
      <c r="G680" s="12">
        <v>0.22</v>
      </c>
      <c r="H680" s="12">
        <v>0.54</v>
      </c>
      <c r="I680" s="12">
        <v>0.11</v>
      </c>
      <c r="J680" s="12">
        <v>0.3</v>
      </c>
      <c r="K680" s="12">
        <v>0.77</v>
      </c>
      <c r="L680" s="12">
        <v>0.16</v>
      </c>
      <c r="M680" s="8">
        <v>6</v>
      </c>
      <c r="N680">
        <v>6</v>
      </c>
      <c r="O680" s="12">
        <v>8</v>
      </c>
      <c r="BF680" s="9">
        <v>6.79</v>
      </c>
      <c r="BG680" s="9">
        <f t="shared" si="21"/>
        <v>3.0927835051546389E-2</v>
      </c>
      <c r="BH680" s="9">
        <f t="shared" si="20"/>
        <v>4.0153587208079114E-2</v>
      </c>
      <c r="BQ680" s="8">
        <v>6</v>
      </c>
      <c r="BR680" s="8" t="s">
        <v>1420</v>
      </c>
    </row>
    <row r="681" spans="1:70" x14ac:dyDescent="0.3">
      <c r="A681" s="11" t="s">
        <v>1421</v>
      </c>
      <c r="B681" s="12">
        <v>190500</v>
      </c>
      <c r="C681" s="12">
        <v>661400</v>
      </c>
      <c r="D681" s="12">
        <v>0.06</v>
      </c>
      <c r="E681" s="12">
        <v>0.15</v>
      </c>
      <c r="F681" s="12">
        <v>0.04</v>
      </c>
      <c r="G681" s="12">
        <v>0.08</v>
      </c>
      <c r="H681" s="12">
        <v>0.19</v>
      </c>
      <c r="I681" s="12">
        <v>0.06</v>
      </c>
      <c r="J681" s="12">
        <v>0.1</v>
      </c>
      <c r="K681" s="12">
        <v>0.24</v>
      </c>
      <c r="L681" s="12">
        <v>0.08</v>
      </c>
      <c r="M681" s="8">
        <v>8</v>
      </c>
      <c r="N681">
        <v>10</v>
      </c>
      <c r="O681" s="12">
        <v>12</v>
      </c>
      <c r="BF681" s="9">
        <v>6.8</v>
      </c>
      <c r="BG681" s="9">
        <f t="shared" si="21"/>
        <v>3.0882352941176472E-2</v>
      </c>
      <c r="BH681" s="9">
        <f t="shared" si="20"/>
        <v>4.0094537815126056E-2</v>
      </c>
      <c r="BQ681" s="8">
        <v>8</v>
      </c>
      <c r="BR681" s="8" t="s">
        <v>1422</v>
      </c>
    </row>
    <row r="682" spans="1:70" x14ac:dyDescent="0.3">
      <c r="A682" s="11" t="s">
        <v>1423</v>
      </c>
      <c r="B682" s="12">
        <v>215300</v>
      </c>
      <c r="C682" s="12">
        <v>722300</v>
      </c>
      <c r="D682" s="12">
        <v>0.13</v>
      </c>
      <c r="E682" s="12">
        <v>0.33</v>
      </c>
      <c r="F682" s="12">
        <v>7.0000000000000007E-2</v>
      </c>
      <c r="G682" s="12">
        <v>0.19</v>
      </c>
      <c r="H682" s="12">
        <v>0.46</v>
      </c>
      <c r="I682" s="12">
        <v>0.09</v>
      </c>
      <c r="J682" s="12">
        <v>0.27</v>
      </c>
      <c r="K682" s="12">
        <v>0.68</v>
      </c>
      <c r="L682" s="12">
        <v>0.14000000000000001</v>
      </c>
      <c r="M682" s="8">
        <v>6</v>
      </c>
      <c r="N682">
        <v>7</v>
      </c>
      <c r="O682" s="12">
        <v>8</v>
      </c>
      <c r="BF682" s="9">
        <v>6.81</v>
      </c>
      <c r="BG682" s="9">
        <f t="shared" si="21"/>
        <v>3.0837004405286344E-2</v>
      </c>
      <c r="BH682" s="9">
        <f t="shared" si="20"/>
        <v>4.0035661841829252E-2</v>
      </c>
      <c r="BQ682" s="8">
        <v>8</v>
      </c>
      <c r="BR682" s="8" t="s">
        <v>1424</v>
      </c>
    </row>
    <row r="683" spans="1:70" x14ac:dyDescent="0.3">
      <c r="A683" s="11" t="s">
        <v>1425</v>
      </c>
      <c r="B683" s="12">
        <v>178900</v>
      </c>
      <c r="C683" s="12">
        <v>529000</v>
      </c>
      <c r="D683" s="12">
        <v>0.06</v>
      </c>
      <c r="E683" s="12">
        <v>0.13</v>
      </c>
      <c r="F683" s="12">
        <v>0.04</v>
      </c>
      <c r="G683" s="12">
        <v>7.0000000000000007E-2</v>
      </c>
      <c r="H683" s="12">
        <v>0.17</v>
      </c>
      <c r="I683" s="12">
        <v>0.05</v>
      </c>
      <c r="J683" s="12">
        <v>0.09</v>
      </c>
      <c r="K683" s="12">
        <v>0.22</v>
      </c>
      <c r="L683" s="12">
        <v>7.0000000000000007E-2</v>
      </c>
      <c r="M683" s="8">
        <v>8</v>
      </c>
      <c r="N683">
        <v>9</v>
      </c>
      <c r="O683" s="12">
        <v>11</v>
      </c>
      <c r="BF683" s="9">
        <v>6.82</v>
      </c>
      <c r="BG683" s="9">
        <f t="shared" si="21"/>
        <v>3.0791788856304982E-2</v>
      </c>
      <c r="BH683" s="9">
        <f t="shared" si="20"/>
        <v>3.9976958525345628E-2</v>
      </c>
      <c r="BQ683" s="8">
        <v>7</v>
      </c>
      <c r="BR683" s="8" t="s">
        <v>1426</v>
      </c>
    </row>
    <row r="684" spans="1:70" x14ac:dyDescent="0.3">
      <c r="A684" s="11" t="s">
        <v>1427</v>
      </c>
      <c r="B684" s="12">
        <v>191800</v>
      </c>
      <c r="C684" s="12">
        <v>694300</v>
      </c>
      <c r="D684" s="12">
        <v>7.0000000000000007E-2</v>
      </c>
      <c r="E684" s="12">
        <v>0.17</v>
      </c>
      <c r="F684" s="12">
        <v>0.05</v>
      </c>
      <c r="G684" s="12">
        <v>0.09</v>
      </c>
      <c r="H684" s="12">
        <v>0.21</v>
      </c>
      <c r="I684" s="12">
        <v>0.06</v>
      </c>
      <c r="J684" s="12">
        <v>0.11</v>
      </c>
      <c r="K684" s="12">
        <v>0.28000000000000003</v>
      </c>
      <c r="L684" s="12">
        <v>0.08</v>
      </c>
      <c r="M684" s="8">
        <v>8</v>
      </c>
      <c r="N684">
        <v>9</v>
      </c>
      <c r="O684" s="12">
        <v>12</v>
      </c>
      <c r="BF684" s="9">
        <v>6.83</v>
      </c>
      <c r="BG684" s="9">
        <f t="shared" si="21"/>
        <v>3.0746705710102486E-2</v>
      </c>
      <c r="BH684" s="9">
        <f t="shared" si="20"/>
        <v>3.9918427107299731E-2</v>
      </c>
      <c r="BQ684" s="8">
        <v>7</v>
      </c>
      <c r="BR684" s="8" t="s">
        <v>1428</v>
      </c>
    </row>
    <row r="685" spans="1:70" x14ac:dyDescent="0.3">
      <c r="A685" s="11" t="s">
        <v>1429</v>
      </c>
      <c r="B685" s="12">
        <v>202000</v>
      </c>
      <c r="C685" s="12">
        <v>644800</v>
      </c>
      <c r="D685" s="12">
        <v>7.0000000000000007E-2</v>
      </c>
      <c r="E685" s="12">
        <v>0.17</v>
      </c>
      <c r="F685" s="12">
        <v>0.05</v>
      </c>
      <c r="G685" s="12">
        <v>0.09</v>
      </c>
      <c r="H685" s="12">
        <v>0.22</v>
      </c>
      <c r="I685" s="12">
        <v>0.06</v>
      </c>
      <c r="J685" s="12">
        <v>0.11</v>
      </c>
      <c r="K685" s="12">
        <v>0.28000000000000003</v>
      </c>
      <c r="L685" s="12">
        <v>0.08</v>
      </c>
      <c r="M685" s="8">
        <v>7</v>
      </c>
      <c r="N685">
        <v>9</v>
      </c>
      <c r="O685" s="12">
        <v>11</v>
      </c>
      <c r="BF685" s="9">
        <v>6.84</v>
      </c>
      <c r="BG685" s="9">
        <f t="shared" si="21"/>
        <v>3.0701754385964911E-2</v>
      </c>
      <c r="BH685" s="9">
        <f t="shared" si="20"/>
        <v>3.9860066833751054E-2</v>
      </c>
      <c r="BQ685" s="8">
        <v>7</v>
      </c>
      <c r="BR685" s="8" t="s">
        <v>1430</v>
      </c>
    </row>
    <row r="686" spans="1:70" x14ac:dyDescent="0.3">
      <c r="A686" s="11" t="s">
        <v>1431</v>
      </c>
      <c r="B686" s="12">
        <v>204200</v>
      </c>
      <c r="C686" s="12">
        <v>648900</v>
      </c>
      <c r="D686" s="12">
        <v>7.0000000000000007E-2</v>
      </c>
      <c r="E686" s="12">
        <v>0.18</v>
      </c>
      <c r="F686" s="12">
        <v>0.05</v>
      </c>
      <c r="G686" s="12">
        <v>0.09</v>
      </c>
      <c r="H686" s="12">
        <v>0.23</v>
      </c>
      <c r="I686" s="12">
        <v>0.06</v>
      </c>
      <c r="J686" s="12">
        <v>0.12</v>
      </c>
      <c r="K686" s="12">
        <v>0.3</v>
      </c>
      <c r="L686" s="12">
        <v>0.09</v>
      </c>
      <c r="M686" s="8">
        <v>7</v>
      </c>
      <c r="N686">
        <v>9</v>
      </c>
      <c r="O686" s="12">
        <v>11</v>
      </c>
      <c r="BF686" s="9">
        <v>6.85</v>
      </c>
      <c r="BG686" s="9">
        <f t="shared" si="21"/>
        <v>3.0656934306569343E-2</v>
      </c>
      <c r="BH686" s="9">
        <f t="shared" si="20"/>
        <v>3.9801876955161637E-2</v>
      </c>
      <c r="BQ686" s="8">
        <v>5</v>
      </c>
      <c r="BR686" s="8" t="s">
        <v>1432</v>
      </c>
    </row>
    <row r="687" spans="1:70" x14ac:dyDescent="0.3">
      <c r="A687" s="11" t="s">
        <v>1433</v>
      </c>
      <c r="B687" s="12">
        <v>197500</v>
      </c>
      <c r="C687" s="12">
        <v>573800</v>
      </c>
      <c r="D687" s="12">
        <v>7.0000000000000007E-2</v>
      </c>
      <c r="E687" s="12">
        <v>0.18</v>
      </c>
      <c r="F687" s="12">
        <v>0.04</v>
      </c>
      <c r="G687" s="12">
        <v>0.09</v>
      </c>
      <c r="H687" s="12">
        <v>0.23</v>
      </c>
      <c r="I687" s="12">
        <v>0.06</v>
      </c>
      <c r="J687" s="12">
        <v>0.12</v>
      </c>
      <c r="K687" s="12">
        <v>0.31</v>
      </c>
      <c r="L687" s="12">
        <v>0.08</v>
      </c>
      <c r="M687" s="8">
        <v>7</v>
      </c>
      <c r="N687">
        <v>9</v>
      </c>
      <c r="O687" s="12">
        <v>11</v>
      </c>
      <c r="BF687" s="9">
        <v>6.86</v>
      </c>
      <c r="BG687" s="9">
        <f t="shared" si="21"/>
        <v>3.0612244897959179E-2</v>
      </c>
      <c r="BH687" s="9">
        <f t="shared" si="20"/>
        <v>3.9743856726364019E-2</v>
      </c>
      <c r="BQ687" s="8">
        <v>7</v>
      </c>
      <c r="BR687" s="8" t="s">
        <v>1434</v>
      </c>
    </row>
    <row r="688" spans="1:70" x14ac:dyDescent="0.3">
      <c r="A688" s="11" t="s">
        <v>1435</v>
      </c>
      <c r="B688" s="12">
        <v>241500</v>
      </c>
      <c r="C688" s="12">
        <v>721300</v>
      </c>
      <c r="D688" s="12">
        <v>0.19</v>
      </c>
      <c r="E688" s="12">
        <v>0.49</v>
      </c>
      <c r="F688" s="12">
        <v>0.09</v>
      </c>
      <c r="G688" s="12">
        <v>0.25</v>
      </c>
      <c r="H688" s="12">
        <v>0.63</v>
      </c>
      <c r="I688" s="12">
        <v>0.12</v>
      </c>
      <c r="J688" s="12">
        <v>0.32</v>
      </c>
      <c r="K688" s="12">
        <v>0.85</v>
      </c>
      <c r="L688" s="12">
        <v>0.18</v>
      </c>
      <c r="M688" s="8">
        <v>5</v>
      </c>
      <c r="N688">
        <v>6</v>
      </c>
      <c r="O688" s="12">
        <v>7</v>
      </c>
      <c r="BF688" s="9">
        <v>6.87</v>
      </c>
      <c r="BG688" s="9">
        <f t="shared" si="21"/>
        <v>3.0567685589519649E-2</v>
      </c>
      <c r="BH688" s="9">
        <f t="shared" si="20"/>
        <v>3.9686005406529432E-2</v>
      </c>
      <c r="BQ688" s="8">
        <v>6</v>
      </c>
      <c r="BR688" s="8" t="s">
        <v>1436</v>
      </c>
    </row>
    <row r="689" spans="1:70" x14ac:dyDescent="0.3">
      <c r="A689" s="11" t="s">
        <v>1437</v>
      </c>
      <c r="B689" s="12">
        <v>215000</v>
      </c>
      <c r="C689" s="12">
        <v>633500</v>
      </c>
      <c r="D689" s="12">
        <v>0.09</v>
      </c>
      <c r="E689" s="12">
        <v>0.22</v>
      </c>
      <c r="F689" s="12">
        <v>0.05</v>
      </c>
      <c r="G689" s="12">
        <v>0.11</v>
      </c>
      <c r="H689" s="12">
        <v>0.28000000000000003</v>
      </c>
      <c r="I689" s="12">
        <v>7.0000000000000007E-2</v>
      </c>
      <c r="J689" s="12">
        <v>0.14000000000000001</v>
      </c>
      <c r="K689" s="12">
        <v>0.36</v>
      </c>
      <c r="L689" s="12">
        <v>0.1</v>
      </c>
      <c r="M689" s="8">
        <v>7</v>
      </c>
      <c r="N689">
        <v>8</v>
      </c>
      <c r="O689" s="12">
        <v>10</v>
      </c>
      <c r="BF689" s="9">
        <v>6.88</v>
      </c>
      <c r="BG689" s="9">
        <f t="shared" si="21"/>
        <v>3.0523255813953487E-2</v>
      </c>
      <c r="BH689" s="9">
        <f t="shared" si="20"/>
        <v>3.962832225913622E-2</v>
      </c>
      <c r="BQ689" s="8">
        <v>6</v>
      </c>
      <c r="BR689" s="8" t="s">
        <v>1438</v>
      </c>
    </row>
    <row r="690" spans="1:70" x14ac:dyDescent="0.3">
      <c r="A690" s="11" t="s">
        <v>1439</v>
      </c>
      <c r="B690" s="12">
        <v>227900</v>
      </c>
      <c r="C690" s="12">
        <v>713400</v>
      </c>
      <c r="D690" s="12">
        <v>0.16</v>
      </c>
      <c r="E690" s="12">
        <v>0.39</v>
      </c>
      <c r="F690" s="12">
        <v>0.08</v>
      </c>
      <c r="G690" s="12">
        <v>0.21</v>
      </c>
      <c r="H690" s="12">
        <v>0.53</v>
      </c>
      <c r="I690" s="12">
        <v>0.11</v>
      </c>
      <c r="J690" s="12">
        <v>0.3</v>
      </c>
      <c r="K690" s="12">
        <v>0.75</v>
      </c>
      <c r="L690" s="12">
        <v>0.15</v>
      </c>
      <c r="M690" s="8">
        <v>6</v>
      </c>
      <c r="N690">
        <v>7</v>
      </c>
      <c r="O690" s="12">
        <v>8</v>
      </c>
      <c r="BF690" s="9">
        <v>6.89</v>
      </c>
      <c r="BG690" s="9">
        <f t="shared" si="21"/>
        <v>3.0478955007256895E-2</v>
      </c>
      <c r="BH690" s="9">
        <f t="shared" si="20"/>
        <v>3.9570806551938634E-2</v>
      </c>
      <c r="BQ690" s="8">
        <v>6</v>
      </c>
      <c r="BR690" s="8" t="s">
        <v>1440</v>
      </c>
    </row>
    <row r="691" spans="1:70" x14ac:dyDescent="0.3">
      <c r="A691" s="11" t="s">
        <v>1441</v>
      </c>
      <c r="B691" s="12">
        <v>237200</v>
      </c>
      <c r="C691" s="12">
        <v>758400</v>
      </c>
      <c r="D691" s="12">
        <v>0.16</v>
      </c>
      <c r="E691" s="12">
        <v>0.41</v>
      </c>
      <c r="F691" s="12">
        <v>0.08</v>
      </c>
      <c r="G691" s="12">
        <v>0.2</v>
      </c>
      <c r="H691" s="12">
        <v>0.52</v>
      </c>
      <c r="I691" s="12">
        <v>0.11</v>
      </c>
      <c r="J691" s="12">
        <v>0.26</v>
      </c>
      <c r="K691" s="12">
        <v>0.68</v>
      </c>
      <c r="L691" s="12">
        <v>0.15</v>
      </c>
      <c r="M691" s="8">
        <v>6</v>
      </c>
      <c r="N691">
        <v>7</v>
      </c>
      <c r="O691" s="12">
        <v>9</v>
      </c>
      <c r="BF691" s="9">
        <v>6.9</v>
      </c>
      <c r="BG691" s="9">
        <f t="shared" si="21"/>
        <v>3.043478260869565E-2</v>
      </c>
      <c r="BH691" s="9">
        <f t="shared" si="20"/>
        <v>3.9513457556935819E-2</v>
      </c>
      <c r="BQ691" s="8">
        <v>8</v>
      </c>
      <c r="BR691" s="8" t="s">
        <v>1442</v>
      </c>
    </row>
    <row r="692" spans="1:70" x14ac:dyDescent="0.3">
      <c r="A692" s="11" t="s">
        <v>1443</v>
      </c>
      <c r="B692" s="12">
        <v>222600</v>
      </c>
      <c r="C692" s="12">
        <v>748500</v>
      </c>
      <c r="D692" s="12">
        <v>0.14000000000000001</v>
      </c>
      <c r="E692" s="12">
        <v>0.35</v>
      </c>
      <c r="F692" s="12">
        <v>7.0000000000000007E-2</v>
      </c>
      <c r="G692" s="12">
        <v>0.18</v>
      </c>
      <c r="H692" s="12">
        <v>0.45</v>
      </c>
      <c r="I692" s="12">
        <v>0.09</v>
      </c>
      <c r="J692" s="12">
        <v>0.23</v>
      </c>
      <c r="K692" s="12">
        <v>0.6</v>
      </c>
      <c r="L692" s="12">
        <v>0.12</v>
      </c>
      <c r="M692" s="8">
        <v>6</v>
      </c>
      <c r="N692">
        <v>8</v>
      </c>
      <c r="O692" s="12">
        <v>9</v>
      </c>
      <c r="BF692" s="9">
        <v>6.91</v>
      </c>
      <c r="BG692" s="9">
        <f t="shared" si="21"/>
        <v>3.0390738060781474E-2</v>
      </c>
      <c r="BH692" s="9">
        <f t="shared" si="20"/>
        <v>3.9456274550341126E-2</v>
      </c>
      <c r="BQ692" s="8">
        <v>8</v>
      </c>
      <c r="BR692" s="8" t="s">
        <v>1444</v>
      </c>
    </row>
    <row r="693" spans="1:70" x14ac:dyDescent="0.3">
      <c r="A693" s="11" t="s">
        <v>1445</v>
      </c>
      <c r="B693" s="12">
        <v>192900</v>
      </c>
      <c r="C693" s="12">
        <v>662000</v>
      </c>
      <c r="D693" s="12">
        <v>0.06</v>
      </c>
      <c r="E693" s="12">
        <v>0.16</v>
      </c>
      <c r="F693" s="12">
        <v>0.04</v>
      </c>
      <c r="G693" s="12">
        <v>0.08</v>
      </c>
      <c r="H693" s="12">
        <v>0.19</v>
      </c>
      <c r="I693" s="12">
        <v>0.06</v>
      </c>
      <c r="J693" s="12">
        <v>0.1</v>
      </c>
      <c r="K693" s="12">
        <v>0.25</v>
      </c>
      <c r="L693" s="12">
        <v>0.08</v>
      </c>
      <c r="M693" s="8">
        <v>8</v>
      </c>
      <c r="N693">
        <v>10</v>
      </c>
      <c r="O693" s="12">
        <v>12</v>
      </c>
      <c r="BF693" s="9">
        <v>6.92</v>
      </c>
      <c r="BG693" s="9">
        <f t="shared" si="21"/>
        <v>3.0346820809248554E-2</v>
      </c>
      <c r="BH693" s="9">
        <f t="shared" si="20"/>
        <v>3.9399256812551617E-2</v>
      </c>
      <c r="BQ693" s="8">
        <v>6</v>
      </c>
      <c r="BR693" s="8" t="s">
        <v>1446</v>
      </c>
    </row>
    <row r="694" spans="1:70" x14ac:dyDescent="0.3">
      <c r="A694" s="11" t="s">
        <v>1447</v>
      </c>
      <c r="B694" s="12">
        <v>184800</v>
      </c>
      <c r="C694" s="12">
        <v>640200</v>
      </c>
      <c r="D694" s="12">
        <v>0.06</v>
      </c>
      <c r="E694" s="12">
        <v>0.14000000000000001</v>
      </c>
      <c r="F694" s="12">
        <v>0.04</v>
      </c>
      <c r="G694" s="12">
        <v>7.0000000000000007E-2</v>
      </c>
      <c r="H694" s="12">
        <v>0.18</v>
      </c>
      <c r="I694" s="12">
        <v>0.05</v>
      </c>
      <c r="J694" s="12">
        <v>0.09</v>
      </c>
      <c r="K694" s="12">
        <v>0.23</v>
      </c>
      <c r="L694" s="12">
        <v>7.0000000000000007E-2</v>
      </c>
      <c r="M694" s="8">
        <v>8</v>
      </c>
      <c r="N694">
        <v>10</v>
      </c>
      <c r="O694" s="12">
        <v>12</v>
      </c>
      <c r="BF694" s="9">
        <v>6.93</v>
      </c>
      <c r="BG694" s="9">
        <f t="shared" si="21"/>
        <v>3.0303030303030304E-2</v>
      </c>
      <c r="BH694" s="9">
        <f t="shared" si="20"/>
        <v>3.9342403628117924E-2</v>
      </c>
      <c r="BQ694" s="8">
        <v>7</v>
      </c>
      <c r="BR694" s="8" t="s">
        <v>1448</v>
      </c>
    </row>
    <row r="695" spans="1:70" x14ac:dyDescent="0.3">
      <c r="A695" s="11" t="s">
        <v>1449</v>
      </c>
      <c r="B695" s="12">
        <v>227000</v>
      </c>
      <c r="C695" s="12">
        <v>728400</v>
      </c>
      <c r="D695" s="12">
        <v>0.15</v>
      </c>
      <c r="E695" s="12">
        <v>0.38</v>
      </c>
      <c r="F695" s="12">
        <v>0.08</v>
      </c>
      <c r="G695" s="12">
        <v>0.2</v>
      </c>
      <c r="H695" s="12">
        <v>0.51</v>
      </c>
      <c r="I695" s="12">
        <v>0.1</v>
      </c>
      <c r="J695" s="12">
        <v>0.28000000000000003</v>
      </c>
      <c r="K695" s="12">
        <v>0.71</v>
      </c>
      <c r="L695" s="12">
        <v>0.15</v>
      </c>
      <c r="M695" s="8">
        <v>6</v>
      </c>
      <c r="N695">
        <v>7</v>
      </c>
      <c r="O695" s="12">
        <v>8</v>
      </c>
      <c r="BF695" s="9">
        <v>6.94</v>
      </c>
      <c r="BG695" s="9">
        <f t="shared" si="21"/>
        <v>3.0259365994236308E-2</v>
      </c>
      <c r="BH695" s="9">
        <f t="shared" si="20"/>
        <v>3.9285714285714292E-2</v>
      </c>
      <c r="BQ695" s="8">
        <v>5</v>
      </c>
      <c r="BR695" s="8" t="s">
        <v>1450</v>
      </c>
    </row>
    <row r="696" spans="1:70" x14ac:dyDescent="0.3">
      <c r="A696" s="11" t="s">
        <v>1451</v>
      </c>
      <c r="B696" s="12">
        <v>209500</v>
      </c>
      <c r="C696" s="12">
        <v>765400</v>
      </c>
      <c r="D696" s="12">
        <v>0.12</v>
      </c>
      <c r="E696" s="12">
        <v>0.3</v>
      </c>
      <c r="F696" s="12">
        <v>0.06</v>
      </c>
      <c r="G696" s="12">
        <v>0.16</v>
      </c>
      <c r="H696" s="12">
        <v>0.4</v>
      </c>
      <c r="I696" s="12">
        <v>0.08</v>
      </c>
      <c r="J696" s="12">
        <v>0.22</v>
      </c>
      <c r="K696" s="12">
        <v>0.56000000000000005</v>
      </c>
      <c r="L696" s="12">
        <v>0.12</v>
      </c>
      <c r="M696" s="8">
        <v>7</v>
      </c>
      <c r="N696">
        <v>8</v>
      </c>
      <c r="O696" s="12">
        <v>10</v>
      </c>
      <c r="BF696" s="9">
        <v>6.95</v>
      </c>
      <c r="BG696" s="9">
        <f t="shared" si="21"/>
        <v>3.0215827338129494E-2</v>
      </c>
      <c r="BH696" s="9">
        <f t="shared" si="20"/>
        <v>3.9229188078108948E-2</v>
      </c>
      <c r="BQ696" s="8">
        <v>8</v>
      </c>
      <c r="BR696" s="8" t="s">
        <v>1452</v>
      </c>
    </row>
    <row r="697" spans="1:70" x14ac:dyDescent="0.3">
      <c r="A697" s="11" t="s">
        <v>1453</v>
      </c>
      <c r="B697" s="12">
        <v>248700</v>
      </c>
      <c r="C697" s="12">
        <v>696800</v>
      </c>
      <c r="D697" s="12">
        <v>0.25</v>
      </c>
      <c r="E697" s="12">
        <v>0.62</v>
      </c>
      <c r="F697" s="12">
        <v>0.12</v>
      </c>
      <c r="G697" s="12">
        <v>0.33</v>
      </c>
      <c r="H697" s="12">
        <v>0.83</v>
      </c>
      <c r="I697" s="12">
        <v>0.16</v>
      </c>
      <c r="J697" s="12">
        <v>0.44</v>
      </c>
      <c r="K697" s="12">
        <v>1.1299999999999999</v>
      </c>
      <c r="L697" s="12">
        <v>0.24</v>
      </c>
      <c r="M697" s="8">
        <v>5</v>
      </c>
      <c r="N697">
        <v>5</v>
      </c>
      <c r="O697" s="12">
        <v>6</v>
      </c>
      <c r="BF697" s="9">
        <v>6.96</v>
      </c>
      <c r="BG697" s="9">
        <f t="shared" si="21"/>
        <v>3.0172413793103446E-2</v>
      </c>
      <c r="BH697" s="9">
        <f t="shared" si="20"/>
        <v>3.9172824302134653E-2</v>
      </c>
      <c r="BQ697" s="8">
        <v>8</v>
      </c>
      <c r="BR697" s="8" t="s">
        <v>1454</v>
      </c>
    </row>
    <row r="698" spans="1:70" x14ac:dyDescent="0.3">
      <c r="A698" s="11" t="s">
        <v>1455</v>
      </c>
      <c r="B698" s="12">
        <v>171000</v>
      </c>
      <c r="C698" s="12">
        <v>646000</v>
      </c>
      <c r="D698" s="12">
        <v>0.06</v>
      </c>
      <c r="E698" s="12">
        <v>0.14000000000000001</v>
      </c>
      <c r="F698" s="12">
        <v>0.04</v>
      </c>
      <c r="G698" s="12">
        <v>7.0000000000000007E-2</v>
      </c>
      <c r="H698" s="12">
        <v>0.18</v>
      </c>
      <c r="I698" s="12">
        <v>0.05</v>
      </c>
      <c r="J698" s="12">
        <v>0.1</v>
      </c>
      <c r="K698" s="12">
        <v>0.24</v>
      </c>
      <c r="L698" s="12">
        <v>7.0000000000000007E-2</v>
      </c>
      <c r="M698" s="8">
        <v>8</v>
      </c>
      <c r="N698">
        <v>10</v>
      </c>
      <c r="O698" s="12">
        <v>13</v>
      </c>
      <c r="BF698" s="9">
        <v>6.97</v>
      </c>
      <c r="BG698" s="9">
        <f t="shared" si="21"/>
        <v>3.0129124820659971E-2</v>
      </c>
      <c r="BH698" s="9">
        <f t="shared" si="20"/>
        <v>3.911662225865957E-2</v>
      </c>
      <c r="BQ698" s="8">
        <v>6</v>
      </c>
      <c r="BR698" s="8" t="s">
        <v>1456</v>
      </c>
    </row>
    <row r="699" spans="1:70" x14ac:dyDescent="0.3">
      <c r="A699" s="11" t="s">
        <v>1457</v>
      </c>
      <c r="B699" s="12">
        <v>168000</v>
      </c>
      <c r="C699" s="12">
        <v>518000</v>
      </c>
      <c r="D699" s="12">
        <v>0.05</v>
      </c>
      <c r="E699" s="12">
        <v>0.13</v>
      </c>
      <c r="F699" s="12">
        <v>0.04</v>
      </c>
      <c r="G699" s="12">
        <v>0.06</v>
      </c>
      <c r="H699" s="12">
        <v>0.16</v>
      </c>
      <c r="I699" s="12">
        <v>0.05</v>
      </c>
      <c r="J699" s="12">
        <v>0.08</v>
      </c>
      <c r="K699" s="12">
        <v>0.2</v>
      </c>
      <c r="L699" s="12">
        <v>0.06</v>
      </c>
      <c r="M699" s="8">
        <v>8</v>
      </c>
      <c r="N699">
        <v>10</v>
      </c>
      <c r="O699" s="12">
        <v>12</v>
      </c>
      <c r="BF699" s="9">
        <v>6.98</v>
      </c>
      <c r="BG699" s="9">
        <f t="shared" si="21"/>
        <v>3.0085959885386815E-2</v>
      </c>
      <c r="BH699" s="9">
        <f t="shared" si="20"/>
        <v>3.9060581252558332E-2</v>
      </c>
      <c r="BQ699" s="8">
        <v>6</v>
      </c>
      <c r="BR699" s="8" t="s">
        <v>1458</v>
      </c>
    </row>
    <row r="700" spans="1:70" x14ac:dyDescent="0.3">
      <c r="A700" s="11" t="s">
        <v>1459</v>
      </c>
      <c r="B700" s="12">
        <v>216700</v>
      </c>
      <c r="C700" s="12">
        <v>755700</v>
      </c>
      <c r="D700" s="12">
        <v>0.13</v>
      </c>
      <c r="E700" s="12">
        <v>0.33</v>
      </c>
      <c r="F700" s="12">
        <v>7.0000000000000007E-2</v>
      </c>
      <c r="G700" s="12">
        <v>0.17</v>
      </c>
      <c r="H700" s="12">
        <v>0.43</v>
      </c>
      <c r="I700" s="12">
        <v>0.09</v>
      </c>
      <c r="J700" s="12">
        <v>0.23</v>
      </c>
      <c r="K700" s="12">
        <v>0.59</v>
      </c>
      <c r="L700" s="12">
        <v>0.12</v>
      </c>
      <c r="M700" s="8">
        <v>6</v>
      </c>
      <c r="N700">
        <v>8</v>
      </c>
      <c r="O700" s="12">
        <v>9</v>
      </c>
      <c r="BF700" s="9">
        <v>6.99</v>
      </c>
      <c r="BG700" s="9">
        <f t="shared" si="21"/>
        <v>3.0042918454935619E-2</v>
      </c>
      <c r="BH700" s="9">
        <f t="shared" si="20"/>
        <v>3.9004700592683433E-2</v>
      </c>
      <c r="BQ700" s="8">
        <v>5</v>
      </c>
      <c r="BR700" s="8" t="s">
        <v>1460</v>
      </c>
    </row>
    <row r="701" spans="1:70" x14ac:dyDescent="0.3">
      <c r="A701" s="11" t="s">
        <v>1461</v>
      </c>
      <c r="B701" s="12">
        <v>217000</v>
      </c>
      <c r="C701" s="12">
        <v>730000</v>
      </c>
      <c r="D701" s="12">
        <v>0.15</v>
      </c>
      <c r="E701" s="12">
        <v>0.36</v>
      </c>
      <c r="F701" s="12">
        <v>7.0000000000000007E-2</v>
      </c>
      <c r="G701" s="12">
        <v>0.2</v>
      </c>
      <c r="H701" s="12">
        <v>0.5</v>
      </c>
      <c r="I701" s="12">
        <v>0.1</v>
      </c>
      <c r="J701" s="12">
        <v>0.28999999999999998</v>
      </c>
      <c r="K701" s="12">
        <v>0.73</v>
      </c>
      <c r="L701" s="12">
        <v>0.14000000000000001</v>
      </c>
      <c r="M701" s="8">
        <v>6</v>
      </c>
      <c r="N701">
        <v>7</v>
      </c>
      <c r="O701" s="12">
        <v>8</v>
      </c>
      <c r="BF701" s="9">
        <v>7</v>
      </c>
      <c r="BG701" s="9">
        <f t="shared" si="21"/>
        <v>0.03</v>
      </c>
      <c r="BH701" s="9">
        <f t="shared" si="20"/>
        <v>3.8948979591836741E-2</v>
      </c>
      <c r="BQ701" s="8">
        <v>8</v>
      </c>
      <c r="BR701" s="8" t="s">
        <v>1462</v>
      </c>
    </row>
    <row r="702" spans="1:70" x14ac:dyDescent="0.3">
      <c r="A702" s="11" t="s">
        <v>1463</v>
      </c>
      <c r="B702" s="12">
        <v>193000</v>
      </c>
      <c r="C702" s="12">
        <v>427000</v>
      </c>
      <c r="D702" s="12">
        <v>0.15</v>
      </c>
      <c r="E702" s="12">
        <v>0.37</v>
      </c>
      <c r="F702" s="12">
        <v>0.06</v>
      </c>
      <c r="G702" s="12">
        <v>0.2</v>
      </c>
      <c r="H702" s="12">
        <v>0.49</v>
      </c>
      <c r="I702" s="12">
        <v>0.09</v>
      </c>
      <c r="J702" s="12">
        <v>0.26</v>
      </c>
      <c r="K702" s="12">
        <v>0.67</v>
      </c>
      <c r="L702" s="12">
        <v>0.13</v>
      </c>
      <c r="M702" s="8">
        <v>5</v>
      </c>
      <c r="N702">
        <v>6</v>
      </c>
      <c r="O702" s="12">
        <v>7</v>
      </c>
      <c r="BF702" s="9">
        <v>7.01</v>
      </c>
      <c r="BG702" s="9">
        <f t="shared" si="21"/>
        <v>2.9914469038524547E-2</v>
      </c>
      <c r="BH702" s="9">
        <f t="shared" si="20"/>
        <v>3.8893417566741396E-2</v>
      </c>
      <c r="BQ702" s="8">
        <v>7</v>
      </c>
      <c r="BR702" s="8" t="s">
        <v>1464</v>
      </c>
    </row>
    <row r="703" spans="1:70" x14ac:dyDescent="0.3">
      <c r="A703" s="11" t="s">
        <v>1465</v>
      </c>
      <c r="B703" s="12">
        <v>169000</v>
      </c>
      <c r="C703" s="12">
        <v>570000</v>
      </c>
      <c r="D703" s="12">
        <v>0.05</v>
      </c>
      <c r="E703" s="12">
        <v>0.12</v>
      </c>
      <c r="F703" s="12">
        <v>0.04</v>
      </c>
      <c r="G703" s="12">
        <v>0.06</v>
      </c>
      <c r="H703" s="12">
        <v>0.14000000000000001</v>
      </c>
      <c r="I703" s="12">
        <v>0.05</v>
      </c>
      <c r="J703" s="12">
        <v>0.08</v>
      </c>
      <c r="K703" s="12">
        <v>0.19</v>
      </c>
      <c r="L703" s="12">
        <v>0.06</v>
      </c>
      <c r="M703" s="8">
        <v>8</v>
      </c>
      <c r="N703">
        <v>10</v>
      </c>
      <c r="O703" s="12">
        <v>12</v>
      </c>
      <c r="BF703" s="9">
        <v>7.02</v>
      </c>
      <c r="BG703" s="9">
        <f t="shared" si="21"/>
        <v>2.9829303333576841E-2</v>
      </c>
      <c r="BH703" s="9">
        <f t="shared" si="20"/>
        <v>3.8838013838013843E-2</v>
      </c>
      <c r="BQ703" s="8">
        <v>8</v>
      </c>
      <c r="BR703" s="8" t="s">
        <v>1466</v>
      </c>
    </row>
    <row r="704" spans="1:70" x14ac:dyDescent="0.3">
      <c r="A704" s="11" t="s">
        <v>1467</v>
      </c>
      <c r="B704" s="12">
        <v>205800</v>
      </c>
      <c r="C704" s="12">
        <v>584000</v>
      </c>
      <c r="D704" s="12">
        <v>0.09</v>
      </c>
      <c r="E704" s="12">
        <v>0.22</v>
      </c>
      <c r="F704" s="12">
        <v>0.05</v>
      </c>
      <c r="G704" s="12">
        <v>0.11</v>
      </c>
      <c r="H704" s="12">
        <v>0.28000000000000003</v>
      </c>
      <c r="I704" s="12">
        <v>7.0000000000000007E-2</v>
      </c>
      <c r="J704" s="12">
        <v>0.15</v>
      </c>
      <c r="K704" s="12">
        <v>0.38</v>
      </c>
      <c r="L704" s="12">
        <v>0.09</v>
      </c>
      <c r="M704" s="8">
        <v>7</v>
      </c>
      <c r="N704">
        <v>8</v>
      </c>
      <c r="O704" s="12">
        <v>10</v>
      </c>
      <c r="BF704" s="9">
        <v>7.03</v>
      </c>
      <c r="BG704" s="9">
        <f t="shared" si="21"/>
        <v>2.974450080836245E-2</v>
      </c>
      <c r="BH704" s="9">
        <f t="shared" si="20"/>
        <v>3.8782767730136156E-2</v>
      </c>
      <c r="BQ704" s="8">
        <v>7</v>
      </c>
      <c r="BR704" s="8" t="s">
        <v>1468</v>
      </c>
    </row>
    <row r="705" spans="1:70" x14ac:dyDescent="0.3">
      <c r="A705" s="11" t="s">
        <v>1469</v>
      </c>
      <c r="B705" s="12">
        <v>174000</v>
      </c>
      <c r="C705" s="12">
        <v>629000</v>
      </c>
      <c r="D705" s="12">
        <v>0.06</v>
      </c>
      <c r="E705" s="12">
        <v>0.15</v>
      </c>
      <c r="F705" s="12">
        <v>0.04</v>
      </c>
      <c r="G705" s="12">
        <v>0.08</v>
      </c>
      <c r="H705" s="12">
        <v>0.2</v>
      </c>
      <c r="I705" s="12">
        <v>0.05</v>
      </c>
      <c r="J705" s="12">
        <v>0.12</v>
      </c>
      <c r="K705" s="12">
        <v>0.28000000000000003</v>
      </c>
      <c r="L705" s="12">
        <v>7.0000000000000007E-2</v>
      </c>
      <c r="M705" s="8">
        <v>8</v>
      </c>
      <c r="N705">
        <v>10</v>
      </c>
      <c r="O705" s="12">
        <v>12</v>
      </c>
      <c r="BF705" s="9">
        <v>7.04</v>
      </c>
      <c r="BG705" s="9">
        <f t="shared" si="21"/>
        <v>2.9660059400826447E-2</v>
      </c>
      <c r="BH705" s="9">
        <f t="shared" si="20"/>
        <v>3.872767857142858E-2</v>
      </c>
      <c r="BQ705" s="8">
        <v>8</v>
      </c>
      <c r="BR705" s="8" t="s">
        <v>1470</v>
      </c>
    </row>
    <row r="706" spans="1:70" x14ac:dyDescent="0.3">
      <c r="A706" s="11" t="s">
        <v>1471</v>
      </c>
      <c r="B706" s="12">
        <v>203000</v>
      </c>
      <c r="C706" s="12">
        <v>569000</v>
      </c>
      <c r="D706" s="12">
        <v>0.08</v>
      </c>
      <c r="E706" s="12">
        <v>0.2</v>
      </c>
      <c r="F706" s="12">
        <v>0.05</v>
      </c>
      <c r="G706" s="12">
        <v>0.1</v>
      </c>
      <c r="H706" s="12">
        <v>0.25</v>
      </c>
      <c r="I706" s="12">
        <v>0.06</v>
      </c>
      <c r="J706" s="12">
        <v>0.13</v>
      </c>
      <c r="K706" s="12">
        <v>0.34</v>
      </c>
      <c r="L706" s="12">
        <v>0.09</v>
      </c>
      <c r="M706" s="8">
        <v>7</v>
      </c>
      <c r="N706">
        <v>8</v>
      </c>
      <c r="O706" s="12">
        <v>10</v>
      </c>
      <c r="BF706" s="9">
        <v>7.05</v>
      </c>
      <c r="BG706" s="9">
        <f t="shared" si="21"/>
        <v>2.9575977063527992E-2</v>
      </c>
      <c r="BH706" s="9">
        <f t="shared" ref="BH706:BH769" si="22">IFERROR(IF($BF706&lt;AZ$33,AZ$32*(AZ$30/AZ$29+(1-AZ$30/AZ$29)*$BF706/AZ$33),IF($BF706&lt;AZ$34,AZ$32,IF($BF706&lt;AZ$35,AZ$31/$BF706,AZ$31*AZ$35/($BF706^2))))*$BC$29,"")</f>
        <v>3.8672745694022299E-2</v>
      </c>
      <c r="BQ706" s="8">
        <v>5</v>
      </c>
      <c r="BR706" s="8" t="s">
        <v>1472</v>
      </c>
    </row>
    <row r="707" spans="1:70" x14ac:dyDescent="0.3">
      <c r="A707" s="11" t="s">
        <v>1473</v>
      </c>
      <c r="B707" s="12">
        <v>183000</v>
      </c>
      <c r="C707" s="12">
        <v>638000</v>
      </c>
      <c r="D707" s="12">
        <v>0.06</v>
      </c>
      <c r="E707" s="12">
        <v>0.15</v>
      </c>
      <c r="F707" s="12">
        <v>0.04</v>
      </c>
      <c r="G707" s="12">
        <v>7.0000000000000007E-2</v>
      </c>
      <c r="H707" s="12">
        <v>0.18</v>
      </c>
      <c r="I707" s="12">
        <v>0.05</v>
      </c>
      <c r="J707" s="12">
        <v>0.1</v>
      </c>
      <c r="K707" s="12">
        <v>0.24</v>
      </c>
      <c r="L707" s="12">
        <v>7.0000000000000007E-2</v>
      </c>
      <c r="M707" s="8">
        <v>8</v>
      </c>
      <c r="N707">
        <v>10</v>
      </c>
      <c r="O707" s="12">
        <v>12</v>
      </c>
      <c r="BF707" s="9">
        <v>7.06</v>
      </c>
      <c r="BG707" s="9">
        <f t="shared" ref="BG707:BG770" si="23">IF(BF707&lt;AY$33,AY$32*(AY$30/AY$29+(1-AY$30/AY$29)*BF707/AY$33),IF(BF707&lt;AY$34,AY$32,IF(BF707&lt;AY$35,AY$31/BF707,AY$31*AY$35/(BF707^2))))*$BC$29</f>
        <v>2.9492251763516282E-2</v>
      </c>
      <c r="BH707" s="9">
        <f t="shared" si="22"/>
        <v>3.8617968433832466E-2</v>
      </c>
      <c r="BQ707" s="8">
        <v>8</v>
      </c>
      <c r="BR707" s="8" t="s">
        <v>1474</v>
      </c>
    </row>
    <row r="708" spans="1:70" x14ac:dyDescent="0.3">
      <c r="A708" s="11" t="s">
        <v>1475</v>
      </c>
      <c r="B708" s="12">
        <v>253700</v>
      </c>
      <c r="C708" s="12">
        <v>766000</v>
      </c>
      <c r="D708" s="12">
        <v>0.27</v>
      </c>
      <c r="E708" s="12">
        <v>0.67</v>
      </c>
      <c r="F708" s="12">
        <v>0.12</v>
      </c>
      <c r="G708" s="12">
        <v>0.35</v>
      </c>
      <c r="H708" s="12">
        <v>0.88</v>
      </c>
      <c r="I708" s="12">
        <v>0.17</v>
      </c>
      <c r="J708" s="12">
        <v>0.47</v>
      </c>
      <c r="K708" s="12">
        <v>1.21</v>
      </c>
      <c r="L708" s="12">
        <v>0.26</v>
      </c>
      <c r="M708" s="8">
        <v>5</v>
      </c>
      <c r="N708">
        <v>5</v>
      </c>
      <c r="O708" s="12">
        <v>6</v>
      </c>
      <c r="BF708" s="9">
        <v>7.07</v>
      </c>
      <c r="BG708" s="9">
        <f t="shared" si="23"/>
        <v>2.9408881482207626E-2</v>
      </c>
      <c r="BH708" s="9">
        <f t="shared" si="22"/>
        <v>3.8563346130531424E-2</v>
      </c>
      <c r="BQ708" s="8">
        <v>5</v>
      </c>
      <c r="BR708" s="8" t="s">
        <v>1476</v>
      </c>
    </row>
    <row r="709" spans="1:70" x14ac:dyDescent="0.3">
      <c r="A709" s="11" t="s">
        <v>1477</v>
      </c>
      <c r="B709" s="12">
        <v>200800</v>
      </c>
      <c r="C709" s="12">
        <v>628500</v>
      </c>
      <c r="D709" s="12">
        <v>7.0000000000000007E-2</v>
      </c>
      <c r="E709" s="12">
        <v>0.17</v>
      </c>
      <c r="F709" s="12">
        <v>0.05</v>
      </c>
      <c r="G709" s="12">
        <v>0.09</v>
      </c>
      <c r="H709" s="12">
        <v>0.21</v>
      </c>
      <c r="I709" s="12">
        <v>0.06</v>
      </c>
      <c r="J709" s="12">
        <v>0.11</v>
      </c>
      <c r="K709" s="12">
        <v>0.28000000000000003</v>
      </c>
      <c r="L709" s="12">
        <v>0.08</v>
      </c>
      <c r="M709" s="8">
        <v>8</v>
      </c>
      <c r="N709">
        <v>9</v>
      </c>
      <c r="O709" s="12">
        <v>11</v>
      </c>
      <c r="BF709" s="9">
        <v>7.08</v>
      </c>
      <c r="BG709" s="9">
        <f t="shared" si="23"/>
        <v>2.932586421526381E-2</v>
      </c>
      <c r="BH709" s="9">
        <f t="shared" si="22"/>
        <v>3.8508878127522204E-2</v>
      </c>
      <c r="BQ709" s="8">
        <v>7</v>
      </c>
      <c r="BR709" s="8" t="s">
        <v>1478</v>
      </c>
    </row>
    <row r="710" spans="1:70" x14ac:dyDescent="0.3">
      <c r="A710" s="11" t="s">
        <v>1479</v>
      </c>
      <c r="B710" s="12">
        <v>254300</v>
      </c>
      <c r="C710" s="12">
        <v>798500</v>
      </c>
      <c r="D710" s="12">
        <v>0.23</v>
      </c>
      <c r="E710" s="12">
        <v>0.56999999999999995</v>
      </c>
      <c r="F710" s="12">
        <v>0.11</v>
      </c>
      <c r="G710" s="12">
        <v>0.3</v>
      </c>
      <c r="H710" s="12">
        <v>0.76</v>
      </c>
      <c r="I710" s="12">
        <v>0.15</v>
      </c>
      <c r="J710" s="12">
        <v>0.41</v>
      </c>
      <c r="K710" s="12">
        <v>1.05</v>
      </c>
      <c r="L710" s="12">
        <v>0.22</v>
      </c>
      <c r="M710" s="8">
        <v>5</v>
      </c>
      <c r="N710">
        <v>6</v>
      </c>
      <c r="O710" s="12">
        <v>7</v>
      </c>
      <c r="BF710" s="9">
        <v>7.09</v>
      </c>
      <c r="BG710" s="9">
        <f t="shared" si="23"/>
        <v>2.9243197972471609E-2</v>
      </c>
      <c r="BH710" s="9">
        <f t="shared" si="22"/>
        <v>3.8454563771912156E-2</v>
      </c>
      <c r="BQ710" s="8">
        <v>6</v>
      </c>
      <c r="BR710" s="8" t="s">
        <v>1480</v>
      </c>
    </row>
    <row r="711" spans="1:70" x14ac:dyDescent="0.3">
      <c r="A711" s="11" t="s">
        <v>1481</v>
      </c>
      <c r="B711" s="12">
        <v>205800</v>
      </c>
      <c r="C711" s="12">
        <v>624900</v>
      </c>
      <c r="D711" s="12">
        <v>0.08</v>
      </c>
      <c r="E711" s="12">
        <v>0.18</v>
      </c>
      <c r="F711" s="12">
        <v>0.05</v>
      </c>
      <c r="G711" s="12">
        <v>0.09</v>
      </c>
      <c r="H711" s="12">
        <v>0.23</v>
      </c>
      <c r="I711" s="12">
        <v>0.06</v>
      </c>
      <c r="J711" s="12">
        <v>0.12</v>
      </c>
      <c r="K711" s="12">
        <v>0.3</v>
      </c>
      <c r="L711" s="12">
        <v>0.09</v>
      </c>
      <c r="M711" s="8">
        <v>7</v>
      </c>
      <c r="N711">
        <v>9</v>
      </c>
      <c r="O711" s="12">
        <v>11</v>
      </c>
      <c r="BF711" s="9">
        <v>7.1</v>
      </c>
      <c r="BG711" s="9">
        <f t="shared" si="23"/>
        <v>2.916088077762349E-2</v>
      </c>
      <c r="BH711" s="9">
        <f t="shared" si="22"/>
        <v>3.8400402414486931E-2</v>
      </c>
      <c r="BQ711" s="8">
        <v>6</v>
      </c>
      <c r="BR711" s="8" t="s">
        <v>1482</v>
      </c>
    </row>
    <row r="712" spans="1:70" x14ac:dyDescent="0.3">
      <c r="A712" s="11" t="s">
        <v>1483</v>
      </c>
      <c r="B712" s="12">
        <v>214200</v>
      </c>
      <c r="C712" s="12">
        <v>712400</v>
      </c>
      <c r="D712" s="12">
        <v>0.12</v>
      </c>
      <c r="E712" s="12">
        <v>0.3</v>
      </c>
      <c r="F712" s="12">
        <v>0.06</v>
      </c>
      <c r="G712" s="12">
        <v>0.16</v>
      </c>
      <c r="H712" s="12">
        <v>0.4</v>
      </c>
      <c r="I712" s="12">
        <v>0.09</v>
      </c>
      <c r="J712" s="12">
        <v>0.22</v>
      </c>
      <c r="K712" s="12">
        <v>0.56999999999999995</v>
      </c>
      <c r="L712" s="12">
        <v>0.12</v>
      </c>
      <c r="M712" s="8">
        <v>6</v>
      </c>
      <c r="N712">
        <v>8</v>
      </c>
      <c r="O712" s="12">
        <v>9</v>
      </c>
      <c r="BF712" s="9">
        <v>7.11</v>
      </c>
      <c r="BG712" s="9">
        <f t="shared" si="23"/>
        <v>2.907891066839953E-2</v>
      </c>
      <c r="BH712" s="9">
        <f t="shared" si="22"/>
        <v>3.8346393409684557E-2</v>
      </c>
      <c r="BQ712" s="8">
        <v>7</v>
      </c>
      <c r="BR712" s="8" t="s">
        <v>1484</v>
      </c>
    </row>
    <row r="713" spans="1:70" x14ac:dyDescent="0.3">
      <c r="A713" s="11" t="s">
        <v>1485</v>
      </c>
      <c r="B713" s="12">
        <v>228500</v>
      </c>
      <c r="C713" s="12">
        <v>716800</v>
      </c>
      <c r="D713" s="12">
        <v>0.16</v>
      </c>
      <c r="E713" s="12">
        <v>0.4</v>
      </c>
      <c r="F713" s="12">
        <v>0.08</v>
      </c>
      <c r="G713" s="12">
        <v>0.21</v>
      </c>
      <c r="H713" s="12">
        <v>0.54</v>
      </c>
      <c r="I713" s="12">
        <v>0.11</v>
      </c>
      <c r="J713" s="12">
        <v>0.3</v>
      </c>
      <c r="K713" s="12">
        <v>0.75</v>
      </c>
      <c r="L713" s="12">
        <v>0.15</v>
      </c>
      <c r="M713" s="8">
        <v>6</v>
      </c>
      <c r="N713">
        <v>7</v>
      </c>
      <c r="O713" s="12">
        <v>8</v>
      </c>
      <c r="BF713" s="9">
        <v>7.12</v>
      </c>
      <c r="BG713" s="9">
        <f t="shared" si="23"/>
        <v>2.8997285696250472E-2</v>
      </c>
      <c r="BH713" s="9">
        <f t="shared" si="22"/>
        <v>3.8292536115569827E-2</v>
      </c>
      <c r="BQ713" s="8">
        <v>5</v>
      </c>
      <c r="BR713" s="8" t="s">
        <v>1486</v>
      </c>
    </row>
    <row r="714" spans="1:70" x14ac:dyDescent="0.3">
      <c r="A714" s="11" t="s">
        <v>1487</v>
      </c>
      <c r="B714" s="12">
        <v>204200</v>
      </c>
      <c r="C714" s="12">
        <v>705600</v>
      </c>
      <c r="D714" s="12">
        <v>0.09</v>
      </c>
      <c r="E714" s="12">
        <v>0.22</v>
      </c>
      <c r="F714" s="12">
        <v>0.05</v>
      </c>
      <c r="G714" s="12">
        <v>0.11</v>
      </c>
      <c r="H714" s="12">
        <v>0.28000000000000003</v>
      </c>
      <c r="I714" s="12">
        <v>7.0000000000000007E-2</v>
      </c>
      <c r="J714" s="12">
        <v>0.15</v>
      </c>
      <c r="K714" s="12">
        <v>0.38</v>
      </c>
      <c r="L714" s="12">
        <v>0.09</v>
      </c>
      <c r="M714" s="8">
        <v>7</v>
      </c>
      <c r="N714">
        <v>9</v>
      </c>
      <c r="O714" s="12">
        <v>11</v>
      </c>
      <c r="BF714" s="9">
        <v>7.13</v>
      </c>
      <c r="BG714" s="9">
        <f t="shared" si="23"/>
        <v>2.8916003926281894E-2</v>
      </c>
      <c r="BH714" s="9">
        <f t="shared" si="22"/>
        <v>3.8238829893808862E-2</v>
      </c>
      <c r="BQ714" s="8">
        <v>5</v>
      </c>
      <c r="BR714" s="8" t="s">
        <v>1488</v>
      </c>
    </row>
    <row r="715" spans="1:70" x14ac:dyDescent="0.3">
      <c r="A715" s="11" t="s">
        <v>1489</v>
      </c>
      <c r="B715" s="12">
        <v>269200</v>
      </c>
      <c r="C715" s="12">
        <v>741500</v>
      </c>
      <c r="D715" s="12">
        <v>0.21</v>
      </c>
      <c r="E715" s="12">
        <v>0.52</v>
      </c>
      <c r="F715" s="12">
        <v>0.1</v>
      </c>
      <c r="G715" s="12">
        <v>0.27</v>
      </c>
      <c r="H715" s="12">
        <v>0.69</v>
      </c>
      <c r="I715" s="12">
        <v>0.14000000000000001</v>
      </c>
      <c r="J715" s="12">
        <v>0.36</v>
      </c>
      <c r="K715" s="12">
        <v>0.94</v>
      </c>
      <c r="L715" s="12">
        <v>0.2</v>
      </c>
      <c r="M715" s="8">
        <v>5</v>
      </c>
      <c r="N715">
        <v>6</v>
      </c>
      <c r="O715" s="12">
        <v>7</v>
      </c>
      <c r="BF715" s="9">
        <v>7.14</v>
      </c>
      <c r="BG715" s="9">
        <f t="shared" si="23"/>
        <v>2.8835063437139562E-2</v>
      </c>
      <c r="BH715" s="9">
        <f t="shared" si="22"/>
        <v>3.8185274109643869E-2</v>
      </c>
      <c r="BQ715" s="8">
        <v>6</v>
      </c>
      <c r="BR715" s="8" t="s">
        <v>1490</v>
      </c>
    </row>
    <row r="716" spans="1:70" x14ac:dyDescent="0.3">
      <c r="A716" s="11" t="s">
        <v>1491</v>
      </c>
      <c r="B716" s="12">
        <v>240100</v>
      </c>
      <c r="C716" s="12">
        <v>706200</v>
      </c>
      <c r="D716" s="12">
        <v>0.2</v>
      </c>
      <c r="E716" s="12">
        <v>0.5</v>
      </c>
      <c r="F716" s="12">
        <v>0.1</v>
      </c>
      <c r="G716" s="12">
        <v>0.26</v>
      </c>
      <c r="H716" s="12">
        <v>0.66</v>
      </c>
      <c r="I716" s="12">
        <v>0.13</v>
      </c>
      <c r="J716" s="12">
        <v>0.35</v>
      </c>
      <c r="K716" s="12">
        <v>0.9</v>
      </c>
      <c r="L716" s="12">
        <v>0.18</v>
      </c>
      <c r="M716" s="8">
        <v>5</v>
      </c>
      <c r="N716">
        <v>6</v>
      </c>
      <c r="O716" s="12">
        <v>7</v>
      </c>
      <c r="BF716" s="9">
        <v>7.15</v>
      </c>
      <c r="BG716" s="9">
        <f t="shared" si="23"/>
        <v>2.8754462320895884E-2</v>
      </c>
      <c r="BH716" s="9">
        <f t="shared" si="22"/>
        <v>3.8131868131868134E-2</v>
      </c>
      <c r="BQ716" s="8">
        <v>8</v>
      </c>
      <c r="BR716" s="8" t="s">
        <v>1492</v>
      </c>
    </row>
    <row r="717" spans="1:70" x14ac:dyDescent="0.3">
      <c r="A717" s="11" t="s">
        <v>1493</v>
      </c>
      <c r="B717" s="12">
        <v>241400</v>
      </c>
      <c r="C717" s="12">
        <v>766000</v>
      </c>
      <c r="D717" s="12">
        <v>0.18</v>
      </c>
      <c r="E717" s="12">
        <v>0.46</v>
      </c>
      <c r="F717" s="12">
        <v>0.09</v>
      </c>
      <c r="G717" s="12">
        <v>0.23</v>
      </c>
      <c r="H717" s="12">
        <v>0.59</v>
      </c>
      <c r="I717" s="12">
        <v>0.12</v>
      </c>
      <c r="J717" s="12">
        <v>0.3</v>
      </c>
      <c r="K717" s="12">
        <v>0.78</v>
      </c>
      <c r="L717" s="12">
        <v>0.17</v>
      </c>
      <c r="M717" s="8">
        <v>6</v>
      </c>
      <c r="N717">
        <v>7</v>
      </c>
      <c r="O717" s="12">
        <v>8</v>
      </c>
      <c r="BF717" s="9">
        <v>7.16</v>
      </c>
      <c r="BG717" s="9">
        <f t="shared" si="23"/>
        <v>2.8674198682937486E-2</v>
      </c>
      <c r="BH717" s="9">
        <f t="shared" si="22"/>
        <v>3.8078611332801285E-2</v>
      </c>
      <c r="BQ717" s="8">
        <v>7</v>
      </c>
      <c r="BR717" s="8" t="s">
        <v>1494</v>
      </c>
    </row>
    <row r="718" spans="1:70" x14ac:dyDescent="0.3">
      <c r="A718" s="11" t="s">
        <v>1495</v>
      </c>
      <c r="B718" s="12">
        <v>176700</v>
      </c>
      <c r="C718" s="12">
        <v>636000</v>
      </c>
      <c r="D718" s="12">
        <v>0.06</v>
      </c>
      <c r="E718" s="12">
        <v>0.15</v>
      </c>
      <c r="F718" s="12">
        <v>0.04</v>
      </c>
      <c r="G718" s="12">
        <v>0.08</v>
      </c>
      <c r="H718" s="12">
        <v>0.19</v>
      </c>
      <c r="I718" s="12">
        <v>0.05</v>
      </c>
      <c r="J718" s="12">
        <v>0.1</v>
      </c>
      <c r="K718" s="12">
        <v>0.26</v>
      </c>
      <c r="L718" s="12">
        <v>7.0000000000000007E-2</v>
      </c>
      <c r="M718" s="8">
        <v>8</v>
      </c>
      <c r="N718">
        <v>10</v>
      </c>
      <c r="O718" s="12">
        <v>12</v>
      </c>
      <c r="BF718" s="9">
        <v>7.17</v>
      </c>
      <c r="BG718" s="9">
        <f t="shared" si="23"/>
        <v>2.8594270641853846E-2</v>
      </c>
      <c r="BH718" s="9">
        <f t="shared" si="22"/>
        <v>3.8025503088264599E-2</v>
      </c>
      <c r="BQ718" s="8">
        <v>5</v>
      </c>
      <c r="BR718" s="8" t="s">
        <v>1496</v>
      </c>
    </row>
    <row r="719" spans="1:70" x14ac:dyDescent="0.3">
      <c r="A719" s="11" t="s">
        <v>1497</v>
      </c>
      <c r="B719" s="12">
        <v>194500</v>
      </c>
      <c r="C719" s="12">
        <v>581500</v>
      </c>
      <c r="D719" s="12">
        <v>7.0000000000000007E-2</v>
      </c>
      <c r="E719" s="12">
        <v>0.18</v>
      </c>
      <c r="F719" s="12">
        <v>0.04</v>
      </c>
      <c r="G719" s="12">
        <v>0.09</v>
      </c>
      <c r="H719" s="12">
        <v>0.23</v>
      </c>
      <c r="I719" s="12">
        <v>0.06</v>
      </c>
      <c r="J719" s="12">
        <v>0.12</v>
      </c>
      <c r="K719" s="12">
        <v>0.31</v>
      </c>
      <c r="L719" s="12">
        <v>0.08</v>
      </c>
      <c r="M719" s="8">
        <v>7</v>
      </c>
      <c r="N719">
        <v>9</v>
      </c>
      <c r="O719" s="12">
        <v>11</v>
      </c>
      <c r="BF719" s="9">
        <v>7.18</v>
      </c>
      <c r="BG719" s="9">
        <f t="shared" si="23"/>
        <v>2.8514676329327054E-2</v>
      </c>
      <c r="BH719" s="9">
        <f t="shared" si="22"/>
        <v>3.7972542777556711E-2</v>
      </c>
      <c r="BQ719" s="8">
        <v>7</v>
      </c>
      <c r="BR719" s="8" t="s">
        <v>1498</v>
      </c>
    </row>
    <row r="720" spans="1:70" x14ac:dyDescent="0.3">
      <c r="A720" s="11" t="s">
        <v>1499</v>
      </c>
      <c r="B720" s="12">
        <v>240100</v>
      </c>
      <c r="C720" s="12">
        <v>674600</v>
      </c>
      <c r="D720" s="12">
        <v>0.21</v>
      </c>
      <c r="E720" s="12">
        <v>0.53</v>
      </c>
      <c r="F720" s="12">
        <v>0.1</v>
      </c>
      <c r="G720" s="12">
        <v>0.27</v>
      </c>
      <c r="H720" s="12">
        <v>0.7</v>
      </c>
      <c r="I720" s="12">
        <v>0.14000000000000001</v>
      </c>
      <c r="J720" s="12">
        <v>0.37</v>
      </c>
      <c r="K720" s="12">
        <v>0.96</v>
      </c>
      <c r="L720" s="12">
        <v>0.2</v>
      </c>
      <c r="M720" s="8">
        <v>5</v>
      </c>
      <c r="N720">
        <v>6</v>
      </c>
      <c r="O720" s="12">
        <v>7</v>
      </c>
      <c r="BF720" s="9">
        <v>7.19</v>
      </c>
      <c r="BG720" s="9">
        <f t="shared" si="23"/>
        <v>2.8435413890022646E-2</v>
      </c>
      <c r="BH720" s="9">
        <f t="shared" si="22"/>
        <v>3.7919729783429369E-2</v>
      </c>
      <c r="BQ720" s="8">
        <v>8</v>
      </c>
      <c r="BR720" s="8" t="s">
        <v>1500</v>
      </c>
    </row>
    <row r="721" spans="1:70" x14ac:dyDescent="0.3">
      <c r="A721" s="11" t="s">
        <v>1501</v>
      </c>
      <c r="B721" s="12">
        <v>206700</v>
      </c>
      <c r="C721" s="12">
        <v>577700</v>
      </c>
      <c r="D721" s="12">
        <v>0.09</v>
      </c>
      <c r="E721" s="12">
        <v>0.22</v>
      </c>
      <c r="F721" s="12">
        <v>0.05</v>
      </c>
      <c r="G721" s="12">
        <v>0.11</v>
      </c>
      <c r="H721" s="12">
        <v>0.28000000000000003</v>
      </c>
      <c r="I721" s="12">
        <v>7.0000000000000007E-2</v>
      </c>
      <c r="J721" s="12">
        <v>0.15</v>
      </c>
      <c r="K721" s="12">
        <v>0.38</v>
      </c>
      <c r="L721" s="12">
        <v>0.09</v>
      </c>
      <c r="M721" s="8">
        <v>7</v>
      </c>
      <c r="N721">
        <v>8</v>
      </c>
      <c r="O721" s="12">
        <v>10</v>
      </c>
      <c r="BF721" s="9">
        <v>7.2</v>
      </c>
      <c r="BG721" s="9">
        <f t="shared" si="23"/>
        <v>2.8356481481481479E-2</v>
      </c>
      <c r="BH721" s="9">
        <f t="shared" si="22"/>
        <v>3.78670634920635E-2</v>
      </c>
      <c r="BQ721" s="8">
        <v>6</v>
      </c>
      <c r="BR721" s="8" t="s">
        <v>1502</v>
      </c>
    </row>
    <row r="722" spans="1:70" x14ac:dyDescent="0.3">
      <c r="A722" s="11" t="s">
        <v>1503</v>
      </c>
      <c r="B722" s="12">
        <v>188200</v>
      </c>
      <c r="C722" s="12">
        <v>701500</v>
      </c>
      <c r="D722" s="12">
        <v>7.0000000000000007E-2</v>
      </c>
      <c r="E722" s="12">
        <v>0.17</v>
      </c>
      <c r="F722" s="12">
        <v>0.05</v>
      </c>
      <c r="G722" s="12">
        <v>0.09</v>
      </c>
      <c r="H722" s="12">
        <v>0.22</v>
      </c>
      <c r="I722" s="12">
        <v>0.06</v>
      </c>
      <c r="J722" s="12">
        <v>0.12</v>
      </c>
      <c r="K722" s="12">
        <v>0.28999999999999998</v>
      </c>
      <c r="L722" s="12">
        <v>0.08</v>
      </c>
      <c r="M722" s="8">
        <v>8</v>
      </c>
      <c r="N722">
        <v>9</v>
      </c>
      <c r="O722" s="12">
        <v>12</v>
      </c>
      <c r="BF722" s="9">
        <v>7.21</v>
      </c>
      <c r="BG722" s="9">
        <f t="shared" si="23"/>
        <v>2.8277877274012632E-2</v>
      </c>
      <c r="BH722" s="9">
        <f t="shared" si="22"/>
        <v>3.7814543293045379E-2</v>
      </c>
      <c r="BQ722" s="8">
        <v>6</v>
      </c>
      <c r="BR722" s="8" t="s">
        <v>1504</v>
      </c>
    </row>
    <row r="723" spans="1:70" x14ac:dyDescent="0.3">
      <c r="A723" s="11" t="s">
        <v>1505</v>
      </c>
      <c r="B723" s="12">
        <v>231100</v>
      </c>
      <c r="C723" s="12">
        <v>756700</v>
      </c>
      <c r="D723" s="12">
        <v>0.14000000000000001</v>
      </c>
      <c r="E723" s="12">
        <v>0.36</v>
      </c>
      <c r="F723" s="12">
        <v>7.0000000000000007E-2</v>
      </c>
      <c r="G723" s="12">
        <v>0.18</v>
      </c>
      <c r="H723" s="12">
        <v>0.46</v>
      </c>
      <c r="I723" s="12">
        <v>0.09</v>
      </c>
      <c r="J723" s="12">
        <v>0.23</v>
      </c>
      <c r="K723" s="12">
        <v>0.6</v>
      </c>
      <c r="L723" s="12">
        <v>0.13</v>
      </c>
      <c r="M723" s="8">
        <v>6</v>
      </c>
      <c r="N723">
        <v>8</v>
      </c>
      <c r="O723" s="12">
        <v>9</v>
      </c>
      <c r="BF723" s="9">
        <v>7.22</v>
      </c>
      <c r="BG723" s="9">
        <f t="shared" si="23"/>
        <v>2.8199599450587396E-2</v>
      </c>
      <c r="BH723" s="9">
        <f t="shared" si="22"/>
        <v>3.77621685793431E-2</v>
      </c>
      <c r="BQ723" s="8">
        <v>8</v>
      </c>
      <c r="BR723" s="8" t="s">
        <v>1506</v>
      </c>
    </row>
    <row r="724" spans="1:70" x14ac:dyDescent="0.3">
      <c r="A724" s="11" t="s">
        <v>1507</v>
      </c>
      <c r="B724" s="12">
        <v>222500</v>
      </c>
      <c r="C724" s="12">
        <v>718700</v>
      </c>
      <c r="D724" s="12">
        <v>0.15</v>
      </c>
      <c r="E724" s="12">
        <v>0.37</v>
      </c>
      <c r="F724" s="12">
        <v>0.08</v>
      </c>
      <c r="G724" s="12">
        <v>0.2</v>
      </c>
      <c r="H724" s="12">
        <v>0.51</v>
      </c>
      <c r="I724" s="12">
        <v>0.1</v>
      </c>
      <c r="J724" s="12">
        <v>0.28999999999999998</v>
      </c>
      <c r="K724" s="12">
        <v>0.73</v>
      </c>
      <c r="L724" s="12">
        <v>0.15</v>
      </c>
      <c r="M724" s="8">
        <v>6</v>
      </c>
      <c r="N724">
        <v>7</v>
      </c>
      <c r="O724" s="12">
        <v>8</v>
      </c>
      <c r="BF724" s="9">
        <v>7.23</v>
      </c>
      <c r="BG724" s="9">
        <f t="shared" si="23"/>
        <v>2.8121646206734269E-2</v>
      </c>
      <c r="BH724" s="9">
        <f t="shared" si="22"/>
        <v>3.770993874728315E-2</v>
      </c>
      <c r="BQ724" s="8">
        <v>5</v>
      </c>
      <c r="BR724" s="8" t="s">
        <v>1508</v>
      </c>
    </row>
    <row r="725" spans="1:70" x14ac:dyDescent="0.3">
      <c r="A725" s="11" t="s">
        <v>1509</v>
      </c>
      <c r="B725" s="12">
        <v>161500</v>
      </c>
      <c r="C725" s="12">
        <v>588800</v>
      </c>
      <c r="D725" s="12">
        <v>0.05</v>
      </c>
      <c r="E725" s="12">
        <v>0.12</v>
      </c>
      <c r="F725" s="12">
        <v>0.04</v>
      </c>
      <c r="G725" s="12">
        <v>0.06</v>
      </c>
      <c r="H725" s="12">
        <v>0.15</v>
      </c>
      <c r="I725" s="12">
        <v>0.05</v>
      </c>
      <c r="J725" s="12">
        <v>0.08</v>
      </c>
      <c r="K725" s="12">
        <v>0.2</v>
      </c>
      <c r="L725" s="12">
        <v>0.06</v>
      </c>
      <c r="M725" s="8">
        <v>8</v>
      </c>
      <c r="N725">
        <v>10</v>
      </c>
      <c r="O725" s="12">
        <v>13</v>
      </c>
      <c r="BF725" s="9">
        <v>7.24</v>
      </c>
      <c r="BG725" s="9">
        <f t="shared" si="23"/>
        <v>2.8044015750434966E-2</v>
      </c>
      <c r="BH725" s="9">
        <f t="shared" si="22"/>
        <v>3.7657853196527237E-2</v>
      </c>
      <c r="BQ725" s="8">
        <v>5</v>
      </c>
      <c r="BR725" s="8" t="s">
        <v>1510</v>
      </c>
    </row>
    <row r="726" spans="1:70" x14ac:dyDescent="0.3">
      <c r="A726" s="11" t="s">
        <v>1511</v>
      </c>
      <c r="B726" s="12">
        <v>248100</v>
      </c>
      <c r="C726" s="12">
        <v>778300</v>
      </c>
      <c r="D726" s="12">
        <v>0.23</v>
      </c>
      <c r="E726" s="12">
        <v>0.56999999999999995</v>
      </c>
      <c r="F726" s="12">
        <v>0.11</v>
      </c>
      <c r="G726" s="12">
        <v>0.3</v>
      </c>
      <c r="H726" s="12">
        <v>0.75</v>
      </c>
      <c r="I726" s="12">
        <v>0.15</v>
      </c>
      <c r="J726" s="12">
        <v>0.4</v>
      </c>
      <c r="K726" s="12">
        <v>1.03</v>
      </c>
      <c r="L726" s="12">
        <v>0.22</v>
      </c>
      <c r="M726" s="8">
        <v>5</v>
      </c>
      <c r="N726">
        <v>6</v>
      </c>
      <c r="O726" s="12">
        <v>7</v>
      </c>
      <c r="BF726" s="9">
        <v>7.25</v>
      </c>
      <c r="BG726" s="9">
        <f t="shared" si="23"/>
        <v>2.7966706302021402E-2</v>
      </c>
      <c r="BH726" s="9">
        <f t="shared" si="22"/>
        <v>3.7605911330049265E-2</v>
      </c>
      <c r="BQ726" s="8">
        <v>8</v>
      </c>
      <c r="BR726" s="8" t="s">
        <v>1512</v>
      </c>
    </row>
    <row r="727" spans="1:70" x14ac:dyDescent="0.3">
      <c r="A727" s="11" t="s">
        <v>1513</v>
      </c>
      <c r="B727" s="12">
        <v>239100</v>
      </c>
      <c r="C727" s="12">
        <v>705000</v>
      </c>
      <c r="D727" s="12">
        <v>0.19</v>
      </c>
      <c r="E727" s="12">
        <v>0.49</v>
      </c>
      <c r="F727" s="12">
        <v>0.09</v>
      </c>
      <c r="G727" s="12">
        <v>0.25</v>
      </c>
      <c r="H727" s="12">
        <v>0.65</v>
      </c>
      <c r="I727" s="12">
        <v>0.13</v>
      </c>
      <c r="J727" s="12">
        <v>0.34</v>
      </c>
      <c r="K727" s="12">
        <v>0.88</v>
      </c>
      <c r="L727" s="12">
        <v>0.18</v>
      </c>
      <c r="M727" s="8">
        <v>5</v>
      </c>
      <c r="N727">
        <v>6</v>
      </c>
      <c r="O727" s="12">
        <v>7</v>
      </c>
      <c r="BF727" s="9">
        <v>7.26</v>
      </c>
      <c r="BG727" s="9">
        <f t="shared" si="23"/>
        <v>2.7889716094073719E-2</v>
      </c>
      <c r="BH727" s="9">
        <f t="shared" si="22"/>
        <v>3.7554112554112562E-2</v>
      </c>
      <c r="BQ727" s="8">
        <v>6</v>
      </c>
      <c r="BR727" s="8" t="s">
        <v>1514</v>
      </c>
    </row>
    <row r="728" spans="1:70" x14ac:dyDescent="0.3">
      <c r="A728" s="11" t="s">
        <v>1515</v>
      </c>
      <c r="B728" s="12">
        <v>178800</v>
      </c>
      <c r="C728" s="12">
        <v>618300</v>
      </c>
      <c r="D728" s="12">
        <v>7.0000000000000007E-2</v>
      </c>
      <c r="E728" s="12">
        <v>0.16</v>
      </c>
      <c r="F728" s="12">
        <v>0.04</v>
      </c>
      <c r="G728" s="12">
        <v>0.09</v>
      </c>
      <c r="H728" s="12">
        <v>0.22</v>
      </c>
      <c r="I728" s="12">
        <v>0.05</v>
      </c>
      <c r="J728" s="12">
        <v>0.12</v>
      </c>
      <c r="K728" s="12">
        <v>0.3</v>
      </c>
      <c r="L728" s="12">
        <v>7.0000000000000007E-2</v>
      </c>
      <c r="M728" s="8">
        <v>8</v>
      </c>
      <c r="N728">
        <v>10</v>
      </c>
      <c r="O728" s="12">
        <v>12</v>
      </c>
      <c r="BF728" s="9">
        <v>7.27</v>
      </c>
      <c r="BG728" s="9">
        <f t="shared" si="23"/>
        <v>2.781304337131927E-2</v>
      </c>
      <c r="BH728" s="9">
        <f t="shared" si="22"/>
        <v>3.7502456278247207E-2</v>
      </c>
      <c r="BQ728" s="8">
        <v>7</v>
      </c>
      <c r="BR728" s="8" t="s">
        <v>1516</v>
      </c>
    </row>
    <row r="729" spans="1:70" x14ac:dyDescent="0.3">
      <c r="A729" s="11" t="s">
        <v>1517</v>
      </c>
      <c r="B729" s="12">
        <v>222500</v>
      </c>
      <c r="C729" s="12">
        <v>751000</v>
      </c>
      <c r="D729" s="12">
        <v>0.14000000000000001</v>
      </c>
      <c r="E729" s="12">
        <v>0.34</v>
      </c>
      <c r="F729" s="12">
        <v>7.0000000000000007E-2</v>
      </c>
      <c r="G729" s="12">
        <v>0.17</v>
      </c>
      <c r="H729" s="12">
        <v>0.44</v>
      </c>
      <c r="I729" s="12">
        <v>0.09</v>
      </c>
      <c r="J729" s="12">
        <v>0.23</v>
      </c>
      <c r="K729" s="12">
        <v>0.59</v>
      </c>
      <c r="L729" s="12">
        <v>0.12</v>
      </c>
      <c r="M729" s="8">
        <v>6</v>
      </c>
      <c r="N729">
        <v>8</v>
      </c>
      <c r="O729" s="12">
        <v>9</v>
      </c>
      <c r="BF729" s="9">
        <v>7.28</v>
      </c>
      <c r="BG729" s="9">
        <f t="shared" si="23"/>
        <v>2.773668639053254E-2</v>
      </c>
      <c r="BH729" s="9">
        <f t="shared" si="22"/>
        <v>3.7450941915227631E-2</v>
      </c>
      <c r="BQ729" s="8">
        <v>5</v>
      </c>
      <c r="BR729" s="8" t="s">
        <v>1518</v>
      </c>
    </row>
    <row r="730" spans="1:70" x14ac:dyDescent="0.3">
      <c r="A730" s="11" t="s">
        <v>1519</v>
      </c>
      <c r="B730" s="12">
        <v>218700</v>
      </c>
      <c r="C730" s="12">
        <v>771300</v>
      </c>
      <c r="D730" s="12">
        <v>0.12</v>
      </c>
      <c r="E730" s="12">
        <v>0.3</v>
      </c>
      <c r="F730" s="12">
        <v>0.06</v>
      </c>
      <c r="G730" s="12">
        <v>0.15</v>
      </c>
      <c r="H730" s="12">
        <v>0.38</v>
      </c>
      <c r="I730" s="12">
        <v>0.08</v>
      </c>
      <c r="J730" s="12">
        <v>0.2</v>
      </c>
      <c r="K730" s="12">
        <v>0.51</v>
      </c>
      <c r="L730" s="12">
        <v>0.11</v>
      </c>
      <c r="M730" s="8">
        <v>7</v>
      </c>
      <c r="N730">
        <v>8</v>
      </c>
      <c r="O730" s="12">
        <v>10</v>
      </c>
      <c r="BF730" s="9">
        <v>7.29</v>
      </c>
      <c r="BG730" s="9">
        <f t="shared" si="23"/>
        <v>2.7660643420436132E-2</v>
      </c>
      <c r="BH730" s="9">
        <f t="shared" si="22"/>
        <v>3.7399568881050366E-2</v>
      </c>
      <c r="BQ730" s="8">
        <v>5</v>
      </c>
      <c r="BR730" s="8" t="s">
        <v>1520</v>
      </c>
    </row>
    <row r="731" spans="1:70" x14ac:dyDescent="0.3">
      <c r="A731" s="11" t="s">
        <v>1521</v>
      </c>
      <c r="B731" s="12">
        <v>252300</v>
      </c>
      <c r="C731" s="12">
        <v>730300</v>
      </c>
      <c r="D731" s="12">
        <v>0.25</v>
      </c>
      <c r="E731" s="12">
        <v>0.62</v>
      </c>
      <c r="F731" s="12">
        <v>0.12</v>
      </c>
      <c r="G731" s="12">
        <v>0.33</v>
      </c>
      <c r="H731" s="12">
        <v>0.82</v>
      </c>
      <c r="I731" s="12">
        <v>0.16</v>
      </c>
      <c r="J731" s="12">
        <v>0.44</v>
      </c>
      <c r="K731" s="12">
        <v>1.1299999999999999</v>
      </c>
      <c r="L731" s="12">
        <v>0.24</v>
      </c>
      <c r="M731" s="8">
        <v>5</v>
      </c>
      <c r="N731">
        <v>5</v>
      </c>
      <c r="O731" s="12">
        <v>6</v>
      </c>
      <c r="BF731" s="9">
        <v>7.3</v>
      </c>
      <c r="BG731" s="9">
        <f t="shared" si="23"/>
        <v>2.7584912741602553E-2</v>
      </c>
      <c r="BH731" s="9">
        <f t="shared" si="22"/>
        <v>3.7348336594911942E-2</v>
      </c>
      <c r="BQ731" s="8">
        <v>6</v>
      </c>
      <c r="BR731" s="8" t="s">
        <v>1522</v>
      </c>
    </row>
    <row r="732" spans="1:70" x14ac:dyDescent="0.3">
      <c r="A732" s="11" t="s">
        <v>1523</v>
      </c>
      <c r="B732" s="12">
        <v>251200</v>
      </c>
      <c r="C732" s="12">
        <v>789000</v>
      </c>
      <c r="D732" s="12">
        <v>0.24</v>
      </c>
      <c r="E732" s="12">
        <v>0.57999999999999996</v>
      </c>
      <c r="F732" s="12">
        <v>0.11</v>
      </c>
      <c r="G732" s="12">
        <v>0.31</v>
      </c>
      <c r="H732" s="12">
        <v>0.78</v>
      </c>
      <c r="I732" s="12">
        <v>0.16</v>
      </c>
      <c r="J732" s="12">
        <v>0.43</v>
      </c>
      <c r="K732" s="12">
        <v>1.0900000000000001</v>
      </c>
      <c r="L732" s="12">
        <v>0.23</v>
      </c>
      <c r="M732" s="8">
        <v>5</v>
      </c>
      <c r="N732">
        <v>6</v>
      </c>
      <c r="O732" s="12">
        <v>7</v>
      </c>
      <c r="BF732" s="9">
        <v>7.31</v>
      </c>
      <c r="BG732" s="9">
        <f t="shared" si="23"/>
        <v>2.7509492646357051E-2</v>
      </c>
      <c r="BH732" s="9">
        <f t="shared" si="22"/>
        <v>3.7297244479187031E-2</v>
      </c>
      <c r="BQ732" s="8">
        <v>6</v>
      </c>
      <c r="BR732" s="8" t="s">
        <v>1524</v>
      </c>
    </row>
    <row r="733" spans="1:70" x14ac:dyDescent="0.3">
      <c r="A733" s="11" t="s">
        <v>1525</v>
      </c>
      <c r="B733" s="12">
        <v>218300</v>
      </c>
      <c r="C733" s="12">
        <v>734400</v>
      </c>
      <c r="D733" s="12">
        <v>0.15</v>
      </c>
      <c r="E733" s="12">
        <v>0.36</v>
      </c>
      <c r="F733" s="12">
        <v>7.0000000000000007E-2</v>
      </c>
      <c r="G733" s="12">
        <v>0.2</v>
      </c>
      <c r="H733" s="12">
        <v>0.49</v>
      </c>
      <c r="I733" s="12">
        <v>0.1</v>
      </c>
      <c r="J733" s="12">
        <v>0.28000000000000003</v>
      </c>
      <c r="K733" s="12">
        <v>0.71</v>
      </c>
      <c r="L733" s="12">
        <v>0.14000000000000001</v>
      </c>
      <c r="M733" s="8">
        <v>6</v>
      </c>
      <c r="N733">
        <v>7</v>
      </c>
      <c r="O733" s="12">
        <v>8</v>
      </c>
      <c r="BF733" s="9">
        <v>7.32</v>
      </c>
      <c r="BG733" s="9">
        <f t="shared" si="23"/>
        <v>2.7434381438681352E-2</v>
      </c>
      <c r="BH733" s="9">
        <f t="shared" si="22"/>
        <v>3.7246291959406715E-2</v>
      </c>
      <c r="BQ733" s="8">
        <v>5</v>
      </c>
      <c r="BR733" s="8" t="s">
        <v>1526</v>
      </c>
    </row>
    <row r="734" spans="1:70" x14ac:dyDescent="0.3">
      <c r="A734" s="11" t="s">
        <v>1527</v>
      </c>
      <c r="B734" s="12">
        <v>240000</v>
      </c>
      <c r="C734" s="12">
        <v>750000</v>
      </c>
      <c r="D734" s="12">
        <v>0.17</v>
      </c>
      <c r="E734" s="12">
        <v>0.44</v>
      </c>
      <c r="F734" s="12">
        <v>0.09</v>
      </c>
      <c r="G734" s="12">
        <v>0.22</v>
      </c>
      <c r="H734" s="12">
        <v>0.56000000000000005</v>
      </c>
      <c r="I734" s="12">
        <v>0.11</v>
      </c>
      <c r="J734" s="12">
        <v>0.28000000000000003</v>
      </c>
      <c r="K734" s="12">
        <v>0.75</v>
      </c>
      <c r="L734" s="12">
        <v>0.16</v>
      </c>
      <c r="M734" s="8">
        <v>6</v>
      </c>
      <c r="N734">
        <v>7</v>
      </c>
      <c r="O734" s="12">
        <v>8</v>
      </c>
      <c r="BF734" s="9">
        <v>7.33</v>
      </c>
      <c r="BG734" s="9">
        <f t="shared" si="23"/>
        <v>2.7359577434118321E-2</v>
      </c>
      <c r="BH734" s="9">
        <f t="shared" si="22"/>
        <v>3.7195478464236993E-2</v>
      </c>
      <c r="BQ734" s="8">
        <v>5</v>
      </c>
      <c r="BR734" s="8" t="s">
        <v>1528</v>
      </c>
    </row>
    <row r="735" spans="1:70" x14ac:dyDescent="0.3">
      <c r="A735" s="11" t="s">
        <v>1529</v>
      </c>
      <c r="B735" s="12">
        <v>256500</v>
      </c>
      <c r="C735" s="12">
        <v>732200</v>
      </c>
      <c r="D735" s="12">
        <v>0.27</v>
      </c>
      <c r="E735" s="12">
        <v>0.65</v>
      </c>
      <c r="F735" s="12">
        <v>0.12</v>
      </c>
      <c r="G735" s="12">
        <v>0.35</v>
      </c>
      <c r="H735" s="12">
        <v>0.87</v>
      </c>
      <c r="I735" s="12">
        <v>0.17</v>
      </c>
      <c r="J735" s="12">
        <v>0.47</v>
      </c>
      <c r="K735" s="12">
        <v>1.2</v>
      </c>
      <c r="L735" s="12">
        <v>0.25</v>
      </c>
      <c r="M735" s="8">
        <v>5</v>
      </c>
      <c r="N735">
        <v>5</v>
      </c>
      <c r="O735" s="12">
        <v>6</v>
      </c>
      <c r="BF735" s="9">
        <v>7.34</v>
      </c>
      <c r="BG735" s="9">
        <f t="shared" si="23"/>
        <v>2.7285078959677481E-2</v>
      </c>
      <c r="BH735" s="9">
        <f t="shared" si="22"/>
        <v>3.7144803425457382E-2</v>
      </c>
      <c r="BQ735" s="8">
        <v>8</v>
      </c>
      <c r="BR735" s="8" t="s">
        <v>1530</v>
      </c>
    </row>
    <row r="736" spans="1:70" x14ac:dyDescent="0.3">
      <c r="A736" s="11" t="s">
        <v>1531</v>
      </c>
      <c r="B736" s="12">
        <v>244800</v>
      </c>
      <c r="C736" s="12">
        <v>711300</v>
      </c>
      <c r="D736" s="12">
        <v>0.22</v>
      </c>
      <c r="E736" s="12">
        <v>0.54</v>
      </c>
      <c r="F736" s="12">
        <v>0.1</v>
      </c>
      <c r="G736" s="12">
        <v>0.28000000000000003</v>
      </c>
      <c r="H736" s="12">
        <v>0.72</v>
      </c>
      <c r="I736" s="12">
        <v>0.14000000000000001</v>
      </c>
      <c r="J736" s="12">
        <v>0.37</v>
      </c>
      <c r="K736" s="12">
        <v>0.98</v>
      </c>
      <c r="L736" s="12">
        <v>0.2</v>
      </c>
      <c r="M736" s="8">
        <v>5</v>
      </c>
      <c r="N736">
        <v>6</v>
      </c>
      <c r="O736" s="12">
        <v>7</v>
      </c>
      <c r="BF736" s="9">
        <v>7.35</v>
      </c>
      <c r="BG736" s="9">
        <f t="shared" si="23"/>
        <v>2.7210884353741499E-2</v>
      </c>
      <c r="BH736" s="9">
        <f t="shared" si="22"/>
        <v>3.7094266277939755E-2</v>
      </c>
      <c r="BQ736" s="8">
        <v>8</v>
      </c>
      <c r="BR736" s="8" t="s">
        <v>1532</v>
      </c>
    </row>
    <row r="737" spans="1:70" x14ac:dyDescent="0.3">
      <c r="A737" s="11" t="s">
        <v>1533</v>
      </c>
      <c r="B737" s="12">
        <v>201300</v>
      </c>
      <c r="C737" s="12">
        <v>634500</v>
      </c>
      <c r="D737" s="12">
        <v>7.0000000000000007E-2</v>
      </c>
      <c r="E737" s="12">
        <v>0.17</v>
      </c>
      <c r="F737" s="12">
        <v>0.05</v>
      </c>
      <c r="G737" s="12">
        <v>0.09</v>
      </c>
      <c r="H737" s="12">
        <v>0.21</v>
      </c>
      <c r="I737" s="12">
        <v>0.06</v>
      </c>
      <c r="J737" s="12">
        <v>0.11</v>
      </c>
      <c r="K737" s="12">
        <v>0.28000000000000003</v>
      </c>
      <c r="L737" s="12">
        <v>0.08</v>
      </c>
      <c r="M737" s="8">
        <v>8</v>
      </c>
      <c r="N737">
        <v>9</v>
      </c>
      <c r="O737" s="12">
        <v>11</v>
      </c>
      <c r="BF737" s="9">
        <v>7.36</v>
      </c>
      <c r="BG737" s="9">
        <f t="shared" si="23"/>
        <v>2.7136991965973533E-2</v>
      </c>
      <c r="BH737" s="9">
        <f t="shared" si="22"/>
        <v>3.7043866459627331E-2</v>
      </c>
      <c r="BQ737" s="8">
        <v>5</v>
      </c>
      <c r="BR737" s="8" t="s">
        <v>1534</v>
      </c>
    </row>
    <row r="738" spans="1:70" x14ac:dyDescent="0.3">
      <c r="A738" s="11" t="s">
        <v>1535</v>
      </c>
      <c r="B738" s="12">
        <v>160800</v>
      </c>
      <c r="C738" s="12">
        <v>581700</v>
      </c>
      <c r="D738" s="12">
        <v>0.05</v>
      </c>
      <c r="E738" s="12">
        <v>0.11</v>
      </c>
      <c r="F738" s="12">
        <v>0.03</v>
      </c>
      <c r="G738" s="12">
        <v>0.06</v>
      </c>
      <c r="H738" s="12">
        <v>0.14000000000000001</v>
      </c>
      <c r="I738" s="12">
        <v>0.04</v>
      </c>
      <c r="J738" s="12">
        <v>7.0000000000000007E-2</v>
      </c>
      <c r="K738" s="12">
        <v>0.18</v>
      </c>
      <c r="L738" s="12">
        <v>0.06</v>
      </c>
      <c r="M738" s="8">
        <v>8</v>
      </c>
      <c r="N738">
        <v>10</v>
      </c>
      <c r="O738" s="12">
        <v>13</v>
      </c>
      <c r="BF738" s="9">
        <v>7.37</v>
      </c>
      <c r="BG738" s="9">
        <f t="shared" si="23"/>
        <v>2.7063400157225467E-2</v>
      </c>
      <c r="BH738" s="9">
        <f t="shared" si="22"/>
        <v>3.6993603411513865E-2</v>
      </c>
      <c r="BQ738" s="8">
        <v>8</v>
      </c>
      <c r="BR738" s="8" t="s">
        <v>1536</v>
      </c>
    </row>
    <row r="739" spans="1:70" x14ac:dyDescent="0.3">
      <c r="A739" s="11" t="s">
        <v>1537</v>
      </c>
      <c r="B739" s="12">
        <v>271000</v>
      </c>
      <c r="C739" s="12">
        <v>793200</v>
      </c>
      <c r="D739" s="12">
        <v>0.21</v>
      </c>
      <c r="E739" s="12">
        <v>0.52</v>
      </c>
      <c r="F739" s="12">
        <v>0.1</v>
      </c>
      <c r="G739" s="12">
        <v>0.27</v>
      </c>
      <c r="H739" s="12">
        <v>0.69</v>
      </c>
      <c r="I739" s="12">
        <v>0.14000000000000001</v>
      </c>
      <c r="J739" s="12">
        <v>0.37</v>
      </c>
      <c r="K739" s="12">
        <v>0.95</v>
      </c>
      <c r="L739" s="12">
        <v>0.2</v>
      </c>
      <c r="M739" s="8">
        <v>5</v>
      </c>
      <c r="N739">
        <v>6</v>
      </c>
      <c r="O739" s="12">
        <v>8</v>
      </c>
      <c r="BF739" s="9">
        <v>7.38</v>
      </c>
      <c r="BG739" s="9">
        <f t="shared" si="23"/>
        <v>2.699010729944698E-2</v>
      </c>
      <c r="BH739" s="9">
        <f t="shared" si="22"/>
        <v>3.6943476577622925E-2</v>
      </c>
      <c r="BQ739" s="8">
        <v>8</v>
      </c>
      <c r="BR739" s="8" t="s">
        <v>1538</v>
      </c>
    </row>
    <row r="740" spans="1:70" x14ac:dyDescent="0.3">
      <c r="A740" s="11" t="s">
        <v>1539</v>
      </c>
      <c r="B740" s="12">
        <v>182300</v>
      </c>
      <c r="C740" s="12">
        <v>567300</v>
      </c>
      <c r="D740" s="12">
        <v>0.06</v>
      </c>
      <c r="E740" s="12">
        <v>0.14000000000000001</v>
      </c>
      <c r="F740" s="12">
        <v>0.04</v>
      </c>
      <c r="G740" s="12">
        <v>7.0000000000000007E-2</v>
      </c>
      <c r="H740" s="12">
        <v>0.17</v>
      </c>
      <c r="I740" s="12">
        <v>0.05</v>
      </c>
      <c r="J740" s="12">
        <v>0.09</v>
      </c>
      <c r="K740" s="12">
        <v>0.23</v>
      </c>
      <c r="L740" s="12">
        <v>7.0000000000000007E-2</v>
      </c>
      <c r="M740" s="8">
        <v>8</v>
      </c>
      <c r="N740">
        <v>10</v>
      </c>
      <c r="O740" s="12">
        <v>12</v>
      </c>
      <c r="BF740" s="9">
        <v>7.39</v>
      </c>
      <c r="BG740" s="9">
        <f t="shared" si="23"/>
        <v>2.6917111775595519E-2</v>
      </c>
      <c r="BH740" s="9">
        <f t="shared" si="22"/>
        <v>3.6893485404987443E-2</v>
      </c>
      <c r="BQ740" s="8">
        <v>8</v>
      </c>
      <c r="BR740" s="8" t="s">
        <v>1540</v>
      </c>
    </row>
    <row r="741" spans="1:70" x14ac:dyDescent="0.3">
      <c r="A741" s="11" t="s">
        <v>1541</v>
      </c>
      <c r="B741" s="12">
        <v>191300</v>
      </c>
      <c r="C741" s="12">
        <v>696700</v>
      </c>
      <c r="D741" s="12">
        <v>7.0000000000000007E-2</v>
      </c>
      <c r="E741" s="12">
        <v>0.17</v>
      </c>
      <c r="F741" s="12">
        <v>0.05</v>
      </c>
      <c r="G741" s="12">
        <v>0.09</v>
      </c>
      <c r="H741" s="12">
        <v>0.22</v>
      </c>
      <c r="I741" s="12">
        <v>0.06</v>
      </c>
      <c r="J741" s="12">
        <v>0.11</v>
      </c>
      <c r="K741" s="12">
        <v>0.28999999999999998</v>
      </c>
      <c r="L741" s="12">
        <v>0.08</v>
      </c>
      <c r="M741" s="8">
        <v>8</v>
      </c>
      <c r="N741">
        <v>9</v>
      </c>
      <c r="O741" s="12">
        <v>12</v>
      </c>
      <c r="BF741" s="9">
        <v>7.4</v>
      </c>
      <c r="BG741" s="9">
        <f t="shared" si="23"/>
        <v>2.6844411979547112E-2</v>
      </c>
      <c r="BH741" s="9">
        <f t="shared" si="22"/>
        <v>3.684362934362935E-2</v>
      </c>
      <c r="BQ741" s="8">
        <v>5</v>
      </c>
      <c r="BR741" s="8" t="s">
        <v>1542</v>
      </c>
    </row>
    <row r="742" spans="1:70" x14ac:dyDescent="0.3">
      <c r="A742" s="11" t="s">
        <v>1543</v>
      </c>
      <c r="B742" s="12">
        <v>161700</v>
      </c>
      <c r="C742" s="12">
        <v>589800</v>
      </c>
      <c r="D742" s="12">
        <v>0.05</v>
      </c>
      <c r="E742" s="12">
        <v>0.12</v>
      </c>
      <c r="F742" s="12">
        <v>0.04</v>
      </c>
      <c r="G742" s="12">
        <v>0.06</v>
      </c>
      <c r="H742" s="12">
        <v>0.15</v>
      </c>
      <c r="I742" s="12">
        <v>0.05</v>
      </c>
      <c r="J742" s="12">
        <v>0.08</v>
      </c>
      <c r="K742" s="12">
        <v>0.2</v>
      </c>
      <c r="L742" s="12">
        <v>0.06</v>
      </c>
      <c r="M742" s="8">
        <v>8</v>
      </c>
      <c r="N742">
        <v>10</v>
      </c>
      <c r="O742" s="12">
        <v>13</v>
      </c>
      <c r="BF742" s="9">
        <v>7.41</v>
      </c>
      <c r="BG742" s="9">
        <f t="shared" si="23"/>
        <v>2.6772006316008019E-2</v>
      </c>
      <c r="BH742" s="9">
        <f t="shared" si="22"/>
        <v>3.679390784653943E-2</v>
      </c>
      <c r="BQ742" s="8">
        <v>7</v>
      </c>
      <c r="BR742" s="8" t="s">
        <v>1544</v>
      </c>
    </row>
    <row r="743" spans="1:70" x14ac:dyDescent="0.3">
      <c r="A743" s="11" t="s">
        <v>1545</v>
      </c>
      <c r="B743" s="12">
        <v>256600</v>
      </c>
      <c r="C743" s="12">
        <v>734700</v>
      </c>
      <c r="D743" s="12">
        <v>0.27</v>
      </c>
      <c r="E743" s="12">
        <v>0.66</v>
      </c>
      <c r="F743" s="12">
        <v>0.12</v>
      </c>
      <c r="G743" s="12">
        <v>0.35</v>
      </c>
      <c r="H743" s="12">
        <v>0.88</v>
      </c>
      <c r="I743" s="12">
        <v>0.17</v>
      </c>
      <c r="J743" s="12">
        <v>0.48</v>
      </c>
      <c r="K743" s="12">
        <v>1.21</v>
      </c>
      <c r="L743" s="12">
        <v>0.26</v>
      </c>
      <c r="M743" s="8">
        <v>5</v>
      </c>
      <c r="N743">
        <v>5</v>
      </c>
      <c r="O743" s="12">
        <v>6</v>
      </c>
      <c r="BF743" s="9">
        <v>7.42</v>
      </c>
      <c r="BG743" s="9">
        <f t="shared" si="23"/>
        <v>2.6699893200427198E-2</v>
      </c>
      <c r="BH743" s="9">
        <f t="shared" si="22"/>
        <v>3.6744320369657302E-2</v>
      </c>
      <c r="BQ743" s="8">
        <v>5</v>
      </c>
      <c r="BR743" s="8" t="s">
        <v>1546</v>
      </c>
    </row>
    <row r="744" spans="1:70" x14ac:dyDescent="0.3">
      <c r="A744" s="11" t="s">
        <v>1547</v>
      </c>
      <c r="B744" s="12">
        <v>192400</v>
      </c>
      <c r="C744" s="12">
        <v>717800</v>
      </c>
      <c r="D744" s="12">
        <v>0.08</v>
      </c>
      <c r="E744" s="12">
        <v>0.2</v>
      </c>
      <c r="F744" s="12">
        <v>0.05</v>
      </c>
      <c r="G744" s="12">
        <v>0.1</v>
      </c>
      <c r="H744" s="12">
        <v>0.26</v>
      </c>
      <c r="I744" s="12">
        <v>7.0000000000000007E-2</v>
      </c>
      <c r="J744" s="12">
        <v>0.14000000000000001</v>
      </c>
      <c r="K744" s="12">
        <v>0.36</v>
      </c>
      <c r="L744" s="12">
        <v>0.09</v>
      </c>
      <c r="M744" s="8">
        <v>7</v>
      </c>
      <c r="N744">
        <v>9</v>
      </c>
      <c r="O744" s="12">
        <v>11</v>
      </c>
      <c r="BF744" s="9">
        <v>7.43</v>
      </c>
      <c r="BG744" s="9">
        <f t="shared" si="23"/>
        <v>2.6628071058909627E-2</v>
      </c>
      <c r="BH744" s="9">
        <f t="shared" si="22"/>
        <v>3.6694866371851577E-2</v>
      </c>
      <c r="BQ744" s="8">
        <v>6</v>
      </c>
      <c r="BR744" s="8" t="s">
        <v>1548</v>
      </c>
    </row>
    <row r="745" spans="1:70" x14ac:dyDescent="0.3">
      <c r="A745" s="11" t="s">
        <v>1549</v>
      </c>
      <c r="B745" s="12">
        <v>251900</v>
      </c>
      <c r="C745" s="12">
        <v>711100</v>
      </c>
      <c r="D745" s="12">
        <v>0.25</v>
      </c>
      <c r="E745" s="12">
        <v>0.62</v>
      </c>
      <c r="F745" s="12">
        <v>0.12</v>
      </c>
      <c r="G745" s="12">
        <v>0.33</v>
      </c>
      <c r="H745" s="12">
        <v>0.83</v>
      </c>
      <c r="I745" s="12">
        <v>0.16</v>
      </c>
      <c r="J745" s="12">
        <v>0.45</v>
      </c>
      <c r="K745" s="12">
        <v>1.1399999999999999</v>
      </c>
      <c r="L745" s="12">
        <v>0.24</v>
      </c>
      <c r="M745" s="8">
        <v>5</v>
      </c>
      <c r="N745">
        <v>5</v>
      </c>
      <c r="O745" s="12">
        <v>6</v>
      </c>
      <c r="BF745" s="9">
        <v>7.44</v>
      </c>
      <c r="BG745" s="9">
        <f t="shared" si="23"/>
        <v>2.6556538328130416E-2</v>
      </c>
      <c r="BH745" s="9">
        <f t="shared" si="22"/>
        <v>3.6645545314900156E-2</v>
      </c>
      <c r="BQ745" s="8">
        <v>7</v>
      </c>
      <c r="BR745" s="8" t="s">
        <v>1550</v>
      </c>
    </row>
    <row r="746" spans="1:70" x14ac:dyDescent="0.3">
      <c r="A746" s="11" t="s">
        <v>1551</v>
      </c>
      <c r="B746" s="12">
        <v>215700</v>
      </c>
      <c r="C746" s="12">
        <v>591300</v>
      </c>
      <c r="D746" s="12">
        <v>0.1</v>
      </c>
      <c r="E746" s="12">
        <v>0.26</v>
      </c>
      <c r="F746" s="12">
        <v>0.06</v>
      </c>
      <c r="G746" s="12">
        <v>0.13</v>
      </c>
      <c r="H746" s="12">
        <v>0.33</v>
      </c>
      <c r="I746" s="12">
        <v>7.0000000000000007E-2</v>
      </c>
      <c r="J746" s="12">
        <v>0.17</v>
      </c>
      <c r="K746" s="12">
        <v>0.45</v>
      </c>
      <c r="L746" s="12">
        <v>0.1</v>
      </c>
      <c r="M746" s="8">
        <v>6</v>
      </c>
      <c r="N746">
        <v>8</v>
      </c>
      <c r="O746" s="12">
        <v>9</v>
      </c>
      <c r="BF746" s="9">
        <v>7.45</v>
      </c>
      <c r="BG746" s="9">
        <f t="shared" si="23"/>
        <v>2.6485293455249762E-2</v>
      </c>
      <c r="BH746" s="9">
        <f t="shared" si="22"/>
        <v>3.6596356663470761E-2</v>
      </c>
      <c r="BQ746" s="8">
        <v>5</v>
      </c>
      <c r="BR746" s="8" t="s">
        <v>1552</v>
      </c>
    </row>
    <row r="747" spans="1:70" x14ac:dyDescent="0.3">
      <c r="A747" s="11" t="s">
        <v>1553</v>
      </c>
      <c r="B747" s="12">
        <v>225000</v>
      </c>
      <c r="C747" s="12">
        <v>769000</v>
      </c>
      <c r="D747" s="12">
        <v>0.13</v>
      </c>
      <c r="E747" s="12">
        <v>0.32</v>
      </c>
      <c r="F747" s="12">
        <v>7.0000000000000007E-2</v>
      </c>
      <c r="G747" s="12">
        <v>0.16</v>
      </c>
      <c r="H747" s="12">
        <v>0.4</v>
      </c>
      <c r="I747" s="12">
        <v>0.09</v>
      </c>
      <c r="J747" s="12">
        <v>0.21</v>
      </c>
      <c r="K747" s="12">
        <v>0.53</v>
      </c>
      <c r="L747" s="12">
        <v>0.12</v>
      </c>
      <c r="M747" s="8">
        <v>7</v>
      </c>
      <c r="N747">
        <v>8</v>
      </c>
      <c r="O747" s="12">
        <v>10</v>
      </c>
      <c r="BF747" s="9">
        <v>7.46</v>
      </c>
      <c r="BG747" s="9">
        <f t="shared" si="23"/>
        <v>2.6414334897828632E-2</v>
      </c>
      <c r="BH747" s="9">
        <f t="shared" si="22"/>
        <v>3.6547299885101497E-2</v>
      </c>
      <c r="BQ747" s="8">
        <v>7</v>
      </c>
      <c r="BR747" s="8" t="s">
        <v>1554</v>
      </c>
    </row>
    <row r="748" spans="1:70" x14ac:dyDescent="0.3">
      <c r="A748" s="11" t="s">
        <v>1555</v>
      </c>
      <c r="B748" s="12">
        <v>257200</v>
      </c>
      <c r="C748" s="12">
        <v>794000</v>
      </c>
      <c r="D748" s="12">
        <v>0.25</v>
      </c>
      <c r="E748" s="12">
        <v>0.62</v>
      </c>
      <c r="F748" s="12">
        <v>0.12</v>
      </c>
      <c r="G748" s="12">
        <v>0.33</v>
      </c>
      <c r="H748" s="12">
        <v>0.83</v>
      </c>
      <c r="I748" s="12">
        <v>0.16</v>
      </c>
      <c r="J748" s="12">
        <v>0.45</v>
      </c>
      <c r="K748" s="12">
        <v>1.1399999999999999</v>
      </c>
      <c r="L748" s="12">
        <v>0.24</v>
      </c>
      <c r="M748" s="8">
        <v>5</v>
      </c>
      <c r="N748">
        <v>6</v>
      </c>
      <c r="O748" s="12">
        <v>7</v>
      </c>
      <c r="BF748" s="9">
        <v>7.47</v>
      </c>
      <c r="BG748" s="9">
        <f t="shared" si="23"/>
        <v>2.6343661123745317E-2</v>
      </c>
      <c r="BH748" s="9">
        <f t="shared" si="22"/>
        <v>3.6498374450181684E-2</v>
      </c>
      <c r="BQ748" s="8">
        <v>7</v>
      </c>
      <c r="BR748" s="8" t="s">
        <v>1556</v>
      </c>
    </row>
    <row r="749" spans="1:70" x14ac:dyDescent="0.3">
      <c r="A749" s="11" t="s">
        <v>1557</v>
      </c>
      <c r="B749" s="12">
        <v>194700</v>
      </c>
      <c r="C749" s="12">
        <v>719400</v>
      </c>
      <c r="D749" s="12">
        <v>0.09</v>
      </c>
      <c r="E749" s="12">
        <v>0.21</v>
      </c>
      <c r="F749" s="12">
        <v>0.05</v>
      </c>
      <c r="G749" s="12">
        <v>0.11</v>
      </c>
      <c r="H749" s="12">
        <v>0.28000000000000003</v>
      </c>
      <c r="I749" s="12">
        <v>7.0000000000000007E-2</v>
      </c>
      <c r="J749" s="12">
        <v>0.15</v>
      </c>
      <c r="K749" s="12">
        <v>0.38</v>
      </c>
      <c r="L749" s="12">
        <v>0.09</v>
      </c>
      <c r="M749" s="8">
        <v>7</v>
      </c>
      <c r="N749">
        <v>9</v>
      </c>
      <c r="O749" s="12">
        <v>11</v>
      </c>
      <c r="BF749" s="9">
        <v>7.48</v>
      </c>
      <c r="BG749" s="9">
        <f t="shared" si="23"/>
        <v>2.6273270611112697E-2</v>
      </c>
      <c r="BH749" s="9">
        <f t="shared" si="22"/>
        <v>3.6449579831932775E-2</v>
      </c>
      <c r="BQ749" s="8">
        <v>6</v>
      </c>
      <c r="BR749" s="8" t="s">
        <v>1558</v>
      </c>
    </row>
    <row r="750" spans="1:70" x14ac:dyDescent="0.3">
      <c r="A750" s="11" t="s">
        <v>1559</v>
      </c>
      <c r="B750" s="12">
        <v>224600</v>
      </c>
      <c r="C750" s="12">
        <v>770000</v>
      </c>
      <c r="D750" s="12">
        <v>0.13</v>
      </c>
      <c r="E750" s="12">
        <v>0.32</v>
      </c>
      <c r="F750" s="12">
        <v>7.0000000000000007E-2</v>
      </c>
      <c r="G750" s="12">
        <v>0.16</v>
      </c>
      <c r="H750" s="12">
        <v>0.4</v>
      </c>
      <c r="I750" s="12">
        <v>0.09</v>
      </c>
      <c r="J750" s="12">
        <v>0.2</v>
      </c>
      <c r="K750" s="12">
        <v>0.53</v>
      </c>
      <c r="L750" s="12">
        <v>0.12</v>
      </c>
      <c r="M750" s="8">
        <v>7</v>
      </c>
      <c r="N750">
        <v>8</v>
      </c>
      <c r="O750" s="12">
        <v>10</v>
      </c>
      <c r="BF750" s="9">
        <v>7.49</v>
      </c>
      <c r="BG750" s="9">
        <f t="shared" si="23"/>
        <v>2.6203161848196346E-2</v>
      </c>
      <c r="BH750" s="9">
        <f t="shared" si="22"/>
        <v>3.6400915506389478E-2</v>
      </c>
      <c r="BQ750" s="8">
        <v>5</v>
      </c>
      <c r="BR750" s="8" t="s">
        <v>1560</v>
      </c>
    </row>
    <row r="751" spans="1:70" x14ac:dyDescent="0.3">
      <c r="A751" s="11" t="s">
        <v>1561</v>
      </c>
      <c r="B751" s="12">
        <v>228400</v>
      </c>
      <c r="C751" s="12">
        <v>631800</v>
      </c>
      <c r="D751" s="12">
        <v>0.12</v>
      </c>
      <c r="E751" s="12">
        <v>0.31</v>
      </c>
      <c r="F751" s="12">
        <v>7.0000000000000007E-2</v>
      </c>
      <c r="G751" s="12">
        <v>0.16</v>
      </c>
      <c r="H751" s="12">
        <v>0.41</v>
      </c>
      <c r="I751" s="12">
        <v>0.09</v>
      </c>
      <c r="J751" s="12">
        <v>0.21</v>
      </c>
      <c r="K751" s="12">
        <v>0.55000000000000004</v>
      </c>
      <c r="L751" s="12">
        <v>0.13</v>
      </c>
      <c r="M751" s="8">
        <v>6</v>
      </c>
      <c r="N751">
        <v>7</v>
      </c>
      <c r="O751" s="12">
        <v>9</v>
      </c>
      <c r="BF751" s="9">
        <v>7.5</v>
      </c>
      <c r="BG751" s="9">
        <f t="shared" si="23"/>
        <v>2.6133333333333331E-2</v>
      </c>
      <c r="BH751" s="9">
        <f t="shared" si="22"/>
        <v>3.6352380952380955E-2</v>
      </c>
      <c r="BQ751" s="8">
        <v>5</v>
      </c>
      <c r="BR751" s="8" t="s">
        <v>1562</v>
      </c>
    </row>
    <row r="752" spans="1:70" x14ac:dyDescent="0.3">
      <c r="A752" s="11" t="s">
        <v>1563</v>
      </c>
      <c r="B752" s="12">
        <v>238300</v>
      </c>
      <c r="C752" s="12">
        <v>664300</v>
      </c>
      <c r="D752" s="12">
        <v>0.2</v>
      </c>
      <c r="E752" s="12">
        <v>0.51</v>
      </c>
      <c r="F752" s="12">
        <v>0.1</v>
      </c>
      <c r="G752" s="12">
        <v>0.26</v>
      </c>
      <c r="H752" s="12">
        <v>0.67</v>
      </c>
      <c r="I752" s="12">
        <v>0.13</v>
      </c>
      <c r="J752" s="12">
        <v>0.36</v>
      </c>
      <c r="K752" s="12">
        <v>0.92</v>
      </c>
      <c r="L752" s="12">
        <v>0.19</v>
      </c>
      <c r="M752" s="8">
        <v>5</v>
      </c>
      <c r="N752">
        <v>6</v>
      </c>
      <c r="O752" s="12">
        <v>7</v>
      </c>
      <c r="BF752" s="9">
        <v>7.51</v>
      </c>
      <c r="BG752" s="9">
        <f t="shared" si="23"/>
        <v>2.6063783574851819E-2</v>
      </c>
      <c r="BH752" s="9">
        <f t="shared" si="22"/>
        <v>3.6303975651512277E-2</v>
      </c>
      <c r="BQ752" s="8">
        <v>5</v>
      </c>
      <c r="BR752" s="8" t="s">
        <v>1564</v>
      </c>
    </row>
    <row r="753" spans="1:70" x14ac:dyDescent="0.3">
      <c r="A753" s="11" t="s">
        <v>1565</v>
      </c>
      <c r="B753" s="12">
        <v>239600</v>
      </c>
      <c r="C753" s="12">
        <v>709400</v>
      </c>
      <c r="D753" s="12">
        <v>0.19</v>
      </c>
      <c r="E753" s="12">
        <v>0.49</v>
      </c>
      <c r="F753" s="12">
        <v>0.09</v>
      </c>
      <c r="G753" s="12">
        <v>0.25</v>
      </c>
      <c r="H753" s="12">
        <v>0.64</v>
      </c>
      <c r="I753" s="12">
        <v>0.13</v>
      </c>
      <c r="J753" s="12">
        <v>0.34</v>
      </c>
      <c r="K753" s="12">
        <v>0.88</v>
      </c>
      <c r="L753" s="12">
        <v>0.18</v>
      </c>
      <c r="M753" s="8">
        <v>5</v>
      </c>
      <c r="N753">
        <v>6</v>
      </c>
      <c r="O753" s="12">
        <v>7</v>
      </c>
      <c r="BF753" s="9">
        <v>7.52</v>
      </c>
      <c r="BG753" s="9">
        <f t="shared" si="23"/>
        <v>2.59945110909914E-2</v>
      </c>
      <c r="BH753" s="9">
        <f t="shared" si="22"/>
        <v>3.6255699088145903E-2</v>
      </c>
      <c r="BQ753" s="8">
        <v>7</v>
      </c>
      <c r="BR753" s="8" t="s">
        <v>1566</v>
      </c>
    </row>
    <row r="754" spans="1:70" x14ac:dyDescent="0.3">
      <c r="A754" s="11" t="s">
        <v>1567</v>
      </c>
      <c r="B754" s="12">
        <v>264500</v>
      </c>
      <c r="C754" s="12">
        <v>755000</v>
      </c>
      <c r="D754" s="12">
        <v>0.26</v>
      </c>
      <c r="E754" s="12">
        <v>0.64</v>
      </c>
      <c r="F754" s="12">
        <v>0.12</v>
      </c>
      <c r="G754" s="12">
        <v>0.34</v>
      </c>
      <c r="H754" s="12">
        <v>0.85</v>
      </c>
      <c r="I754" s="12">
        <v>0.17</v>
      </c>
      <c r="J754" s="12">
        <v>0.45</v>
      </c>
      <c r="K754" s="12">
        <v>1.1599999999999999</v>
      </c>
      <c r="L754" s="12">
        <v>0.24</v>
      </c>
      <c r="M754" s="8">
        <v>5</v>
      </c>
      <c r="N754">
        <v>6</v>
      </c>
      <c r="O754" s="12">
        <v>6</v>
      </c>
      <c r="BF754" s="9">
        <v>7.53</v>
      </c>
      <c r="BG754" s="9">
        <f t="shared" si="23"/>
        <v>2.5925514409824182E-2</v>
      </c>
      <c r="BH754" s="9">
        <f t="shared" si="22"/>
        <v>3.6207550749383421E-2</v>
      </c>
      <c r="BQ754" s="8">
        <v>6</v>
      </c>
      <c r="BR754" s="8" t="s">
        <v>1568</v>
      </c>
    </row>
    <row r="755" spans="1:70" x14ac:dyDescent="0.3">
      <c r="A755" s="11" t="s">
        <v>1569</v>
      </c>
      <c r="B755" s="12">
        <v>210600</v>
      </c>
      <c r="C755" s="12">
        <v>636100</v>
      </c>
      <c r="D755" s="12">
        <v>0.08</v>
      </c>
      <c r="E755" s="12">
        <v>0.2</v>
      </c>
      <c r="F755" s="12">
        <v>0.05</v>
      </c>
      <c r="G755" s="12">
        <v>0.1</v>
      </c>
      <c r="H755" s="12">
        <v>0.25</v>
      </c>
      <c r="I755" s="12">
        <v>7.0000000000000007E-2</v>
      </c>
      <c r="J755" s="12">
        <v>0.13</v>
      </c>
      <c r="K755" s="12">
        <v>0.33</v>
      </c>
      <c r="L755" s="12">
        <v>0.09</v>
      </c>
      <c r="M755" s="8">
        <v>7</v>
      </c>
      <c r="N755">
        <v>9</v>
      </c>
      <c r="O755" s="12">
        <v>11</v>
      </c>
      <c r="BF755" s="9">
        <v>7.54</v>
      </c>
      <c r="BG755" s="9">
        <f t="shared" si="23"/>
        <v>2.5856792069176595E-2</v>
      </c>
      <c r="BH755" s="9">
        <f t="shared" si="22"/>
        <v>3.6159530125047371E-2</v>
      </c>
      <c r="BQ755" s="8">
        <v>6</v>
      </c>
      <c r="BR755" s="8" t="s">
        <v>1570</v>
      </c>
    </row>
    <row r="756" spans="1:70" x14ac:dyDescent="0.3">
      <c r="A756" s="11" t="s">
        <v>1571</v>
      </c>
      <c r="B756" s="12">
        <v>222800</v>
      </c>
      <c r="C756" s="12">
        <v>662400</v>
      </c>
      <c r="D756" s="12">
        <v>0.12</v>
      </c>
      <c r="E756" s="12">
        <v>0.3</v>
      </c>
      <c r="F756" s="12">
        <v>7.0000000000000007E-2</v>
      </c>
      <c r="G756" s="12">
        <v>0.15</v>
      </c>
      <c r="H756" s="12">
        <v>0.39</v>
      </c>
      <c r="I756" s="12">
        <v>0.09</v>
      </c>
      <c r="J756" s="12">
        <v>0.2</v>
      </c>
      <c r="K756" s="12">
        <v>0.53</v>
      </c>
      <c r="L756" s="12">
        <v>0.12</v>
      </c>
      <c r="M756" s="8">
        <v>6</v>
      </c>
      <c r="N756">
        <v>7</v>
      </c>
      <c r="O756" s="12">
        <v>9</v>
      </c>
      <c r="BF756" s="9">
        <v>7.55</v>
      </c>
      <c r="BG756" s="9">
        <f t="shared" si="23"/>
        <v>2.5788342616551906E-2</v>
      </c>
      <c r="BH756" s="9">
        <f t="shared" si="22"/>
        <v>3.6111636707663201E-2</v>
      </c>
      <c r="BQ756" s="8">
        <v>6</v>
      </c>
      <c r="BR756" s="8" t="s">
        <v>1572</v>
      </c>
    </row>
    <row r="757" spans="1:70" x14ac:dyDescent="0.3">
      <c r="A757" s="11" t="s">
        <v>1573</v>
      </c>
      <c r="B757" s="12">
        <v>229200</v>
      </c>
      <c r="C757" s="12">
        <v>642800</v>
      </c>
      <c r="D757" s="12">
        <v>0.14000000000000001</v>
      </c>
      <c r="E757" s="12">
        <v>0.34</v>
      </c>
      <c r="F757" s="12">
        <v>7.0000000000000007E-2</v>
      </c>
      <c r="G757" s="12">
        <v>0.17</v>
      </c>
      <c r="H757" s="12">
        <v>0.44</v>
      </c>
      <c r="I757" s="12">
        <v>0.1</v>
      </c>
      <c r="J757" s="12">
        <v>0.23</v>
      </c>
      <c r="K757" s="12">
        <v>0.6</v>
      </c>
      <c r="L757" s="12">
        <v>0.13</v>
      </c>
      <c r="M757" s="8">
        <v>6</v>
      </c>
      <c r="N757">
        <v>7</v>
      </c>
      <c r="O757" s="12">
        <v>8</v>
      </c>
      <c r="BF757" s="9">
        <v>7.56</v>
      </c>
      <c r="BG757" s="9">
        <f t="shared" si="23"/>
        <v>2.5720164609053499E-2</v>
      </c>
      <c r="BH757" s="9">
        <f t="shared" si="22"/>
        <v>3.6063869992441426E-2</v>
      </c>
      <c r="BQ757" s="8">
        <v>6</v>
      </c>
      <c r="BR757" s="8" t="s">
        <v>1574</v>
      </c>
    </row>
    <row r="758" spans="1:70" x14ac:dyDescent="0.3">
      <c r="A758" s="11" t="s">
        <v>1575</v>
      </c>
      <c r="B758" s="12">
        <v>217000</v>
      </c>
      <c r="C758" s="12">
        <v>717000</v>
      </c>
      <c r="D758" s="12">
        <v>0.13</v>
      </c>
      <c r="E758" s="12">
        <v>0.33</v>
      </c>
      <c r="F758" s="12">
        <v>7.0000000000000007E-2</v>
      </c>
      <c r="G758" s="12">
        <v>0.18</v>
      </c>
      <c r="H758" s="12">
        <v>0.46</v>
      </c>
      <c r="I758" s="12">
        <v>0.09</v>
      </c>
      <c r="J758" s="12">
        <v>0.26</v>
      </c>
      <c r="K758" s="12">
        <v>0.66</v>
      </c>
      <c r="L758" s="12">
        <v>0.13</v>
      </c>
      <c r="M758" s="8">
        <v>6</v>
      </c>
      <c r="N758">
        <v>7</v>
      </c>
      <c r="O758" s="12">
        <v>8</v>
      </c>
      <c r="BF758" s="9">
        <v>7.57</v>
      </c>
      <c r="BG758" s="9">
        <f t="shared" si="23"/>
        <v>2.5652256613308808E-2</v>
      </c>
      <c r="BH758" s="9">
        <f t="shared" si="22"/>
        <v>3.6016229477259867E-2</v>
      </c>
      <c r="BQ758" s="8">
        <v>7</v>
      </c>
      <c r="BR758" s="8" t="s">
        <v>1576</v>
      </c>
    </row>
    <row r="759" spans="1:70" x14ac:dyDescent="0.3">
      <c r="A759" s="11" t="s">
        <v>1577</v>
      </c>
      <c r="B759" s="12">
        <v>221700</v>
      </c>
      <c r="C759" s="12">
        <v>611600</v>
      </c>
      <c r="D759" s="12">
        <v>0.11</v>
      </c>
      <c r="E759" s="12">
        <v>0.26</v>
      </c>
      <c r="F759" s="12">
        <v>0.06</v>
      </c>
      <c r="G759" s="12">
        <v>0.13</v>
      </c>
      <c r="H759" s="12">
        <v>0.34</v>
      </c>
      <c r="I759" s="12">
        <v>0.08</v>
      </c>
      <c r="J759" s="12">
        <v>0.17</v>
      </c>
      <c r="K759" s="12">
        <v>0.46</v>
      </c>
      <c r="L759" s="12">
        <v>0.11</v>
      </c>
      <c r="M759" s="8">
        <v>6</v>
      </c>
      <c r="N759">
        <v>8</v>
      </c>
      <c r="O759" s="12">
        <v>9</v>
      </c>
      <c r="BF759" s="9">
        <v>7.58</v>
      </c>
      <c r="BG759" s="9">
        <f t="shared" si="23"/>
        <v>2.5584617205394001E-2</v>
      </c>
      <c r="BH759" s="9">
        <f t="shared" si="22"/>
        <v>3.5968714662646069E-2</v>
      </c>
      <c r="BQ759" s="8">
        <v>7</v>
      </c>
      <c r="BR759" s="8" t="s">
        <v>1578</v>
      </c>
    </row>
    <row r="760" spans="1:70" x14ac:dyDescent="0.3">
      <c r="A760" s="11" t="s">
        <v>1579</v>
      </c>
      <c r="B760" s="12">
        <v>206700</v>
      </c>
      <c r="C760" s="12">
        <v>674600</v>
      </c>
      <c r="D760" s="12">
        <v>0.08</v>
      </c>
      <c r="E760" s="12">
        <v>0.2</v>
      </c>
      <c r="F760" s="12">
        <v>0.05</v>
      </c>
      <c r="G760" s="12">
        <v>0.1</v>
      </c>
      <c r="H760" s="12">
        <v>0.25</v>
      </c>
      <c r="I760" s="12">
        <v>7.0000000000000007E-2</v>
      </c>
      <c r="J760" s="12">
        <v>0.13</v>
      </c>
      <c r="K760" s="12">
        <v>0.33</v>
      </c>
      <c r="L760" s="12">
        <v>0.09</v>
      </c>
      <c r="M760" s="8">
        <v>7</v>
      </c>
      <c r="N760">
        <v>9</v>
      </c>
      <c r="O760" s="12">
        <v>11</v>
      </c>
      <c r="BF760" s="9">
        <v>7.59</v>
      </c>
      <c r="BG760" s="9">
        <f t="shared" si="23"/>
        <v>2.5517244970759318E-2</v>
      </c>
      <c r="BH760" s="9">
        <f t="shared" si="22"/>
        <v>3.5921325051759843E-2</v>
      </c>
      <c r="BQ760" s="8">
        <v>7</v>
      </c>
      <c r="BR760" s="8" t="s">
        <v>1580</v>
      </c>
    </row>
    <row r="761" spans="1:70" x14ac:dyDescent="0.3">
      <c r="A761" s="11" t="s">
        <v>1581</v>
      </c>
      <c r="B761" s="12">
        <v>226000</v>
      </c>
      <c r="C761" s="12">
        <v>769000</v>
      </c>
      <c r="D761" s="12">
        <v>0.13</v>
      </c>
      <c r="E761" s="12">
        <v>0.32</v>
      </c>
      <c r="F761" s="12">
        <v>7.0000000000000007E-2</v>
      </c>
      <c r="G761" s="12">
        <v>0.16</v>
      </c>
      <c r="H761" s="12">
        <v>0.41</v>
      </c>
      <c r="I761" s="12">
        <v>0.09</v>
      </c>
      <c r="J761" s="12">
        <v>0.21</v>
      </c>
      <c r="K761" s="12">
        <v>0.54</v>
      </c>
      <c r="L761" s="12">
        <v>0.12</v>
      </c>
      <c r="M761" s="8">
        <v>7</v>
      </c>
      <c r="N761">
        <v>8</v>
      </c>
      <c r="O761" s="12">
        <v>10</v>
      </c>
      <c r="BF761" s="9">
        <v>7.6</v>
      </c>
      <c r="BG761" s="9">
        <f t="shared" si="23"/>
        <v>2.5450138504155125E-2</v>
      </c>
      <c r="BH761" s="9">
        <f t="shared" si="22"/>
        <v>3.5874060150375947E-2</v>
      </c>
      <c r="BQ761" s="8">
        <v>8</v>
      </c>
      <c r="BR761" s="8" t="s">
        <v>1582</v>
      </c>
    </row>
    <row r="762" spans="1:70" x14ac:dyDescent="0.3">
      <c r="A762" s="11" t="s">
        <v>1583</v>
      </c>
      <c r="B762" s="12">
        <v>203000</v>
      </c>
      <c r="C762" s="12">
        <v>707000</v>
      </c>
      <c r="D762" s="12">
        <v>0.09</v>
      </c>
      <c r="E762" s="12">
        <v>0.22</v>
      </c>
      <c r="F762" s="12">
        <v>0.05</v>
      </c>
      <c r="G762" s="12">
        <v>0.11</v>
      </c>
      <c r="H762" s="12">
        <v>0.28000000000000003</v>
      </c>
      <c r="I762" s="12">
        <v>7.0000000000000007E-2</v>
      </c>
      <c r="J762" s="12">
        <v>0.15</v>
      </c>
      <c r="K762" s="12">
        <v>0.38</v>
      </c>
      <c r="L762" s="12">
        <v>0.09</v>
      </c>
      <c r="M762" s="8">
        <v>7</v>
      </c>
      <c r="N762">
        <v>9</v>
      </c>
      <c r="O762" s="12">
        <v>11</v>
      </c>
      <c r="BF762" s="9">
        <v>7.61</v>
      </c>
      <c r="BG762" s="9">
        <f t="shared" si="23"/>
        <v>2.5383296409558623E-2</v>
      </c>
      <c r="BH762" s="9">
        <f t="shared" si="22"/>
        <v>3.5826919466866912E-2</v>
      </c>
      <c r="BQ762" s="8">
        <v>8</v>
      </c>
      <c r="BR762" s="8" t="s">
        <v>1584</v>
      </c>
    </row>
    <row r="763" spans="1:70" x14ac:dyDescent="0.3">
      <c r="A763" s="11" t="s">
        <v>1585</v>
      </c>
      <c r="B763" s="12">
        <v>189600</v>
      </c>
      <c r="C763" s="12">
        <v>663600</v>
      </c>
      <c r="D763" s="12">
        <v>0.06</v>
      </c>
      <c r="E763" s="12">
        <v>0.15</v>
      </c>
      <c r="F763" s="12">
        <v>0.04</v>
      </c>
      <c r="G763" s="12">
        <v>0.08</v>
      </c>
      <c r="H763" s="12">
        <v>0.19</v>
      </c>
      <c r="I763" s="12">
        <v>0.06</v>
      </c>
      <c r="J763" s="12">
        <v>0.1</v>
      </c>
      <c r="K763" s="12">
        <v>0.24</v>
      </c>
      <c r="L763" s="12">
        <v>0.08</v>
      </c>
      <c r="M763" s="8">
        <v>8</v>
      </c>
      <c r="N763">
        <v>10</v>
      </c>
      <c r="O763" s="12">
        <v>12</v>
      </c>
      <c r="BF763" s="9">
        <v>7.62</v>
      </c>
      <c r="BG763" s="9">
        <f t="shared" si="23"/>
        <v>2.5316717300101266E-2</v>
      </c>
      <c r="BH763" s="9">
        <f t="shared" si="22"/>
        <v>3.5779902512185983E-2</v>
      </c>
      <c r="BQ763" s="8">
        <v>8</v>
      </c>
      <c r="BR763" s="8" t="s">
        <v>1586</v>
      </c>
    </row>
    <row r="764" spans="1:70" x14ac:dyDescent="0.3">
      <c r="A764" s="11" t="s">
        <v>1587</v>
      </c>
      <c r="B764" s="12">
        <v>158500</v>
      </c>
      <c r="C764" s="12">
        <v>601200</v>
      </c>
      <c r="D764" s="12">
        <v>0.05</v>
      </c>
      <c r="E764" s="12">
        <v>0.13</v>
      </c>
      <c r="F764" s="12">
        <v>0.04</v>
      </c>
      <c r="G764" s="12">
        <v>7.0000000000000007E-2</v>
      </c>
      <c r="H764" s="12">
        <v>0.17</v>
      </c>
      <c r="I764" s="12">
        <v>0.05</v>
      </c>
      <c r="J764" s="12">
        <v>0.09</v>
      </c>
      <c r="K764" s="12">
        <v>0.23</v>
      </c>
      <c r="L764" s="12">
        <v>0.06</v>
      </c>
      <c r="M764" s="8">
        <v>8</v>
      </c>
      <c r="N764">
        <v>10</v>
      </c>
      <c r="O764" s="12">
        <v>13</v>
      </c>
      <c r="BF764" s="9">
        <v>7.63</v>
      </c>
      <c r="BG764" s="9">
        <f t="shared" si="23"/>
        <v>2.5250399797996804E-2</v>
      </c>
      <c r="BH764" s="9">
        <f t="shared" si="22"/>
        <v>3.5733008799850224E-2</v>
      </c>
      <c r="BQ764" s="8">
        <v>7</v>
      </c>
      <c r="BR764" s="8" t="s">
        <v>1588</v>
      </c>
    </row>
    <row r="765" spans="1:70" x14ac:dyDescent="0.3">
      <c r="A765" s="11" t="s">
        <v>1589</v>
      </c>
      <c r="B765" s="12">
        <v>177300</v>
      </c>
      <c r="C765" s="12">
        <v>594400</v>
      </c>
      <c r="D765" s="12">
        <v>0.06</v>
      </c>
      <c r="E765" s="12">
        <v>0.16</v>
      </c>
      <c r="F765" s="12">
        <v>0.04</v>
      </c>
      <c r="G765" s="12">
        <v>0.08</v>
      </c>
      <c r="H765" s="12">
        <v>0.2</v>
      </c>
      <c r="I765" s="12">
        <v>0.05</v>
      </c>
      <c r="J765" s="12">
        <v>0.12</v>
      </c>
      <c r="K765" s="12">
        <v>0.28999999999999998</v>
      </c>
      <c r="L765" s="12">
        <v>7.0000000000000007E-2</v>
      </c>
      <c r="M765" s="8">
        <v>8</v>
      </c>
      <c r="N765">
        <v>10</v>
      </c>
      <c r="O765" s="12">
        <v>12</v>
      </c>
      <c r="BF765" s="9">
        <v>7.64</v>
      </c>
      <c r="BG765" s="9">
        <f t="shared" si="23"/>
        <v>2.5184342534469998E-2</v>
      </c>
      <c r="BH765" s="9">
        <f t="shared" si="22"/>
        <v>3.5686237845923716E-2</v>
      </c>
      <c r="BQ765" s="8">
        <v>5</v>
      </c>
      <c r="BR765" s="8" t="s">
        <v>1590</v>
      </c>
    </row>
    <row r="766" spans="1:70" x14ac:dyDescent="0.3">
      <c r="A766" s="11" t="s">
        <v>1591</v>
      </c>
      <c r="B766" s="12">
        <v>211000</v>
      </c>
      <c r="C766" s="12">
        <v>668700</v>
      </c>
      <c r="D766" s="12">
        <v>0.09</v>
      </c>
      <c r="E766" s="12">
        <v>0.22</v>
      </c>
      <c r="F766" s="12">
        <v>0.05</v>
      </c>
      <c r="G766" s="12">
        <v>0.11</v>
      </c>
      <c r="H766" s="12">
        <v>0.27</v>
      </c>
      <c r="I766" s="12">
        <v>7.0000000000000007E-2</v>
      </c>
      <c r="J766" s="12">
        <v>0.14000000000000001</v>
      </c>
      <c r="K766" s="12">
        <v>0.36</v>
      </c>
      <c r="L766" s="12">
        <v>0.1</v>
      </c>
      <c r="M766" s="8">
        <v>7</v>
      </c>
      <c r="N766">
        <v>9</v>
      </c>
      <c r="O766" s="12">
        <v>10</v>
      </c>
      <c r="BF766" s="9">
        <v>7.65</v>
      </c>
      <c r="BG766" s="9">
        <f t="shared" si="23"/>
        <v>2.5118544149686013E-2</v>
      </c>
      <c r="BH766" s="9">
        <f t="shared" si="22"/>
        <v>3.5639589169000938E-2</v>
      </c>
      <c r="BQ766" s="8">
        <v>7</v>
      </c>
      <c r="BR766" s="8" t="s">
        <v>1592</v>
      </c>
    </row>
    <row r="767" spans="1:70" x14ac:dyDescent="0.3">
      <c r="A767" s="11" t="s">
        <v>1593</v>
      </c>
      <c r="B767" s="12">
        <v>253800</v>
      </c>
      <c r="C767" s="12">
        <v>788800</v>
      </c>
      <c r="D767" s="12">
        <v>0.25</v>
      </c>
      <c r="E767" s="12">
        <v>0.61</v>
      </c>
      <c r="F767" s="12">
        <v>0.12</v>
      </c>
      <c r="G767" s="12">
        <v>0.33</v>
      </c>
      <c r="H767" s="12">
        <v>0.82</v>
      </c>
      <c r="I767" s="12">
        <v>0.16</v>
      </c>
      <c r="J767" s="12">
        <v>0.45</v>
      </c>
      <c r="K767" s="12">
        <v>1.1399999999999999</v>
      </c>
      <c r="L767" s="12">
        <v>0.24</v>
      </c>
      <c r="M767" s="8">
        <v>5</v>
      </c>
      <c r="N767">
        <v>6</v>
      </c>
      <c r="O767" s="12">
        <v>7</v>
      </c>
      <c r="BF767" s="9">
        <v>7.66</v>
      </c>
      <c r="BG767" s="9">
        <f t="shared" si="23"/>
        <v>2.5053003292680433E-2</v>
      </c>
      <c r="BH767" s="9">
        <f t="shared" si="22"/>
        <v>3.5593062290190235E-2</v>
      </c>
      <c r="BQ767" s="8">
        <v>8</v>
      </c>
      <c r="BR767" s="8" t="s">
        <v>1594</v>
      </c>
    </row>
    <row r="768" spans="1:70" x14ac:dyDescent="0.3">
      <c r="A768" s="11" t="s">
        <v>1595</v>
      </c>
      <c r="B768" s="12">
        <v>195800</v>
      </c>
      <c r="C768" s="12">
        <v>705700</v>
      </c>
      <c r="D768" s="12">
        <v>0.08</v>
      </c>
      <c r="E768" s="12">
        <v>0.19</v>
      </c>
      <c r="F768" s="12">
        <v>0.05</v>
      </c>
      <c r="G768" s="12">
        <v>0.1</v>
      </c>
      <c r="H768" s="12">
        <v>0.24</v>
      </c>
      <c r="I768" s="12">
        <v>0.06</v>
      </c>
      <c r="J768" s="12">
        <v>0.13</v>
      </c>
      <c r="K768" s="12">
        <v>0.32</v>
      </c>
      <c r="L768" s="12">
        <v>0.09</v>
      </c>
      <c r="M768" s="8">
        <v>7</v>
      </c>
      <c r="N768">
        <v>9</v>
      </c>
      <c r="O768" s="12">
        <v>11</v>
      </c>
      <c r="BF768" s="9">
        <v>7.67</v>
      </c>
      <c r="BG768" s="9">
        <f t="shared" si="23"/>
        <v>2.4987718621289876E-2</v>
      </c>
      <c r="BH768" s="9">
        <f t="shared" si="22"/>
        <v>3.5546656733097419E-2</v>
      </c>
      <c r="BQ768" s="8">
        <v>6</v>
      </c>
      <c r="BR768" s="8" t="s">
        <v>1596</v>
      </c>
    </row>
    <row r="769" spans="1:70" x14ac:dyDescent="0.3">
      <c r="A769" s="11" t="s">
        <v>1597</v>
      </c>
      <c r="B769" s="12">
        <v>200000</v>
      </c>
      <c r="C769" s="12">
        <v>631000</v>
      </c>
      <c r="D769" s="12">
        <v>7.0000000000000007E-2</v>
      </c>
      <c r="E769" s="12">
        <v>0.17</v>
      </c>
      <c r="F769" s="12">
        <v>0.05</v>
      </c>
      <c r="G769" s="12">
        <v>0.08</v>
      </c>
      <c r="H769" s="12">
        <v>0.21</v>
      </c>
      <c r="I769" s="12">
        <v>0.06</v>
      </c>
      <c r="J769" s="12">
        <v>0.11</v>
      </c>
      <c r="K769" s="12">
        <v>0.27</v>
      </c>
      <c r="L769" s="12">
        <v>0.08</v>
      </c>
      <c r="M769" s="8">
        <v>8</v>
      </c>
      <c r="N769">
        <v>9</v>
      </c>
      <c r="O769" s="12">
        <v>11</v>
      </c>
      <c r="BF769" s="9">
        <v>7.68</v>
      </c>
      <c r="BG769" s="9">
        <f t="shared" si="23"/>
        <v>2.4922688802083332E-2</v>
      </c>
      <c r="BH769" s="9">
        <f t="shared" si="22"/>
        <v>3.5500372023809533E-2</v>
      </c>
      <c r="BQ769" s="8">
        <v>5</v>
      </c>
      <c r="BR769" s="8" t="s">
        <v>1598</v>
      </c>
    </row>
    <row r="770" spans="1:70" x14ac:dyDescent="0.3">
      <c r="A770" s="11" t="s">
        <v>1599</v>
      </c>
      <c r="B770" s="12">
        <v>222600</v>
      </c>
      <c r="C770" s="12">
        <v>730100</v>
      </c>
      <c r="D770" s="12">
        <v>0.15</v>
      </c>
      <c r="E770" s="12">
        <v>0.37</v>
      </c>
      <c r="F770" s="12">
        <v>0.08</v>
      </c>
      <c r="G770" s="12">
        <v>0.2</v>
      </c>
      <c r="H770" s="12">
        <v>0.51</v>
      </c>
      <c r="I770" s="12">
        <v>0.1</v>
      </c>
      <c r="J770" s="12">
        <v>0.28999999999999998</v>
      </c>
      <c r="K770" s="12">
        <v>0.72</v>
      </c>
      <c r="L770" s="12">
        <v>0.15</v>
      </c>
      <c r="M770" s="8">
        <v>6</v>
      </c>
      <c r="N770">
        <v>7</v>
      </c>
      <c r="O770" s="12">
        <v>8</v>
      </c>
      <c r="BF770" s="9">
        <v>7.69</v>
      </c>
      <c r="BG770" s="9">
        <f t="shared" si="23"/>
        <v>2.4857912510294046E-2</v>
      </c>
      <c r="BH770" s="9">
        <f t="shared" ref="BH770:BH833" si="24">IFERROR(IF($BF770&lt;AZ$33,AZ$32*(AZ$30/AZ$29+(1-AZ$30/AZ$29)*$BF770/AZ$33),IF($BF770&lt;AZ$34,AZ$32,IF($BF770&lt;AZ$35,AZ$31/$BF770,AZ$31*AZ$35/($BF770^2))))*$BC$29,"")</f>
        <v>3.5454207690878696E-2</v>
      </c>
      <c r="BQ770" s="8">
        <v>8</v>
      </c>
      <c r="BR770" s="8" t="s">
        <v>1600</v>
      </c>
    </row>
    <row r="771" spans="1:70" x14ac:dyDescent="0.3">
      <c r="A771" s="11" t="s">
        <v>1601</v>
      </c>
      <c r="B771" s="12">
        <v>235000</v>
      </c>
      <c r="C771" s="12">
        <v>549000</v>
      </c>
      <c r="D771" s="12">
        <v>0.21</v>
      </c>
      <c r="E771" s="12">
        <v>0.51</v>
      </c>
      <c r="F771" s="12">
        <v>0.09</v>
      </c>
      <c r="G771" s="12">
        <v>0.28000000000000003</v>
      </c>
      <c r="H771" s="12">
        <v>0.7</v>
      </c>
      <c r="I771" s="12">
        <v>0.13</v>
      </c>
      <c r="J771" s="12">
        <v>0.39</v>
      </c>
      <c r="K771" s="12">
        <v>0.99</v>
      </c>
      <c r="L771" s="12">
        <v>0.2</v>
      </c>
      <c r="M771" s="8">
        <v>5</v>
      </c>
      <c r="N771">
        <v>5</v>
      </c>
      <c r="O771" s="12">
        <v>6</v>
      </c>
      <c r="BF771" s="9">
        <v>7.7</v>
      </c>
      <c r="BG771" s="9">
        <f t="shared" ref="BG771:BG834" si="25">IF(BF771&lt;AY$33,AY$32*(AY$30/AY$29+(1-AY$30/AY$29)*BF771/AY$33),IF(BF771&lt;AY$34,AY$32,IF(BF771&lt;AY$35,AY$31/BF771,AY$31*AY$35/(BF771^2))))*$BC$29</f>
        <v>2.4793388429752063E-2</v>
      </c>
      <c r="BH771" s="9">
        <f t="shared" si="24"/>
        <v>3.5408163265306131E-2</v>
      </c>
      <c r="BQ771" s="8">
        <v>9</v>
      </c>
      <c r="BR771" s="8" t="s">
        <v>1602</v>
      </c>
    </row>
    <row r="772" spans="1:70" x14ac:dyDescent="0.3">
      <c r="A772" s="11" t="s">
        <v>1603</v>
      </c>
      <c r="B772" s="12">
        <v>177600</v>
      </c>
      <c r="C772" s="12">
        <v>634600</v>
      </c>
      <c r="D772" s="12">
        <v>0.06</v>
      </c>
      <c r="E772" s="12">
        <v>0.15</v>
      </c>
      <c r="F772" s="12">
        <v>0.04</v>
      </c>
      <c r="G772" s="12">
        <v>0.08</v>
      </c>
      <c r="H772" s="12">
        <v>0.19</v>
      </c>
      <c r="I772" s="12">
        <v>0.05</v>
      </c>
      <c r="J772" s="12">
        <v>0.1</v>
      </c>
      <c r="K772" s="12">
        <v>0.26</v>
      </c>
      <c r="L772" s="12">
        <v>7.0000000000000007E-2</v>
      </c>
      <c r="M772" s="8">
        <v>8</v>
      </c>
      <c r="N772">
        <v>10</v>
      </c>
      <c r="O772" s="12">
        <v>12</v>
      </c>
      <c r="BF772" s="9">
        <v>7.71</v>
      </c>
      <c r="BG772" s="9">
        <f t="shared" si="25"/>
        <v>2.4729115252817353E-2</v>
      </c>
      <c r="BH772" s="9">
        <f t="shared" si="24"/>
        <v>3.5362238280526224E-2</v>
      </c>
      <c r="BQ772" s="8">
        <v>8</v>
      </c>
      <c r="BR772" s="8" t="s">
        <v>1604</v>
      </c>
    </row>
    <row r="773" spans="1:70" x14ac:dyDescent="0.3">
      <c r="A773" s="11" t="s">
        <v>1605</v>
      </c>
      <c r="B773" s="12">
        <v>145800</v>
      </c>
      <c r="C773" s="12">
        <v>578300</v>
      </c>
      <c r="D773" s="12">
        <v>0.04</v>
      </c>
      <c r="E773" s="12">
        <v>0.09</v>
      </c>
      <c r="F773" s="12">
        <v>0.03</v>
      </c>
      <c r="G773" s="12">
        <v>0.05</v>
      </c>
      <c r="H773" s="12">
        <v>0.12</v>
      </c>
      <c r="I773" s="12">
        <v>0.04</v>
      </c>
      <c r="J773" s="12">
        <v>0.06</v>
      </c>
      <c r="K773" s="12">
        <v>0.15</v>
      </c>
      <c r="L773" s="12">
        <v>0.06</v>
      </c>
      <c r="M773" s="8">
        <v>9</v>
      </c>
      <c r="N773">
        <v>11</v>
      </c>
      <c r="O773" s="12">
        <v>13</v>
      </c>
      <c r="BF773" s="9">
        <v>7.72</v>
      </c>
      <c r="BG773" s="9">
        <f t="shared" si="25"/>
        <v>2.4665091680313566E-2</v>
      </c>
      <c r="BH773" s="9">
        <f t="shared" si="24"/>
        <v>3.5316432272390827E-2</v>
      </c>
      <c r="BQ773" s="8">
        <v>6</v>
      </c>
      <c r="BR773" s="8" t="s">
        <v>1606</v>
      </c>
    </row>
    <row r="774" spans="1:70" x14ac:dyDescent="0.3">
      <c r="A774" s="11" t="s">
        <v>1607</v>
      </c>
      <c r="B774" s="12">
        <v>176000</v>
      </c>
      <c r="C774" s="12">
        <v>625400</v>
      </c>
      <c r="D774" s="12">
        <v>7.0000000000000007E-2</v>
      </c>
      <c r="E774" s="12">
        <v>0.16</v>
      </c>
      <c r="F774" s="12">
        <v>0.04</v>
      </c>
      <c r="G774" s="12">
        <v>0.08</v>
      </c>
      <c r="H774" s="12">
        <v>0.21</v>
      </c>
      <c r="I774" s="12">
        <v>0.05</v>
      </c>
      <c r="J774" s="12">
        <v>0.12</v>
      </c>
      <c r="K774" s="12">
        <v>0.28999999999999998</v>
      </c>
      <c r="L774" s="12">
        <v>7.0000000000000007E-2</v>
      </c>
      <c r="M774" s="8">
        <v>8</v>
      </c>
      <c r="N774">
        <v>10</v>
      </c>
      <c r="O774" s="12">
        <v>12</v>
      </c>
      <c r="BF774" s="9">
        <v>7.73</v>
      </c>
      <c r="BG774" s="9">
        <f t="shared" si="25"/>
        <v>2.4601316421462387E-2</v>
      </c>
      <c r="BH774" s="9">
        <f t="shared" si="24"/>
        <v>3.5270744779153582E-2</v>
      </c>
      <c r="BQ774" s="8">
        <v>5</v>
      </c>
      <c r="BR774" s="8" t="s">
        <v>1608</v>
      </c>
    </row>
    <row r="775" spans="1:70" x14ac:dyDescent="0.3">
      <c r="A775" s="11" t="s">
        <v>1609</v>
      </c>
      <c r="B775" s="12">
        <v>208500</v>
      </c>
      <c r="C775" s="12">
        <v>528200</v>
      </c>
      <c r="D775" s="12">
        <v>0.1</v>
      </c>
      <c r="E775" s="12">
        <v>0.24</v>
      </c>
      <c r="F775" s="12">
        <v>0.05</v>
      </c>
      <c r="G775" s="12">
        <v>0.12</v>
      </c>
      <c r="H775" s="12">
        <v>0.32</v>
      </c>
      <c r="I775" s="12">
        <v>7.0000000000000007E-2</v>
      </c>
      <c r="J775" s="12">
        <v>0.16</v>
      </c>
      <c r="K775" s="12">
        <v>0.43</v>
      </c>
      <c r="L775" s="12">
        <v>0.1</v>
      </c>
      <c r="M775" s="8">
        <v>6</v>
      </c>
      <c r="N775">
        <v>8</v>
      </c>
      <c r="O775" s="12">
        <v>9</v>
      </c>
      <c r="BF775" s="9">
        <v>7.74</v>
      </c>
      <c r="BG775" s="9">
        <f t="shared" si="25"/>
        <v>2.453778819381848E-2</v>
      </c>
      <c r="BH775" s="9">
        <f t="shared" si="24"/>
        <v>3.5225175341454418E-2</v>
      </c>
      <c r="BQ775" s="8">
        <v>6</v>
      </c>
      <c r="BR775" s="8" t="s">
        <v>1610</v>
      </c>
    </row>
    <row r="776" spans="1:70" x14ac:dyDescent="0.3">
      <c r="A776" s="11" t="s">
        <v>1611</v>
      </c>
      <c r="B776" s="12">
        <v>255300</v>
      </c>
      <c r="C776" s="12">
        <v>734500</v>
      </c>
      <c r="D776" s="12">
        <v>0.27</v>
      </c>
      <c r="E776" s="12">
        <v>0.66</v>
      </c>
      <c r="F776" s="12">
        <v>0.12</v>
      </c>
      <c r="G776" s="12">
        <v>0.35</v>
      </c>
      <c r="H776" s="12">
        <v>0.88</v>
      </c>
      <c r="I776" s="12">
        <v>0.17</v>
      </c>
      <c r="J776" s="12">
        <v>0.47</v>
      </c>
      <c r="K776" s="12">
        <v>1.2</v>
      </c>
      <c r="L776" s="12">
        <v>0.25</v>
      </c>
      <c r="M776" s="8">
        <v>5</v>
      </c>
      <c r="N776">
        <v>5</v>
      </c>
      <c r="O776" s="12">
        <v>6</v>
      </c>
      <c r="BF776" s="9">
        <v>7.75</v>
      </c>
      <c r="BG776" s="9">
        <f t="shared" si="25"/>
        <v>2.4474505723204993E-2</v>
      </c>
      <c r="BH776" s="9">
        <f t="shared" si="24"/>
        <v>3.5179723502304153E-2</v>
      </c>
      <c r="BQ776" s="8">
        <v>5</v>
      </c>
      <c r="BR776" s="8" t="s">
        <v>1612</v>
      </c>
    </row>
    <row r="777" spans="1:70" x14ac:dyDescent="0.3">
      <c r="A777" s="11" t="s">
        <v>1613</v>
      </c>
      <c r="B777" s="12">
        <v>218800</v>
      </c>
      <c r="C777" s="12">
        <v>551000</v>
      </c>
      <c r="D777" s="12">
        <v>0.13</v>
      </c>
      <c r="E777" s="12">
        <v>0.31</v>
      </c>
      <c r="F777" s="12">
        <v>0.06</v>
      </c>
      <c r="G777" s="12">
        <v>0.16</v>
      </c>
      <c r="H777" s="12">
        <v>0.42</v>
      </c>
      <c r="I777" s="12">
        <v>0.09</v>
      </c>
      <c r="J777" s="12">
        <v>0.22</v>
      </c>
      <c r="K777" s="12">
        <v>0.57999999999999996</v>
      </c>
      <c r="L777" s="12">
        <v>0.13</v>
      </c>
      <c r="M777" s="8">
        <v>6</v>
      </c>
      <c r="N777">
        <v>7</v>
      </c>
      <c r="O777" s="12">
        <v>8</v>
      </c>
      <c r="BF777" s="9">
        <v>7.76</v>
      </c>
      <c r="BG777" s="9">
        <f t="shared" si="25"/>
        <v>2.4411467743649697E-2</v>
      </c>
      <c r="BH777" s="9">
        <f t="shared" si="24"/>
        <v>3.5134388807069226E-2</v>
      </c>
      <c r="BQ777" s="8">
        <v>7</v>
      </c>
      <c r="BR777" s="8" t="s">
        <v>1614</v>
      </c>
    </row>
    <row r="778" spans="1:70" x14ac:dyDescent="0.3">
      <c r="A778" s="11" t="s">
        <v>1615</v>
      </c>
      <c r="B778" s="12">
        <v>249100</v>
      </c>
      <c r="C778" s="12">
        <v>711300</v>
      </c>
      <c r="D778" s="12">
        <v>0.24</v>
      </c>
      <c r="E778" s="12">
        <v>0.6</v>
      </c>
      <c r="F778" s="12">
        <v>0.11</v>
      </c>
      <c r="G778" s="12">
        <v>0.32</v>
      </c>
      <c r="H778" s="12">
        <v>0.8</v>
      </c>
      <c r="I778" s="12">
        <v>0.16</v>
      </c>
      <c r="J778" s="12">
        <v>0.43</v>
      </c>
      <c r="K778" s="12">
        <v>1.1000000000000001</v>
      </c>
      <c r="L778" s="12">
        <v>0.23</v>
      </c>
      <c r="M778" s="8">
        <v>5</v>
      </c>
      <c r="N778">
        <v>5</v>
      </c>
      <c r="O778" s="12">
        <v>6</v>
      </c>
      <c r="BF778" s="9">
        <v>7.77</v>
      </c>
      <c r="BG778" s="9">
        <f t="shared" si="25"/>
        <v>2.4348672997321647E-2</v>
      </c>
      <c r="BH778" s="9">
        <f t="shared" si="24"/>
        <v>3.5089170803456526E-2</v>
      </c>
      <c r="BQ778" s="8">
        <v>7</v>
      </c>
      <c r="BR778" s="8" t="s">
        <v>1616</v>
      </c>
    </row>
    <row r="779" spans="1:70" x14ac:dyDescent="0.3">
      <c r="A779" s="11" t="s">
        <v>1617</v>
      </c>
      <c r="B779" s="12">
        <v>209800</v>
      </c>
      <c r="C779" s="12">
        <v>586000</v>
      </c>
      <c r="D779" s="12">
        <v>0.09</v>
      </c>
      <c r="E779" s="12">
        <v>0.23</v>
      </c>
      <c r="F779" s="12">
        <v>0.05</v>
      </c>
      <c r="G779" s="12">
        <v>0.12</v>
      </c>
      <c r="H779" s="12">
        <v>0.3</v>
      </c>
      <c r="I779" s="12">
        <v>7.0000000000000007E-2</v>
      </c>
      <c r="J779" s="12">
        <v>0.16</v>
      </c>
      <c r="K779" s="12">
        <v>0.41</v>
      </c>
      <c r="L779" s="12">
        <v>0.1</v>
      </c>
      <c r="M779" s="8">
        <v>7</v>
      </c>
      <c r="N779">
        <v>8</v>
      </c>
      <c r="O779" s="12">
        <v>10</v>
      </c>
      <c r="BF779" s="9">
        <v>7.78</v>
      </c>
      <c r="BG779" s="9">
        <f t="shared" si="25"/>
        <v>2.4286120234468446E-2</v>
      </c>
      <c r="BH779" s="9">
        <f t="shared" si="24"/>
        <v>3.5044069041498351E-2</v>
      </c>
      <c r="BQ779" s="8">
        <v>8</v>
      </c>
      <c r="BR779" s="8" t="s">
        <v>1618</v>
      </c>
    </row>
    <row r="780" spans="1:70" x14ac:dyDescent="0.3">
      <c r="A780" s="11" t="s">
        <v>1619</v>
      </c>
      <c r="B780" s="12">
        <v>215100</v>
      </c>
      <c r="C780" s="12">
        <v>774300</v>
      </c>
      <c r="D780" s="12">
        <v>0.11</v>
      </c>
      <c r="E780" s="12">
        <v>0.28999999999999998</v>
      </c>
      <c r="F780" s="12">
        <v>0.06</v>
      </c>
      <c r="G780" s="12">
        <v>0.15</v>
      </c>
      <c r="H780" s="12">
        <v>0.37</v>
      </c>
      <c r="I780" s="12">
        <v>0.08</v>
      </c>
      <c r="J780" s="12">
        <v>0.19</v>
      </c>
      <c r="K780" s="12">
        <v>0.5</v>
      </c>
      <c r="L780" s="12">
        <v>0.11</v>
      </c>
      <c r="M780" s="8">
        <v>7</v>
      </c>
      <c r="N780">
        <v>8</v>
      </c>
      <c r="O780" s="12">
        <v>10</v>
      </c>
      <c r="BF780" s="9">
        <v>7.79</v>
      </c>
      <c r="BG780" s="9">
        <f t="shared" si="25"/>
        <v>2.4223808213354073E-2</v>
      </c>
      <c r="BH780" s="9">
        <f t="shared" si="24"/>
        <v>3.499908307353751E-2</v>
      </c>
      <c r="BQ780" s="8">
        <v>5</v>
      </c>
      <c r="BR780" s="8" t="s">
        <v>1620</v>
      </c>
    </row>
    <row r="781" spans="1:70" x14ac:dyDescent="0.3">
      <c r="A781" s="11" t="s">
        <v>1621</v>
      </c>
      <c r="B781" s="12">
        <v>188100</v>
      </c>
      <c r="C781" s="12">
        <v>645900</v>
      </c>
      <c r="D781" s="12">
        <v>0.06</v>
      </c>
      <c r="E781" s="12">
        <v>0.15</v>
      </c>
      <c r="F781" s="12">
        <v>0.04</v>
      </c>
      <c r="G781" s="12">
        <v>7.0000000000000007E-2</v>
      </c>
      <c r="H781" s="12">
        <v>0.18</v>
      </c>
      <c r="I781" s="12">
        <v>0.05</v>
      </c>
      <c r="J781" s="12">
        <v>0.09</v>
      </c>
      <c r="K781" s="12">
        <v>0.24</v>
      </c>
      <c r="L781" s="12">
        <v>7.0000000000000007E-2</v>
      </c>
      <c r="M781" s="8">
        <v>8</v>
      </c>
      <c r="N781">
        <v>10</v>
      </c>
      <c r="O781" s="12">
        <v>12</v>
      </c>
      <c r="BF781" s="9">
        <v>7.8</v>
      </c>
      <c r="BG781" s="9">
        <f t="shared" si="25"/>
        <v>2.4161735700197241E-2</v>
      </c>
      <c r="BH781" s="9">
        <f t="shared" si="24"/>
        <v>3.4954212454212458E-2</v>
      </c>
      <c r="BQ781" s="8">
        <v>6</v>
      </c>
      <c r="BR781" s="8" t="s">
        <v>1622</v>
      </c>
    </row>
    <row r="782" spans="1:70" x14ac:dyDescent="0.3">
      <c r="A782" s="11" t="s">
        <v>1623</v>
      </c>
      <c r="B782" s="12">
        <v>248000</v>
      </c>
      <c r="C782" s="12">
        <v>744000</v>
      </c>
      <c r="D782" s="12">
        <v>0.23</v>
      </c>
      <c r="E782" s="12">
        <v>0.57999999999999996</v>
      </c>
      <c r="F782" s="12">
        <v>0.11</v>
      </c>
      <c r="G782" s="12">
        <v>0.3</v>
      </c>
      <c r="H782" s="12">
        <v>0.76</v>
      </c>
      <c r="I782" s="12">
        <v>0.15</v>
      </c>
      <c r="J782" s="12">
        <v>0.4</v>
      </c>
      <c r="K782" s="12">
        <v>1.04</v>
      </c>
      <c r="L782" s="12">
        <v>0.22</v>
      </c>
      <c r="M782" s="8">
        <v>5</v>
      </c>
      <c r="N782">
        <v>6</v>
      </c>
      <c r="O782" s="12">
        <v>7</v>
      </c>
      <c r="BF782" s="9">
        <v>7.81</v>
      </c>
      <c r="BG782" s="9">
        <f t="shared" si="25"/>
        <v>2.4099901469110323E-2</v>
      </c>
      <c r="BH782" s="9">
        <f t="shared" si="24"/>
        <v>3.4909456740442664E-2</v>
      </c>
      <c r="BQ782" s="8">
        <v>7</v>
      </c>
      <c r="BR782" s="8" t="s">
        <v>1624</v>
      </c>
    </row>
    <row r="783" spans="1:70" x14ac:dyDescent="0.3">
      <c r="A783" s="11" t="s">
        <v>1625</v>
      </c>
      <c r="B783" s="12">
        <v>219200</v>
      </c>
      <c r="C783" s="12">
        <v>749300</v>
      </c>
      <c r="D783" s="12">
        <v>0.14000000000000001</v>
      </c>
      <c r="E783" s="12">
        <v>0.34</v>
      </c>
      <c r="F783" s="12">
        <v>7.0000000000000007E-2</v>
      </c>
      <c r="G783" s="12">
        <v>0.18</v>
      </c>
      <c r="H783" s="12">
        <v>0.45</v>
      </c>
      <c r="I783" s="12">
        <v>0.09</v>
      </c>
      <c r="J783" s="12">
        <v>0.24</v>
      </c>
      <c r="K783" s="12">
        <v>0.61</v>
      </c>
      <c r="L783" s="12">
        <v>0.12</v>
      </c>
      <c r="M783" s="8">
        <v>6</v>
      </c>
      <c r="N783">
        <v>8</v>
      </c>
      <c r="O783" s="12">
        <v>9</v>
      </c>
      <c r="BF783" s="9">
        <v>7.82</v>
      </c>
      <c r="BG783" s="9">
        <f t="shared" si="25"/>
        <v>2.4038304302038838E-2</v>
      </c>
      <c r="BH783" s="9">
        <f t="shared" si="24"/>
        <v>3.4864815491413959E-2</v>
      </c>
      <c r="BQ783" s="8">
        <v>5</v>
      </c>
      <c r="BR783" s="8" t="s">
        <v>1626</v>
      </c>
    </row>
    <row r="784" spans="1:70" x14ac:dyDescent="0.3">
      <c r="A784" s="11" t="s">
        <v>1627</v>
      </c>
      <c r="B784" s="12">
        <v>206700</v>
      </c>
      <c r="C784" s="12">
        <v>707500</v>
      </c>
      <c r="D784" s="12">
        <v>0.1</v>
      </c>
      <c r="E784" s="12">
        <v>0.24</v>
      </c>
      <c r="F784" s="12">
        <v>0.06</v>
      </c>
      <c r="G784" s="12">
        <v>0.12</v>
      </c>
      <c r="H784" s="12">
        <v>0.31</v>
      </c>
      <c r="I784" s="12">
        <v>7.0000000000000007E-2</v>
      </c>
      <c r="J784" s="12">
        <v>0.16</v>
      </c>
      <c r="K784" s="12">
        <v>0.41</v>
      </c>
      <c r="L784" s="12">
        <v>0.1</v>
      </c>
      <c r="M784" s="8">
        <v>7</v>
      </c>
      <c r="N784">
        <v>8</v>
      </c>
      <c r="O784" s="12">
        <v>10</v>
      </c>
      <c r="BF784" s="9">
        <v>7.83</v>
      </c>
      <c r="BG784" s="9">
        <f t="shared" si="25"/>
        <v>2.3976942988701476E-2</v>
      </c>
      <c r="BH784" s="9">
        <f t="shared" si="24"/>
        <v>3.4820288268564134E-2</v>
      </c>
      <c r="BQ784" s="8">
        <v>6</v>
      </c>
      <c r="BR784" s="8" t="s">
        <v>1628</v>
      </c>
    </row>
    <row r="785" spans="1:70" x14ac:dyDescent="0.3">
      <c r="A785" s="11" t="s">
        <v>1629</v>
      </c>
      <c r="B785" s="12">
        <v>237400</v>
      </c>
      <c r="C785" s="12">
        <v>635600</v>
      </c>
      <c r="D785" s="12">
        <v>0.18</v>
      </c>
      <c r="E785" s="12">
        <v>0.44</v>
      </c>
      <c r="F785" s="12">
        <v>0.09</v>
      </c>
      <c r="G785" s="12">
        <v>0.23</v>
      </c>
      <c r="H785" s="12">
        <v>0.59</v>
      </c>
      <c r="I785" s="12">
        <v>0.12</v>
      </c>
      <c r="J785" s="12">
        <v>0.31</v>
      </c>
      <c r="K785" s="12">
        <v>0.81</v>
      </c>
      <c r="L785" s="12">
        <v>0.17</v>
      </c>
      <c r="M785" s="8">
        <v>5</v>
      </c>
      <c r="N785">
        <v>6</v>
      </c>
      <c r="O785" s="12">
        <v>7</v>
      </c>
      <c r="BF785" s="9">
        <v>7.84</v>
      </c>
      <c r="BG785" s="9">
        <f t="shared" si="25"/>
        <v>2.3915816326530615E-2</v>
      </c>
      <c r="BH785" s="9">
        <f t="shared" si="24"/>
        <v>3.477587463556852E-2</v>
      </c>
      <c r="BQ785" s="8">
        <v>7</v>
      </c>
      <c r="BR785" s="8" t="s">
        <v>1630</v>
      </c>
    </row>
    <row r="786" spans="1:70" x14ac:dyDescent="0.3">
      <c r="A786" s="11" t="s">
        <v>1631</v>
      </c>
      <c r="B786" s="12">
        <v>236200</v>
      </c>
      <c r="C786" s="12">
        <v>745200</v>
      </c>
      <c r="D786" s="12">
        <v>0.16</v>
      </c>
      <c r="E786" s="12">
        <v>0.4</v>
      </c>
      <c r="F786" s="12">
        <v>0.08</v>
      </c>
      <c r="G786" s="12">
        <v>0.2</v>
      </c>
      <c r="H786" s="12">
        <v>0.51</v>
      </c>
      <c r="I786" s="12">
        <v>0.1</v>
      </c>
      <c r="J786" s="12">
        <v>0.25</v>
      </c>
      <c r="K786" s="12">
        <v>0.67</v>
      </c>
      <c r="L786" s="12">
        <v>0.14000000000000001</v>
      </c>
      <c r="M786" s="8">
        <v>6</v>
      </c>
      <c r="N786">
        <v>7</v>
      </c>
      <c r="O786" s="12">
        <v>9</v>
      </c>
      <c r="BF786" s="9">
        <v>7.85</v>
      </c>
      <c r="BG786" s="9">
        <f t="shared" si="25"/>
        <v>2.3854923120613415E-2</v>
      </c>
      <c r="BH786" s="9">
        <f t="shared" si="24"/>
        <v>3.4731574158325756E-2</v>
      </c>
      <c r="BQ786" s="8">
        <v>5</v>
      </c>
      <c r="BR786" s="8" t="s">
        <v>1632</v>
      </c>
    </row>
    <row r="787" spans="1:70" x14ac:dyDescent="0.3">
      <c r="A787" s="11" t="s">
        <v>1633</v>
      </c>
      <c r="B787" s="12">
        <v>180800</v>
      </c>
      <c r="C787" s="12">
        <v>502200</v>
      </c>
      <c r="D787" s="12">
        <v>0.08</v>
      </c>
      <c r="E787" s="12">
        <v>0.2</v>
      </c>
      <c r="F787" s="12">
        <v>0.04</v>
      </c>
      <c r="G787" s="12">
        <v>0.1</v>
      </c>
      <c r="H787" s="12">
        <v>0.25</v>
      </c>
      <c r="I787" s="12">
        <v>0.05</v>
      </c>
      <c r="J787" s="12">
        <v>0.13</v>
      </c>
      <c r="K787" s="12">
        <v>0.32</v>
      </c>
      <c r="L787" s="12">
        <v>7.0000000000000007E-2</v>
      </c>
      <c r="M787" s="8">
        <v>7</v>
      </c>
      <c r="N787">
        <v>9</v>
      </c>
      <c r="O787" s="12">
        <v>11</v>
      </c>
      <c r="BF787" s="9">
        <v>7.86</v>
      </c>
      <c r="BG787" s="9">
        <f t="shared" si="25"/>
        <v>2.3794262183633431E-2</v>
      </c>
      <c r="BH787" s="9">
        <f t="shared" si="24"/>
        <v>3.4687386404943663E-2</v>
      </c>
      <c r="BQ787" s="8">
        <v>7</v>
      </c>
      <c r="BR787" s="8" t="s">
        <v>1634</v>
      </c>
    </row>
    <row r="788" spans="1:70" x14ac:dyDescent="0.3">
      <c r="A788" s="11" t="s">
        <v>1635</v>
      </c>
      <c r="B788" s="12">
        <v>238000</v>
      </c>
      <c r="C788" s="12">
        <v>608600</v>
      </c>
      <c r="D788" s="12">
        <v>0.19</v>
      </c>
      <c r="E788" s="12">
        <v>0.46</v>
      </c>
      <c r="F788" s="12">
        <v>0.09</v>
      </c>
      <c r="G788" s="12">
        <v>0.25</v>
      </c>
      <c r="H788" s="12">
        <v>0.63</v>
      </c>
      <c r="I788" s="12">
        <v>0.12</v>
      </c>
      <c r="J788" s="12">
        <v>0.35</v>
      </c>
      <c r="K788" s="12">
        <v>0.89</v>
      </c>
      <c r="L788" s="12">
        <v>0.18</v>
      </c>
      <c r="M788" s="8">
        <v>5</v>
      </c>
      <c r="N788">
        <v>6</v>
      </c>
      <c r="O788" s="12">
        <v>7</v>
      </c>
      <c r="BF788" s="9">
        <v>7.87</v>
      </c>
      <c r="BG788" s="9">
        <f t="shared" si="25"/>
        <v>2.3733832335812739E-2</v>
      </c>
      <c r="BH788" s="9">
        <f t="shared" si="24"/>
        <v>3.4643310945725182E-2</v>
      </c>
      <c r="BQ788" s="8">
        <v>8</v>
      </c>
      <c r="BR788" s="8" t="s">
        <v>1636</v>
      </c>
    </row>
    <row r="789" spans="1:70" x14ac:dyDescent="0.3">
      <c r="A789" s="11" t="s">
        <v>1637</v>
      </c>
      <c r="B789" s="12">
        <v>204700</v>
      </c>
      <c r="C789" s="12">
        <v>705100</v>
      </c>
      <c r="D789" s="12">
        <v>0.09</v>
      </c>
      <c r="E789" s="12">
        <v>0.22</v>
      </c>
      <c r="F789" s="12">
        <v>0.05</v>
      </c>
      <c r="G789" s="12">
        <v>0.11</v>
      </c>
      <c r="H789" s="12">
        <v>0.28000000000000003</v>
      </c>
      <c r="I789" s="12">
        <v>7.0000000000000007E-2</v>
      </c>
      <c r="J789" s="12">
        <v>0.15</v>
      </c>
      <c r="K789" s="12">
        <v>0.38</v>
      </c>
      <c r="L789" s="12">
        <v>0.09</v>
      </c>
      <c r="M789" s="8">
        <v>7</v>
      </c>
      <c r="N789">
        <v>9</v>
      </c>
      <c r="O789" s="12">
        <v>11</v>
      </c>
      <c r="BF789" s="9">
        <v>7.88</v>
      </c>
      <c r="BG789" s="9">
        <f t="shared" si="25"/>
        <v>2.3673632404854542E-2</v>
      </c>
      <c r="BH789" s="9">
        <f t="shared" si="24"/>
        <v>3.4599347353154467E-2</v>
      </c>
      <c r="BQ789" s="8">
        <v>5</v>
      </c>
      <c r="BR789" s="8" t="s">
        <v>1638</v>
      </c>
    </row>
    <row r="790" spans="1:70" x14ac:dyDescent="0.3">
      <c r="A790" s="11" t="s">
        <v>1639</v>
      </c>
      <c r="B790" s="12">
        <v>179600</v>
      </c>
      <c r="C790" s="12">
        <v>659700</v>
      </c>
      <c r="D790" s="12">
        <v>0.06</v>
      </c>
      <c r="E790" s="12">
        <v>0.14000000000000001</v>
      </c>
      <c r="F790" s="12">
        <v>0.04</v>
      </c>
      <c r="G790" s="12">
        <v>7.0000000000000007E-2</v>
      </c>
      <c r="H790" s="12">
        <v>0.17</v>
      </c>
      <c r="I790" s="12">
        <v>0.05</v>
      </c>
      <c r="J790" s="12">
        <v>0.09</v>
      </c>
      <c r="K790" s="12">
        <v>0.23</v>
      </c>
      <c r="L790" s="12">
        <v>7.0000000000000007E-2</v>
      </c>
      <c r="M790" s="8">
        <v>8</v>
      </c>
      <c r="N790">
        <v>10</v>
      </c>
      <c r="O790" s="12">
        <v>12</v>
      </c>
      <c r="BF790" s="9">
        <v>7.89</v>
      </c>
      <c r="BG790" s="9">
        <f t="shared" si="25"/>
        <v>2.3613661225886359E-2</v>
      </c>
      <c r="BH790" s="9">
        <f t="shared" si="24"/>
        <v>3.4555495201883044E-2</v>
      </c>
      <c r="BQ790" s="8">
        <v>6</v>
      </c>
      <c r="BR790" s="8" t="s">
        <v>1640</v>
      </c>
    </row>
    <row r="791" spans="1:70" x14ac:dyDescent="0.3">
      <c r="A791" s="11" t="s">
        <v>1641</v>
      </c>
      <c r="B791" s="12">
        <v>251200</v>
      </c>
      <c r="C791" s="12">
        <v>791100</v>
      </c>
      <c r="D791" s="12">
        <v>0.23</v>
      </c>
      <c r="E791" s="12">
        <v>0.56999999999999995</v>
      </c>
      <c r="F791" s="12">
        <v>0.11</v>
      </c>
      <c r="G791" s="12">
        <v>0.31</v>
      </c>
      <c r="H791" s="12">
        <v>0.77</v>
      </c>
      <c r="I791" s="12">
        <v>0.15</v>
      </c>
      <c r="J791" s="12">
        <v>0.42</v>
      </c>
      <c r="K791" s="12">
        <v>1.07</v>
      </c>
      <c r="L791" s="12">
        <v>0.23</v>
      </c>
      <c r="M791" s="8">
        <v>5</v>
      </c>
      <c r="N791">
        <v>6</v>
      </c>
      <c r="O791" s="12">
        <v>7</v>
      </c>
      <c r="BF791" s="9">
        <v>7.9</v>
      </c>
      <c r="BG791" s="9">
        <f t="shared" si="25"/>
        <v>2.3553917641403618E-2</v>
      </c>
      <c r="BH791" s="9">
        <f t="shared" si="24"/>
        <v>3.4511754068716101E-2</v>
      </c>
      <c r="BQ791" s="8">
        <v>8</v>
      </c>
      <c r="BR791" s="8" t="s">
        <v>1642</v>
      </c>
    </row>
    <row r="792" spans="1:70" x14ac:dyDescent="0.3">
      <c r="A792" s="11" t="s">
        <v>1643</v>
      </c>
      <c r="B792" s="12">
        <v>272900</v>
      </c>
      <c r="C792" s="12">
        <v>782000</v>
      </c>
      <c r="D792" s="12">
        <v>0.18</v>
      </c>
      <c r="E792" s="12">
        <v>0.45</v>
      </c>
      <c r="F792" s="12">
        <v>0.09</v>
      </c>
      <c r="G792" s="12">
        <v>0.22</v>
      </c>
      <c r="H792" s="12">
        <v>0.57999999999999996</v>
      </c>
      <c r="I792" s="12">
        <v>0.12</v>
      </c>
      <c r="J792" s="12">
        <v>0.28999999999999998</v>
      </c>
      <c r="K792" s="12">
        <v>0.78</v>
      </c>
      <c r="L792" s="12">
        <v>0.17</v>
      </c>
      <c r="M792" s="8">
        <v>6</v>
      </c>
      <c r="N792">
        <v>7</v>
      </c>
      <c r="O792" s="12">
        <v>8</v>
      </c>
      <c r="BF792" s="9">
        <v>7.91</v>
      </c>
      <c r="BG792" s="9">
        <f t="shared" si="25"/>
        <v>2.3494400501213878E-2</v>
      </c>
      <c r="BH792" s="9">
        <f t="shared" si="24"/>
        <v>3.4468123532598885E-2</v>
      </c>
      <c r="BQ792" s="8">
        <v>6</v>
      </c>
      <c r="BR792" s="8" t="s">
        <v>1644</v>
      </c>
    </row>
    <row r="793" spans="1:70" x14ac:dyDescent="0.3">
      <c r="A793" s="11" t="s">
        <v>1645</v>
      </c>
      <c r="B793" s="12">
        <v>183700</v>
      </c>
      <c r="C793" s="12">
        <v>533500</v>
      </c>
      <c r="D793" s="12">
        <v>0.06</v>
      </c>
      <c r="E793" s="12">
        <v>0.14000000000000001</v>
      </c>
      <c r="F793" s="12">
        <v>0.04</v>
      </c>
      <c r="G793" s="12">
        <v>7.0000000000000007E-2</v>
      </c>
      <c r="H793" s="12">
        <v>0.18</v>
      </c>
      <c r="I793" s="12">
        <v>0.05</v>
      </c>
      <c r="J793" s="12">
        <v>0.09</v>
      </c>
      <c r="K793" s="12">
        <v>0.24</v>
      </c>
      <c r="L793" s="12">
        <v>7.0000000000000007E-2</v>
      </c>
      <c r="M793" s="8">
        <v>8</v>
      </c>
      <c r="N793">
        <v>9</v>
      </c>
      <c r="O793" s="12">
        <v>11</v>
      </c>
      <c r="BF793" s="9">
        <v>7.92</v>
      </c>
      <c r="BG793" s="9">
        <f t="shared" si="25"/>
        <v>2.3435108662381389E-2</v>
      </c>
      <c r="BH793" s="9">
        <f t="shared" si="24"/>
        <v>3.4424603174603177E-2</v>
      </c>
      <c r="BQ793" s="8">
        <v>6</v>
      </c>
      <c r="BR793" s="8" t="s">
        <v>1646</v>
      </c>
    </row>
    <row r="794" spans="1:70" x14ac:dyDescent="0.3">
      <c r="A794" s="11" t="s">
        <v>1647</v>
      </c>
      <c r="B794" s="12">
        <v>230100</v>
      </c>
      <c r="C794" s="12">
        <v>723500</v>
      </c>
      <c r="D794" s="12">
        <v>0.16</v>
      </c>
      <c r="E794" s="12">
        <v>0.4</v>
      </c>
      <c r="F794" s="12">
        <v>0.08</v>
      </c>
      <c r="G794" s="12">
        <v>0.21</v>
      </c>
      <c r="H794" s="12">
        <v>0.54</v>
      </c>
      <c r="I794" s="12">
        <v>0.11</v>
      </c>
      <c r="J794" s="12">
        <v>0.28999999999999998</v>
      </c>
      <c r="K794" s="12">
        <v>0.74</v>
      </c>
      <c r="L794" s="12">
        <v>0.15</v>
      </c>
      <c r="M794" s="8">
        <v>6</v>
      </c>
      <c r="N794">
        <v>7</v>
      </c>
      <c r="O794" s="12">
        <v>8</v>
      </c>
      <c r="BF794" s="9">
        <v>7.93</v>
      </c>
      <c r="BG794" s="9">
        <f t="shared" si="25"/>
        <v>2.3376040989172283E-2</v>
      </c>
      <c r="BH794" s="9">
        <f t="shared" si="24"/>
        <v>3.4381192577913895E-2</v>
      </c>
      <c r="BQ794" s="8">
        <v>6</v>
      </c>
      <c r="BR794" s="8" t="s">
        <v>1648</v>
      </c>
    </row>
    <row r="795" spans="1:70" x14ac:dyDescent="0.3">
      <c r="A795" s="11" t="s">
        <v>1649</v>
      </c>
      <c r="B795" s="12">
        <v>229100</v>
      </c>
      <c r="C795" s="12">
        <v>723500</v>
      </c>
      <c r="D795" s="12">
        <v>0.16</v>
      </c>
      <c r="E795" s="12">
        <v>0.4</v>
      </c>
      <c r="F795" s="12">
        <v>0.08</v>
      </c>
      <c r="G795" s="12">
        <v>0.21</v>
      </c>
      <c r="H795" s="12">
        <v>0.53</v>
      </c>
      <c r="I795" s="12">
        <v>0.11</v>
      </c>
      <c r="J795" s="12">
        <v>0.28999999999999998</v>
      </c>
      <c r="K795" s="12">
        <v>0.74</v>
      </c>
      <c r="L795" s="12">
        <v>0.15</v>
      </c>
      <c r="M795" s="8">
        <v>6</v>
      </c>
      <c r="N795">
        <v>7</v>
      </c>
      <c r="O795" s="12">
        <v>8</v>
      </c>
      <c r="BF795" s="9">
        <v>7.94</v>
      </c>
      <c r="BG795" s="9">
        <f t="shared" si="25"/>
        <v>2.3317196353000145E-2</v>
      </c>
      <c r="BH795" s="9">
        <f t="shared" si="24"/>
        <v>3.4337891327815763E-2</v>
      </c>
      <c r="BQ795" s="8">
        <v>6</v>
      </c>
      <c r="BR795" s="8" t="s">
        <v>1650</v>
      </c>
    </row>
    <row r="796" spans="1:70" x14ac:dyDescent="0.3">
      <c r="A796" s="11" t="s">
        <v>1651</v>
      </c>
      <c r="B796" s="12">
        <v>238400</v>
      </c>
      <c r="C796" s="12">
        <v>734500</v>
      </c>
      <c r="D796" s="12">
        <v>0.17</v>
      </c>
      <c r="E796" s="12">
        <v>0.43</v>
      </c>
      <c r="F796" s="12">
        <v>0.08</v>
      </c>
      <c r="G796" s="12">
        <v>0.21</v>
      </c>
      <c r="H796" s="12">
        <v>0.55000000000000004</v>
      </c>
      <c r="I796" s="12">
        <v>0.11</v>
      </c>
      <c r="J796" s="12">
        <v>0.28000000000000003</v>
      </c>
      <c r="K796" s="12">
        <v>0.73</v>
      </c>
      <c r="L796" s="12">
        <v>0.15</v>
      </c>
      <c r="M796" s="8">
        <v>6</v>
      </c>
      <c r="N796">
        <v>7</v>
      </c>
      <c r="O796" s="12">
        <v>8</v>
      </c>
      <c r="BF796" s="9">
        <v>7.95</v>
      </c>
      <c r="BG796" s="9">
        <f t="shared" si="25"/>
        <v>2.3258573632372135E-2</v>
      </c>
      <c r="BH796" s="9">
        <f t="shared" si="24"/>
        <v>3.4294699011680148E-2</v>
      </c>
      <c r="BQ796" s="8">
        <v>6</v>
      </c>
      <c r="BR796" s="8" t="s">
        <v>1652</v>
      </c>
    </row>
    <row r="797" spans="1:70" x14ac:dyDescent="0.3">
      <c r="A797" s="11" t="s">
        <v>1653</v>
      </c>
      <c r="B797" s="12">
        <v>241500</v>
      </c>
      <c r="C797" s="12">
        <v>767000</v>
      </c>
      <c r="D797" s="12">
        <v>0.18</v>
      </c>
      <c r="E797" s="12">
        <v>0.46</v>
      </c>
      <c r="F797" s="12">
        <v>0.09</v>
      </c>
      <c r="G797" s="12">
        <v>0.23</v>
      </c>
      <c r="H797" s="12">
        <v>0.59</v>
      </c>
      <c r="I797" s="12">
        <v>0.12</v>
      </c>
      <c r="J797" s="12">
        <v>0.3</v>
      </c>
      <c r="K797" s="12">
        <v>0.79</v>
      </c>
      <c r="L797" s="12">
        <v>0.17</v>
      </c>
      <c r="M797" s="8">
        <v>6</v>
      </c>
      <c r="N797">
        <v>7</v>
      </c>
      <c r="O797" s="12">
        <v>8</v>
      </c>
      <c r="BF797" s="9">
        <v>7.96</v>
      </c>
      <c r="BG797" s="9">
        <f t="shared" si="25"/>
        <v>2.3200171712835532E-2</v>
      </c>
      <c r="BH797" s="9">
        <f t="shared" si="24"/>
        <v>3.4251615218951911E-2</v>
      </c>
      <c r="BQ797" s="8">
        <v>5</v>
      </c>
      <c r="BR797" s="8" t="s">
        <v>1654</v>
      </c>
    </row>
    <row r="798" spans="1:70" x14ac:dyDescent="0.3">
      <c r="A798" s="11" t="s">
        <v>1655</v>
      </c>
      <c r="B798" s="12">
        <v>224500</v>
      </c>
      <c r="C798" s="12">
        <v>751700</v>
      </c>
      <c r="D798" s="12">
        <v>0.14000000000000001</v>
      </c>
      <c r="E798" s="12">
        <v>0.34</v>
      </c>
      <c r="F798" s="12">
        <v>7.0000000000000007E-2</v>
      </c>
      <c r="G798" s="12">
        <v>0.17</v>
      </c>
      <c r="H798" s="12">
        <v>0.43</v>
      </c>
      <c r="I798" s="12">
        <v>0.09</v>
      </c>
      <c r="J798" s="12">
        <v>0.22</v>
      </c>
      <c r="K798" s="12">
        <v>0.56999999999999995</v>
      </c>
      <c r="L798" s="12">
        <v>0.12</v>
      </c>
      <c r="M798" s="8">
        <v>6</v>
      </c>
      <c r="N798">
        <v>8</v>
      </c>
      <c r="O798" s="12">
        <v>10</v>
      </c>
      <c r="BF798" s="9">
        <v>7.97</v>
      </c>
      <c r="BG798" s="9">
        <f t="shared" si="25"/>
        <v>2.3141989486924777E-2</v>
      </c>
      <c r="BH798" s="9">
        <f t="shared" si="24"/>
        <v>3.4208639541136412E-2</v>
      </c>
      <c r="BQ798" s="8">
        <v>7</v>
      </c>
      <c r="BR798" s="8" t="s">
        <v>1656</v>
      </c>
    </row>
    <row r="799" spans="1:70" x14ac:dyDescent="0.3">
      <c r="A799" s="11" t="s">
        <v>1657</v>
      </c>
      <c r="B799" s="12">
        <v>253600</v>
      </c>
      <c r="C799" s="12">
        <v>780700</v>
      </c>
      <c r="D799" s="12">
        <v>0.26</v>
      </c>
      <c r="E799" s="12">
        <v>0.65</v>
      </c>
      <c r="F799" s="12">
        <v>0.12</v>
      </c>
      <c r="G799" s="12">
        <v>0.35</v>
      </c>
      <c r="H799" s="12">
        <v>0.86</v>
      </c>
      <c r="I799" s="12">
        <v>0.17</v>
      </c>
      <c r="J799" s="12">
        <v>0.47</v>
      </c>
      <c r="K799" s="12">
        <v>1.19</v>
      </c>
      <c r="L799" s="12">
        <v>0.25</v>
      </c>
      <c r="M799" s="8">
        <v>5</v>
      </c>
      <c r="N799">
        <v>6</v>
      </c>
      <c r="O799" s="12">
        <v>7</v>
      </c>
      <c r="BF799" s="9">
        <v>7.98</v>
      </c>
      <c r="BG799" s="9">
        <f t="shared" si="25"/>
        <v>2.3084025854108955E-2</v>
      </c>
      <c r="BH799" s="9">
        <f t="shared" si="24"/>
        <v>3.4165771571786616E-2</v>
      </c>
      <c r="BQ799" s="8">
        <v>8</v>
      </c>
      <c r="BR799" s="8" t="s">
        <v>1658</v>
      </c>
    </row>
    <row r="800" spans="1:70" x14ac:dyDescent="0.3">
      <c r="A800" s="11" t="s">
        <v>1659</v>
      </c>
      <c r="B800" s="12">
        <v>196700</v>
      </c>
      <c r="C800" s="12">
        <v>728000</v>
      </c>
      <c r="D800" s="12">
        <v>0.1</v>
      </c>
      <c r="E800" s="12">
        <v>0.24</v>
      </c>
      <c r="F800" s="12">
        <v>0.06</v>
      </c>
      <c r="G800" s="12">
        <v>0.13</v>
      </c>
      <c r="H800" s="12">
        <v>0.33</v>
      </c>
      <c r="I800" s="12">
        <v>7.0000000000000007E-2</v>
      </c>
      <c r="J800" s="12">
        <v>0.18</v>
      </c>
      <c r="K800" s="12">
        <v>0.47</v>
      </c>
      <c r="L800" s="12">
        <v>0.1</v>
      </c>
      <c r="M800" s="8">
        <v>7</v>
      </c>
      <c r="N800">
        <v>8</v>
      </c>
      <c r="O800" s="12">
        <v>10</v>
      </c>
      <c r="BF800" s="9">
        <v>7.99</v>
      </c>
      <c r="BG800" s="9">
        <f t="shared" si="25"/>
        <v>2.3026279720739784E-2</v>
      </c>
      <c r="BH800" s="9">
        <f t="shared" si="24"/>
        <v>3.412301090649026E-2</v>
      </c>
      <c r="BQ800" s="8">
        <v>8</v>
      </c>
      <c r="BR800" s="8" t="s">
        <v>1660</v>
      </c>
    </row>
    <row r="801" spans="1:70" x14ac:dyDescent="0.3">
      <c r="A801" s="11" t="s">
        <v>1661</v>
      </c>
      <c r="B801" s="12">
        <v>194600</v>
      </c>
      <c r="C801" s="12">
        <v>655300</v>
      </c>
      <c r="D801" s="12">
        <v>0.06</v>
      </c>
      <c r="E801" s="12">
        <v>0.16</v>
      </c>
      <c r="F801" s="12">
        <v>0.04</v>
      </c>
      <c r="G801" s="12">
        <v>0.08</v>
      </c>
      <c r="H801" s="12">
        <v>0.2</v>
      </c>
      <c r="I801" s="12">
        <v>0.06</v>
      </c>
      <c r="J801" s="12">
        <v>0.1</v>
      </c>
      <c r="K801" s="12">
        <v>0.25</v>
      </c>
      <c r="L801" s="12">
        <v>0.08</v>
      </c>
      <c r="M801" s="8">
        <v>8</v>
      </c>
      <c r="N801">
        <v>9</v>
      </c>
      <c r="O801" s="12">
        <v>12</v>
      </c>
      <c r="BF801" s="9">
        <v>8</v>
      </c>
      <c r="BG801" s="9">
        <f t="shared" si="25"/>
        <v>2.296875E-2</v>
      </c>
      <c r="BH801" s="9">
        <f t="shared" si="24"/>
        <v>3.4080357142857148E-2</v>
      </c>
      <c r="BQ801" s="8">
        <v>8</v>
      </c>
      <c r="BR801" s="8" t="s">
        <v>1662</v>
      </c>
    </row>
    <row r="802" spans="1:70" x14ac:dyDescent="0.3">
      <c r="A802" s="11" t="s">
        <v>1663</v>
      </c>
      <c r="B802" s="12">
        <v>172500</v>
      </c>
      <c r="C802" s="12">
        <v>623000</v>
      </c>
      <c r="D802" s="12">
        <v>7.0000000000000007E-2</v>
      </c>
      <c r="E802" s="12">
        <v>0.16</v>
      </c>
      <c r="F802" s="12">
        <v>0.04</v>
      </c>
      <c r="G802" s="12">
        <v>0.09</v>
      </c>
      <c r="H802" s="12">
        <v>0.21</v>
      </c>
      <c r="I802" s="12">
        <v>0.05</v>
      </c>
      <c r="J802" s="12">
        <v>0.12</v>
      </c>
      <c r="K802" s="12">
        <v>0.3</v>
      </c>
      <c r="L802" s="12">
        <v>7.0000000000000007E-2</v>
      </c>
      <c r="M802" s="8">
        <v>8</v>
      </c>
      <c r="N802">
        <v>10</v>
      </c>
      <c r="O802" s="12">
        <v>12</v>
      </c>
      <c r="BF802" s="9">
        <v>8.01</v>
      </c>
      <c r="BG802" s="9">
        <f t="shared" si="25"/>
        <v>2.2911435611852226E-2</v>
      </c>
      <c r="BH802" s="9">
        <f t="shared" si="24"/>
        <v>3.4037809880506517E-2</v>
      </c>
      <c r="BQ802" s="8">
        <v>8</v>
      </c>
      <c r="BR802" s="8" t="s">
        <v>1664</v>
      </c>
    </row>
    <row r="803" spans="1:70" x14ac:dyDescent="0.3">
      <c r="A803" s="11" t="s">
        <v>1665</v>
      </c>
      <c r="B803" s="12">
        <v>179700</v>
      </c>
      <c r="C803" s="12">
        <v>545900</v>
      </c>
      <c r="D803" s="12">
        <v>0.05</v>
      </c>
      <c r="E803" s="12">
        <v>0.13</v>
      </c>
      <c r="F803" s="12">
        <v>0.04</v>
      </c>
      <c r="G803" s="12">
        <v>7.0000000000000007E-2</v>
      </c>
      <c r="H803" s="12">
        <v>0.16</v>
      </c>
      <c r="I803" s="12">
        <v>0.05</v>
      </c>
      <c r="J803" s="12">
        <v>0.09</v>
      </c>
      <c r="K803" s="12">
        <v>0.21</v>
      </c>
      <c r="L803" s="12">
        <v>7.0000000000000007E-2</v>
      </c>
      <c r="M803" s="8">
        <v>8</v>
      </c>
      <c r="N803">
        <v>10</v>
      </c>
      <c r="O803" s="12">
        <v>12</v>
      </c>
      <c r="BF803" s="9">
        <v>8.02</v>
      </c>
      <c r="BG803" s="9">
        <f t="shared" si="25"/>
        <v>2.2854335482988292E-2</v>
      </c>
      <c r="BH803" s="9">
        <f t="shared" si="24"/>
        <v>3.3995368721054513E-2</v>
      </c>
      <c r="BQ803" s="8">
        <v>5</v>
      </c>
      <c r="BR803" s="8" t="s">
        <v>1666</v>
      </c>
    </row>
    <row r="804" spans="1:70" x14ac:dyDescent="0.3">
      <c r="A804" s="11" t="s">
        <v>1667</v>
      </c>
      <c r="B804" s="12">
        <v>175500</v>
      </c>
      <c r="C804" s="12">
        <v>636200</v>
      </c>
      <c r="D804" s="12">
        <v>0.06</v>
      </c>
      <c r="E804" s="12">
        <v>0.15</v>
      </c>
      <c r="F804" s="12">
        <v>0.04</v>
      </c>
      <c r="G804" s="12">
        <v>0.08</v>
      </c>
      <c r="H804" s="12">
        <v>0.19</v>
      </c>
      <c r="I804" s="12">
        <v>0.05</v>
      </c>
      <c r="J804" s="12">
        <v>0.1</v>
      </c>
      <c r="K804" s="12">
        <v>0.26</v>
      </c>
      <c r="L804" s="12">
        <v>7.0000000000000007E-2</v>
      </c>
      <c r="M804" s="8">
        <v>8</v>
      </c>
      <c r="N804">
        <v>10</v>
      </c>
      <c r="O804" s="12">
        <v>12</v>
      </c>
      <c r="BF804" s="9">
        <v>8.0299999999999994</v>
      </c>
      <c r="BG804" s="9">
        <f t="shared" si="25"/>
        <v>2.2797448546778971E-2</v>
      </c>
      <c r="BH804" s="9">
        <f t="shared" si="24"/>
        <v>3.395303326810177E-2</v>
      </c>
      <c r="BQ804" s="8">
        <v>6</v>
      </c>
      <c r="BR804" s="8" t="s">
        <v>1668</v>
      </c>
    </row>
    <row r="805" spans="1:70" x14ac:dyDescent="0.3">
      <c r="A805" s="11" t="s">
        <v>1669</v>
      </c>
      <c r="B805" s="12">
        <v>251600</v>
      </c>
      <c r="C805" s="12">
        <v>794700</v>
      </c>
      <c r="D805" s="12">
        <v>0.23</v>
      </c>
      <c r="E805" s="12">
        <v>0.56000000000000005</v>
      </c>
      <c r="F805" s="12">
        <v>0.11</v>
      </c>
      <c r="G805" s="12">
        <v>0.3</v>
      </c>
      <c r="H805" s="12">
        <v>0.75</v>
      </c>
      <c r="I805" s="12">
        <v>0.15</v>
      </c>
      <c r="J805" s="12">
        <v>0.41</v>
      </c>
      <c r="K805" s="12">
        <v>1.04</v>
      </c>
      <c r="L805" s="12">
        <v>0.22</v>
      </c>
      <c r="M805" s="8">
        <v>5</v>
      </c>
      <c r="N805">
        <v>6</v>
      </c>
      <c r="O805" s="12">
        <v>7</v>
      </c>
      <c r="BF805" s="9">
        <v>8.0399999999999991</v>
      </c>
      <c r="BG805" s="9">
        <f t="shared" si="25"/>
        <v>2.2740773743224182E-2</v>
      </c>
      <c r="BH805" s="9">
        <f t="shared" si="24"/>
        <v>3.3910803127221049E-2</v>
      </c>
      <c r="BQ805" s="8">
        <v>5</v>
      </c>
      <c r="BR805" s="8" t="s">
        <v>1670</v>
      </c>
    </row>
    <row r="806" spans="1:70" x14ac:dyDescent="0.3">
      <c r="A806" s="11" t="s">
        <v>1671</v>
      </c>
      <c r="B806" s="12">
        <v>230700</v>
      </c>
      <c r="C806" s="12">
        <v>738200</v>
      </c>
      <c r="D806" s="12">
        <v>0.15</v>
      </c>
      <c r="E806" s="12">
        <v>0.38</v>
      </c>
      <c r="F806" s="12">
        <v>0.08</v>
      </c>
      <c r="G806" s="12">
        <v>0.19</v>
      </c>
      <c r="H806" s="12">
        <v>0.49</v>
      </c>
      <c r="I806" s="12">
        <v>0.1</v>
      </c>
      <c r="J806" s="12">
        <v>0.25</v>
      </c>
      <c r="K806" s="12">
        <v>0.65</v>
      </c>
      <c r="L806" s="12">
        <v>0.14000000000000001</v>
      </c>
      <c r="M806" s="8">
        <v>6</v>
      </c>
      <c r="N806">
        <v>7</v>
      </c>
      <c r="O806" s="12">
        <v>9</v>
      </c>
      <c r="BF806" s="9">
        <v>8.0500000000000007</v>
      </c>
      <c r="BG806" s="9">
        <f t="shared" si="25"/>
        <v>2.268431001890359E-2</v>
      </c>
      <c r="BH806" s="9">
        <f t="shared" si="24"/>
        <v>3.3868677905944992E-2</v>
      </c>
      <c r="BQ806" s="8">
        <v>8</v>
      </c>
      <c r="BR806" s="8" t="s">
        <v>1672</v>
      </c>
    </row>
    <row r="807" spans="1:70" x14ac:dyDescent="0.3">
      <c r="A807" s="11" t="s">
        <v>1673</v>
      </c>
      <c r="B807" s="12">
        <v>246500</v>
      </c>
      <c r="C807" s="12">
        <v>668900</v>
      </c>
      <c r="D807" s="12">
        <v>0.25</v>
      </c>
      <c r="E807" s="12">
        <v>0.62</v>
      </c>
      <c r="F807" s="12">
        <v>0.11</v>
      </c>
      <c r="G807" s="12">
        <v>0.32</v>
      </c>
      <c r="H807" s="12">
        <v>0.82</v>
      </c>
      <c r="I807" s="12">
        <v>0.16</v>
      </c>
      <c r="J807" s="12">
        <v>0.44</v>
      </c>
      <c r="K807" s="12">
        <v>1.1200000000000001</v>
      </c>
      <c r="L807" s="12">
        <v>0.23</v>
      </c>
      <c r="M807" s="8">
        <v>5</v>
      </c>
      <c r="N807">
        <v>5</v>
      </c>
      <c r="O807" s="12">
        <v>6</v>
      </c>
      <c r="BF807" s="9">
        <v>8.06</v>
      </c>
      <c r="BG807" s="9">
        <f t="shared" si="25"/>
        <v>2.262805632692769E-2</v>
      </c>
      <c r="BH807" s="9">
        <f t="shared" si="24"/>
        <v>3.382665721375399E-2</v>
      </c>
      <c r="BQ807" s="8">
        <v>5</v>
      </c>
      <c r="BR807" s="8" t="s">
        <v>1674</v>
      </c>
    </row>
    <row r="808" spans="1:70" x14ac:dyDescent="0.3">
      <c r="A808" s="11" t="s">
        <v>1675</v>
      </c>
      <c r="B808" s="12">
        <v>170800</v>
      </c>
      <c r="C808" s="12">
        <v>623500</v>
      </c>
      <c r="D808" s="12">
        <v>7.0000000000000007E-2</v>
      </c>
      <c r="E808" s="12">
        <v>0.16</v>
      </c>
      <c r="F808" s="12">
        <v>0.04</v>
      </c>
      <c r="G808" s="12">
        <v>0.09</v>
      </c>
      <c r="H808" s="12">
        <v>0.21</v>
      </c>
      <c r="I808" s="12">
        <v>0.05</v>
      </c>
      <c r="J808" s="12">
        <v>0.12</v>
      </c>
      <c r="K808" s="12">
        <v>0.3</v>
      </c>
      <c r="L808" s="12">
        <v>7.0000000000000007E-2</v>
      </c>
      <c r="M808" s="8">
        <v>8</v>
      </c>
      <c r="N808">
        <v>10</v>
      </c>
      <c r="O808" s="12">
        <v>12</v>
      </c>
      <c r="BF808" s="9">
        <v>8.07</v>
      </c>
      <c r="BG808" s="9">
        <f t="shared" si="25"/>
        <v>2.2572011626889252E-2</v>
      </c>
      <c r="BH808" s="9">
        <f t="shared" si="24"/>
        <v>3.3784740662064085E-2</v>
      </c>
      <c r="BQ808" s="8">
        <v>8</v>
      </c>
      <c r="BR808" s="8" t="s">
        <v>1676</v>
      </c>
    </row>
    <row r="809" spans="1:70" x14ac:dyDescent="0.3">
      <c r="A809" s="11" t="s">
        <v>1677</v>
      </c>
      <c r="B809" s="12">
        <v>246500</v>
      </c>
      <c r="C809" s="12">
        <v>691100</v>
      </c>
      <c r="D809" s="12">
        <v>0.24</v>
      </c>
      <c r="E809" s="12">
        <v>0.6</v>
      </c>
      <c r="F809" s="12">
        <v>0.11</v>
      </c>
      <c r="G809" s="12">
        <v>0.31</v>
      </c>
      <c r="H809" s="12">
        <v>0.79</v>
      </c>
      <c r="I809" s="12">
        <v>0.15</v>
      </c>
      <c r="J809" s="12">
        <v>0.42</v>
      </c>
      <c r="K809" s="12">
        <v>1.08</v>
      </c>
      <c r="L809" s="12">
        <v>0.22</v>
      </c>
      <c r="M809" s="8">
        <v>5</v>
      </c>
      <c r="N809">
        <v>5</v>
      </c>
      <c r="O809" s="12">
        <v>6</v>
      </c>
      <c r="BF809" s="9">
        <v>8.08</v>
      </c>
      <c r="BG809" s="9">
        <f t="shared" si="25"/>
        <v>2.2516174884815214E-2</v>
      </c>
      <c r="BH809" s="9">
        <f t="shared" si="24"/>
        <v>3.3742927864214997E-2</v>
      </c>
      <c r="BQ809" s="8">
        <v>8</v>
      </c>
      <c r="BR809" s="8" t="s">
        <v>1678</v>
      </c>
    </row>
    <row r="810" spans="1:70" x14ac:dyDescent="0.3">
      <c r="A810" s="11" t="s">
        <v>1679</v>
      </c>
      <c r="B810" s="12">
        <v>195000</v>
      </c>
      <c r="C810" s="12">
        <v>642000</v>
      </c>
      <c r="D810" s="12">
        <v>0.06</v>
      </c>
      <c r="E810" s="12">
        <v>0.16</v>
      </c>
      <c r="F810" s="12">
        <v>0.04</v>
      </c>
      <c r="G810" s="12">
        <v>0.08</v>
      </c>
      <c r="H810" s="12">
        <v>0.2</v>
      </c>
      <c r="I810" s="12">
        <v>0.06</v>
      </c>
      <c r="J810" s="12">
        <v>0.1</v>
      </c>
      <c r="K810" s="12">
        <v>0.25</v>
      </c>
      <c r="L810" s="12">
        <v>0.08</v>
      </c>
      <c r="M810" s="8">
        <v>8</v>
      </c>
      <c r="N810">
        <v>9</v>
      </c>
      <c r="O810" s="12">
        <v>12</v>
      </c>
      <c r="BF810" s="9">
        <v>8.09</v>
      </c>
      <c r="BG810" s="9">
        <f t="shared" si="25"/>
        <v>2.2460545073119006E-2</v>
      </c>
      <c r="BH810" s="9">
        <f t="shared" si="24"/>
        <v>3.3701218435458244E-2</v>
      </c>
      <c r="BQ810" s="8">
        <v>5</v>
      </c>
      <c r="BR810" s="8" t="s">
        <v>1680</v>
      </c>
    </row>
    <row r="811" spans="1:70" x14ac:dyDescent="0.3">
      <c r="A811" s="11" t="s">
        <v>1681</v>
      </c>
      <c r="B811" s="12">
        <v>190700</v>
      </c>
      <c r="C811" s="12">
        <v>636800</v>
      </c>
      <c r="D811" s="12">
        <v>0.06</v>
      </c>
      <c r="E811" s="12">
        <v>0.15</v>
      </c>
      <c r="F811" s="12">
        <v>0.04</v>
      </c>
      <c r="G811" s="12">
        <v>0.08</v>
      </c>
      <c r="H811" s="12">
        <v>0.19</v>
      </c>
      <c r="I811" s="12">
        <v>0.06</v>
      </c>
      <c r="J811" s="12">
        <v>0.1</v>
      </c>
      <c r="K811" s="12">
        <v>0.25</v>
      </c>
      <c r="L811" s="12">
        <v>7.0000000000000007E-2</v>
      </c>
      <c r="M811" s="8">
        <v>8</v>
      </c>
      <c r="N811">
        <v>10</v>
      </c>
      <c r="O811" s="12">
        <v>12</v>
      </c>
      <c r="BF811" s="9">
        <v>8.1</v>
      </c>
      <c r="BG811" s="9">
        <f t="shared" si="25"/>
        <v>2.2405121170553269E-2</v>
      </c>
      <c r="BH811" s="9">
        <f t="shared" si="24"/>
        <v>3.3659611992945336E-2</v>
      </c>
      <c r="BQ811" s="8">
        <v>8</v>
      </c>
      <c r="BR811" s="8" t="s">
        <v>1682</v>
      </c>
    </row>
    <row r="812" spans="1:70" x14ac:dyDescent="0.3">
      <c r="A812" s="11" t="s">
        <v>1683</v>
      </c>
      <c r="B812" s="12">
        <v>256400</v>
      </c>
      <c r="C812" s="12">
        <v>767600</v>
      </c>
      <c r="D812" s="12">
        <v>0.28000000000000003</v>
      </c>
      <c r="E812" s="12">
        <v>0.68</v>
      </c>
      <c r="F812" s="12">
        <v>0.13</v>
      </c>
      <c r="G812" s="12">
        <v>0.36</v>
      </c>
      <c r="H812" s="12">
        <v>0.91</v>
      </c>
      <c r="I812" s="12">
        <v>0.18</v>
      </c>
      <c r="J812" s="12">
        <v>0.49</v>
      </c>
      <c r="K812" s="12">
        <v>1.24</v>
      </c>
      <c r="L812" s="12">
        <v>0.26</v>
      </c>
      <c r="M812" s="8">
        <v>5</v>
      </c>
      <c r="N812">
        <v>5</v>
      </c>
      <c r="O812" s="12">
        <v>6</v>
      </c>
      <c r="BF812" s="9">
        <v>8.11</v>
      </c>
      <c r="BG812" s="9">
        <f t="shared" si="25"/>
        <v>2.2349902162162986E-2</v>
      </c>
      <c r="BH812" s="9">
        <f t="shared" si="24"/>
        <v>3.3618108155716052E-2</v>
      </c>
      <c r="BQ812" s="8">
        <v>6</v>
      </c>
      <c r="BR812" s="8" t="s">
        <v>1684</v>
      </c>
    </row>
    <row r="813" spans="1:70" x14ac:dyDescent="0.3">
      <c r="A813" s="11" t="s">
        <v>1685</v>
      </c>
      <c r="B813" s="12">
        <v>173300</v>
      </c>
      <c r="C813" s="12">
        <v>585800</v>
      </c>
      <c r="D813" s="12">
        <v>0.06</v>
      </c>
      <c r="E813" s="12">
        <v>0.14000000000000001</v>
      </c>
      <c r="F813" s="12">
        <v>0.04</v>
      </c>
      <c r="G813" s="12">
        <v>7.0000000000000007E-2</v>
      </c>
      <c r="H813" s="12">
        <v>0.18</v>
      </c>
      <c r="I813" s="12">
        <v>0.05</v>
      </c>
      <c r="J813" s="12">
        <v>0.1</v>
      </c>
      <c r="K813" s="12">
        <v>0.24</v>
      </c>
      <c r="L813" s="12">
        <v>7.0000000000000007E-2</v>
      </c>
      <c r="M813" s="8">
        <v>8</v>
      </c>
      <c r="N813">
        <v>10</v>
      </c>
      <c r="O813" s="12">
        <v>12</v>
      </c>
      <c r="BF813" s="9">
        <v>8.1199999999999992</v>
      </c>
      <c r="BG813" s="9">
        <f t="shared" si="25"/>
        <v>2.2294887039239007E-2</v>
      </c>
      <c r="BH813" s="9">
        <f t="shared" si="24"/>
        <v>3.3576706544686849E-2</v>
      </c>
      <c r="BQ813" s="8">
        <v>8</v>
      </c>
      <c r="BR813" s="8" t="s">
        <v>1686</v>
      </c>
    </row>
    <row r="814" spans="1:70" x14ac:dyDescent="0.3">
      <c r="A814" s="11" t="s">
        <v>1687</v>
      </c>
      <c r="B814" s="12">
        <v>213600</v>
      </c>
      <c r="C814" s="12">
        <v>724000</v>
      </c>
      <c r="D814" s="12">
        <v>0.13</v>
      </c>
      <c r="E814" s="12">
        <v>0.33</v>
      </c>
      <c r="F814" s="12">
        <v>7.0000000000000007E-2</v>
      </c>
      <c r="G814" s="12">
        <v>0.18</v>
      </c>
      <c r="H814" s="12">
        <v>0.45</v>
      </c>
      <c r="I814" s="12">
        <v>0.09</v>
      </c>
      <c r="J814" s="12">
        <v>0.26</v>
      </c>
      <c r="K814" s="12">
        <v>0.66</v>
      </c>
      <c r="L814" s="12">
        <v>0.13</v>
      </c>
      <c r="M814" s="8">
        <v>6</v>
      </c>
      <c r="N814">
        <v>7</v>
      </c>
      <c r="O814" s="12">
        <v>8</v>
      </c>
      <c r="BF814" s="9">
        <v>8.1300000000000008</v>
      </c>
      <c r="BG814" s="9">
        <f t="shared" si="25"/>
        <v>2.224007479927197E-2</v>
      </c>
      <c r="BH814" s="9">
        <f t="shared" si="24"/>
        <v>3.3535406782639256E-2</v>
      </c>
      <c r="BQ814" s="8">
        <v>8</v>
      </c>
      <c r="BR814" s="8" t="s">
        <v>1688</v>
      </c>
    </row>
    <row r="815" spans="1:70" x14ac:dyDescent="0.3">
      <c r="A815" s="11" t="s">
        <v>1689</v>
      </c>
      <c r="B815" s="12">
        <v>183300</v>
      </c>
      <c r="C815" s="12">
        <v>657400</v>
      </c>
      <c r="D815" s="12">
        <v>0.06</v>
      </c>
      <c r="E815" s="12">
        <v>0.14000000000000001</v>
      </c>
      <c r="F815" s="12">
        <v>0.04</v>
      </c>
      <c r="G815" s="12">
        <v>7.0000000000000007E-2</v>
      </c>
      <c r="H815" s="12">
        <v>0.18</v>
      </c>
      <c r="I815" s="12">
        <v>0.05</v>
      </c>
      <c r="J815" s="12">
        <v>0.09</v>
      </c>
      <c r="K815" s="12">
        <v>0.23</v>
      </c>
      <c r="L815" s="12">
        <v>7.0000000000000007E-2</v>
      </c>
      <c r="M815" s="8">
        <v>8</v>
      </c>
      <c r="N815">
        <v>10</v>
      </c>
      <c r="O815" s="12">
        <v>12</v>
      </c>
      <c r="BF815" s="9">
        <v>8.14</v>
      </c>
      <c r="BG815" s="9">
        <f t="shared" si="25"/>
        <v>2.2185464445906702E-2</v>
      </c>
      <c r="BH815" s="9">
        <f t="shared" si="24"/>
        <v>3.3494208494208498E-2</v>
      </c>
      <c r="BQ815" s="8">
        <v>7</v>
      </c>
      <c r="BR815" s="8" t="s">
        <v>1690</v>
      </c>
    </row>
    <row r="816" spans="1:70" x14ac:dyDescent="0.3">
      <c r="A816" s="11" t="s">
        <v>1691</v>
      </c>
      <c r="B816" s="12">
        <v>191300</v>
      </c>
      <c r="C816" s="12">
        <v>696000</v>
      </c>
      <c r="D816" s="12">
        <v>7.0000000000000007E-2</v>
      </c>
      <c r="E816" s="12">
        <v>0.17</v>
      </c>
      <c r="F816" s="12">
        <v>0.05</v>
      </c>
      <c r="G816" s="12">
        <v>0.09</v>
      </c>
      <c r="H816" s="12">
        <v>0.22</v>
      </c>
      <c r="I816" s="12">
        <v>0.06</v>
      </c>
      <c r="J816" s="12">
        <v>0.11</v>
      </c>
      <c r="K816" s="12">
        <v>0.28999999999999998</v>
      </c>
      <c r="L816" s="12">
        <v>0.08</v>
      </c>
      <c r="M816" s="8">
        <v>8</v>
      </c>
      <c r="N816">
        <v>9</v>
      </c>
      <c r="O816" s="12">
        <v>12</v>
      </c>
      <c r="BF816" s="9">
        <v>8.15</v>
      </c>
      <c r="BG816" s="9">
        <f t="shared" si="25"/>
        <v>2.2131054988896833E-2</v>
      </c>
      <c r="BH816" s="9">
        <f t="shared" si="24"/>
        <v>3.3453111305872044E-2</v>
      </c>
      <c r="BQ816" s="8">
        <v>8</v>
      </c>
      <c r="BR816" s="8" t="s">
        <v>1692</v>
      </c>
    </row>
    <row r="817" spans="1:70" x14ac:dyDescent="0.3">
      <c r="A817" s="11" t="s">
        <v>1693</v>
      </c>
      <c r="B817" s="12">
        <v>198700</v>
      </c>
      <c r="C817" s="12">
        <v>710300</v>
      </c>
      <c r="D817" s="12">
        <v>0.08</v>
      </c>
      <c r="E817" s="12">
        <v>0.21</v>
      </c>
      <c r="F817" s="12">
        <v>0.05</v>
      </c>
      <c r="G817" s="12">
        <v>0.11</v>
      </c>
      <c r="H817" s="12">
        <v>0.27</v>
      </c>
      <c r="I817" s="12">
        <v>7.0000000000000007E-2</v>
      </c>
      <c r="J817" s="12">
        <v>0.14000000000000001</v>
      </c>
      <c r="K817" s="12">
        <v>0.35</v>
      </c>
      <c r="L817" s="12">
        <v>0.09</v>
      </c>
      <c r="M817" s="8">
        <v>7</v>
      </c>
      <c r="N817">
        <v>9</v>
      </c>
      <c r="O817" s="12">
        <v>11</v>
      </c>
      <c r="BF817" s="9">
        <v>8.16</v>
      </c>
      <c r="BG817" s="9">
        <f t="shared" si="25"/>
        <v>2.2076845444059977E-2</v>
      </c>
      <c r="BH817" s="9">
        <f t="shared" si="24"/>
        <v>3.3412114845938382E-2</v>
      </c>
      <c r="BQ817" s="8">
        <v>8</v>
      </c>
      <c r="BR817" s="8" t="s">
        <v>1694</v>
      </c>
    </row>
    <row r="818" spans="1:70" x14ac:dyDescent="0.3">
      <c r="A818" s="11" t="s">
        <v>1695</v>
      </c>
      <c r="B818" s="12">
        <v>192400</v>
      </c>
      <c r="C818" s="12">
        <v>681700</v>
      </c>
      <c r="D818" s="12">
        <v>7.0000000000000007E-2</v>
      </c>
      <c r="E818" s="12">
        <v>0.16</v>
      </c>
      <c r="F818" s="12">
        <v>0.05</v>
      </c>
      <c r="G818" s="12">
        <v>0.08</v>
      </c>
      <c r="H818" s="12">
        <v>0.2</v>
      </c>
      <c r="I818" s="12">
        <v>0.06</v>
      </c>
      <c r="J818" s="12">
        <v>0.11</v>
      </c>
      <c r="K818" s="12">
        <v>0.27</v>
      </c>
      <c r="L818" s="12">
        <v>0.08</v>
      </c>
      <c r="M818" s="8">
        <v>8</v>
      </c>
      <c r="N818">
        <v>9</v>
      </c>
      <c r="O818" s="12">
        <v>12</v>
      </c>
      <c r="BF818" s="9">
        <v>8.17</v>
      </c>
      <c r="BG818" s="9">
        <f t="shared" si="25"/>
        <v>2.202283483323321E-2</v>
      </c>
      <c r="BH818" s="9">
        <f t="shared" si="24"/>
        <v>3.3371218744535761E-2</v>
      </c>
      <c r="BQ818" s="8">
        <v>8</v>
      </c>
      <c r="BR818" s="8" t="s">
        <v>1696</v>
      </c>
    </row>
    <row r="819" spans="1:70" x14ac:dyDescent="0.3">
      <c r="A819" s="11" t="s">
        <v>1697</v>
      </c>
      <c r="B819" s="12">
        <v>164300</v>
      </c>
      <c r="C819" s="12">
        <v>618600</v>
      </c>
      <c r="D819" s="12">
        <v>0.06</v>
      </c>
      <c r="E819" s="12">
        <v>0.16</v>
      </c>
      <c r="F819" s="12">
        <v>0.04</v>
      </c>
      <c r="G819" s="12">
        <v>0.09</v>
      </c>
      <c r="H819" s="12">
        <v>0.21</v>
      </c>
      <c r="I819" s="12">
        <v>0.05</v>
      </c>
      <c r="J819" s="12">
        <v>0.12</v>
      </c>
      <c r="K819" s="12">
        <v>0.3</v>
      </c>
      <c r="L819" s="12">
        <v>7.0000000000000007E-2</v>
      </c>
      <c r="M819" s="8">
        <v>8</v>
      </c>
      <c r="N819">
        <v>10</v>
      </c>
      <c r="O819" s="12">
        <v>12</v>
      </c>
      <c r="BF819" s="9">
        <v>8.18</v>
      </c>
      <c r="BG819" s="9">
        <f t="shared" si="25"/>
        <v>2.1969022184228935E-2</v>
      </c>
      <c r="BH819" s="9">
        <f t="shared" si="24"/>
        <v>3.3330422633601121E-2</v>
      </c>
      <c r="BQ819" s="8">
        <v>6</v>
      </c>
      <c r="BR819" s="8" t="s">
        <v>1698</v>
      </c>
    </row>
    <row r="820" spans="1:70" x14ac:dyDescent="0.3">
      <c r="A820" s="11" t="s">
        <v>1699</v>
      </c>
      <c r="B820" s="12">
        <v>197500</v>
      </c>
      <c r="C820" s="12">
        <v>673600</v>
      </c>
      <c r="D820" s="12">
        <v>7.0000000000000007E-2</v>
      </c>
      <c r="E820" s="12">
        <v>0.17</v>
      </c>
      <c r="F820" s="12">
        <v>0.05</v>
      </c>
      <c r="G820" s="12">
        <v>0.09</v>
      </c>
      <c r="H820" s="12">
        <v>0.21</v>
      </c>
      <c r="I820" s="12">
        <v>0.06</v>
      </c>
      <c r="J820" s="12">
        <v>0.11</v>
      </c>
      <c r="K820" s="12">
        <v>0.28000000000000003</v>
      </c>
      <c r="L820" s="12">
        <v>0.08</v>
      </c>
      <c r="M820" s="8">
        <v>8</v>
      </c>
      <c r="N820">
        <v>9</v>
      </c>
      <c r="O820" s="12">
        <v>12</v>
      </c>
      <c r="BF820" s="9">
        <v>8.19</v>
      </c>
      <c r="BG820" s="9">
        <f t="shared" si="25"/>
        <v>2.1915406530791146E-2</v>
      </c>
      <c r="BH820" s="9">
        <f t="shared" si="24"/>
        <v>3.3289726146869009E-2</v>
      </c>
      <c r="BQ820" s="8">
        <v>7</v>
      </c>
      <c r="BR820" s="8" t="s">
        <v>1700</v>
      </c>
    </row>
    <row r="821" spans="1:70" x14ac:dyDescent="0.3">
      <c r="A821" s="11" t="s">
        <v>1701</v>
      </c>
      <c r="B821" s="12">
        <v>233500</v>
      </c>
      <c r="C821" s="12">
        <v>771700</v>
      </c>
      <c r="D821" s="12">
        <v>0.14000000000000001</v>
      </c>
      <c r="E821" s="12">
        <v>0.36</v>
      </c>
      <c r="F821" s="12">
        <v>7.0000000000000007E-2</v>
      </c>
      <c r="G821" s="12">
        <v>0.18</v>
      </c>
      <c r="H821" s="12">
        <v>0.46</v>
      </c>
      <c r="I821" s="12">
        <v>0.1</v>
      </c>
      <c r="J821" s="12">
        <v>0.23</v>
      </c>
      <c r="K821" s="12">
        <v>0.6</v>
      </c>
      <c r="L821" s="12">
        <v>0.13</v>
      </c>
      <c r="M821" s="8">
        <v>6</v>
      </c>
      <c r="N821">
        <v>8</v>
      </c>
      <c r="O821" s="12">
        <v>10</v>
      </c>
      <c r="BF821" s="9">
        <v>8.1999999999999993</v>
      </c>
      <c r="BG821" s="9">
        <f t="shared" si="25"/>
        <v>2.1861986912552055E-2</v>
      </c>
      <c r="BH821" s="9">
        <f t="shared" si="24"/>
        <v>3.3249128919860635E-2</v>
      </c>
      <c r="BQ821" s="8">
        <v>5</v>
      </c>
      <c r="BR821" s="8" t="s">
        <v>1702</v>
      </c>
    </row>
    <row r="822" spans="1:70" x14ac:dyDescent="0.3">
      <c r="A822" s="11" t="s">
        <v>1703</v>
      </c>
      <c r="B822" s="12">
        <v>203500</v>
      </c>
      <c r="C822" s="12">
        <v>648500</v>
      </c>
      <c r="D822" s="12">
        <v>7.0000000000000007E-2</v>
      </c>
      <c r="E822" s="12">
        <v>0.18</v>
      </c>
      <c r="F822" s="12">
        <v>0.05</v>
      </c>
      <c r="G822" s="12">
        <v>0.09</v>
      </c>
      <c r="H822" s="12">
        <v>0.22</v>
      </c>
      <c r="I822" s="12">
        <v>0.06</v>
      </c>
      <c r="J822" s="12">
        <v>0.11</v>
      </c>
      <c r="K822" s="12">
        <v>0.28999999999999998</v>
      </c>
      <c r="L822" s="12">
        <v>0.08</v>
      </c>
      <c r="M822" s="8">
        <v>7</v>
      </c>
      <c r="N822">
        <v>9</v>
      </c>
      <c r="O822" s="12">
        <v>11</v>
      </c>
      <c r="BF822" s="9">
        <v>8.2100000000000009</v>
      </c>
      <c r="BG822" s="9">
        <f t="shared" si="25"/>
        <v>2.1808762374989053E-2</v>
      </c>
      <c r="BH822" s="9">
        <f t="shared" si="24"/>
        <v>3.320863058987298E-2</v>
      </c>
      <c r="BQ822" s="8">
        <v>5</v>
      </c>
      <c r="BR822" s="8" t="s">
        <v>1704</v>
      </c>
    </row>
    <row r="823" spans="1:70" x14ac:dyDescent="0.3">
      <c r="A823" s="11" t="s">
        <v>1705</v>
      </c>
      <c r="B823" s="12">
        <v>265200</v>
      </c>
      <c r="C823" s="12">
        <v>743700</v>
      </c>
      <c r="D823" s="12">
        <v>0.25</v>
      </c>
      <c r="E823" s="12">
        <v>0.61</v>
      </c>
      <c r="F823" s="12">
        <v>0.11</v>
      </c>
      <c r="G823" s="12">
        <v>0.32</v>
      </c>
      <c r="H823" s="12">
        <v>0.81</v>
      </c>
      <c r="I823" s="12">
        <v>0.16</v>
      </c>
      <c r="J823" s="12">
        <v>0.43</v>
      </c>
      <c r="K823" s="12">
        <v>1.1100000000000001</v>
      </c>
      <c r="L823" s="12">
        <v>0.23</v>
      </c>
      <c r="M823" s="8">
        <v>5</v>
      </c>
      <c r="N823">
        <v>6</v>
      </c>
      <c r="O823" s="12">
        <v>7</v>
      </c>
      <c r="BF823" s="9">
        <v>8.2200000000000006</v>
      </c>
      <c r="BG823" s="9">
        <f t="shared" si="25"/>
        <v>2.1755731969382134E-2</v>
      </c>
      <c r="BH823" s="9">
        <f t="shared" si="24"/>
        <v>3.3168230795968028E-2</v>
      </c>
      <c r="BQ823" s="8">
        <v>5</v>
      </c>
      <c r="BR823" s="8" t="s">
        <v>1706</v>
      </c>
    </row>
    <row r="824" spans="1:70" x14ac:dyDescent="0.3">
      <c r="A824" s="11" t="s">
        <v>1707</v>
      </c>
      <c r="B824" s="12">
        <v>235900</v>
      </c>
      <c r="C824" s="12">
        <v>538000</v>
      </c>
      <c r="D824" s="12">
        <v>0.21</v>
      </c>
      <c r="E824" s="12">
        <v>0.51</v>
      </c>
      <c r="F824" s="12">
        <v>0.09</v>
      </c>
      <c r="G824" s="12">
        <v>0.28000000000000003</v>
      </c>
      <c r="H824" s="12">
        <v>0.71</v>
      </c>
      <c r="I824" s="12">
        <v>0.13</v>
      </c>
      <c r="J824" s="12">
        <v>0.39</v>
      </c>
      <c r="K824" s="12">
        <v>1</v>
      </c>
      <c r="L824" s="12">
        <v>0.2</v>
      </c>
      <c r="M824" s="8">
        <v>5</v>
      </c>
      <c r="N824">
        <v>5</v>
      </c>
      <c r="O824" s="12">
        <v>6</v>
      </c>
      <c r="BF824" s="9">
        <v>8.23</v>
      </c>
      <c r="BG824" s="9">
        <f t="shared" si="25"/>
        <v>2.1702894752771547E-2</v>
      </c>
      <c r="BH824" s="9">
        <f t="shared" si="24"/>
        <v>3.3127929178961991E-2</v>
      </c>
      <c r="BQ824" s="8">
        <v>5</v>
      </c>
      <c r="BR824" s="8" t="s">
        <v>1708</v>
      </c>
    </row>
    <row r="825" spans="1:70" x14ac:dyDescent="0.3">
      <c r="A825" s="11" t="s">
        <v>1709</v>
      </c>
      <c r="B825" s="12">
        <v>256100</v>
      </c>
      <c r="C825" s="12">
        <v>785000</v>
      </c>
      <c r="D825" s="12">
        <v>0.26</v>
      </c>
      <c r="E825" s="12">
        <v>0.65</v>
      </c>
      <c r="F825" s="12">
        <v>0.12</v>
      </c>
      <c r="G825" s="12">
        <v>0.35</v>
      </c>
      <c r="H825" s="12">
        <v>0.87</v>
      </c>
      <c r="I825" s="12">
        <v>0.17</v>
      </c>
      <c r="J825" s="12">
        <v>0.47</v>
      </c>
      <c r="K825" s="12">
        <v>1.2</v>
      </c>
      <c r="L825" s="12">
        <v>0.25</v>
      </c>
      <c r="M825" s="8">
        <v>5</v>
      </c>
      <c r="N825">
        <v>6</v>
      </c>
      <c r="O825" s="12">
        <v>7</v>
      </c>
      <c r="BF825" s="9">
        <v>8.24</v>
      </c>
      <c r="BG825" s="9">
        <f t="shared" si="25"/>
        <v>2.165024978791592E-2</v>
      </c>
      <c r="BH825" s="9">
        <f t="shared" si="24"/>
        <v>3.3087725381414704E-2</v>
      </c>
      <c r="BQ825" s="8">
        <v>6</v>
      </c>
      <c r="BR825" s="8" t="s">
        <v>1710</v>
      </c>
    </row>
    <row r="826" spans="1:70" x14ac:dyDescent="0.3">
      <c r="A826" s="11" t="s">
        <v>1711</v>
      </c>
      <c r="B826" s="12">
        <v>202200</v>
      </c>
      <c r="C826" s="12">
        <v>440100</v>
      </c>
      <c r="D826" s="12">
        <v>0.17</v>
      </c>
      <c r="E826" s="12">
        <v>0.43</v>
      </c>
      <c r="F826" s="12">
        <v>7.0000000000000007E-2</v>
      </c>
      <c r="G826" s="12">
        <v>0.23</v>
      </c>
      <c r="H826" s="12">
        <v>0.56999999999999995</v>
      </c>
      <c r="I826" s="12">
        <v>0.1</v>
      </c>
      <c r="J826" s="12">
        <v>0.31</v>
      </c>
      <c r="K826" s="12">
        <v>0.79</v>
      </c>
      <c r="L826" s="12">
        <v>0.15</v>
      </c>
      <c r="M826" s="8">
        <v>5</v>
      </c>
      <c r="N826">
        <v>6</v>
      </c>
      <c r="O826" s="12">
        <v>6</v>
      </c>
      <c r="BF826" s="9">
        <v>8.25</v>
      </c>
      <c r="BG826" s="9">
        <f t="shared" si="25"/>
        <v>2.1597796143250688E-2</v>
      </c>
      <c r="BH826" s="9">
        <f t="shared" si="24"/>
        <v>3.3047619047619055E-2</v>
      </c>
      <c r="BQ826" s="8">
        <v>8</v>
      </c>
      <c r="BR826" s="8" t="s">
        <v>1712</v>
      </c>
    </row>
    <row r="827" spans="1:70" x14ac:dyDescent="0.3">
      <c r="A827" s="11" t="s">
        <v>1713</v>
      </c>
      <c r="B827" s="12">
        <v>237100</v>
      </c>
      <c r="C827" s="12">
        <v>724500</v>
      </c>
      <c r="D827" s="12">
        <v>0.17</v>
      </c>
      <c r="E827" s="12">
        <v>0.44</v>
      </c>
      <c r="F827" s="12">
        <v>0.09</v>
      </c>
      <c r="G827" s="12">
        <v>0.22</v>
      </c>
      <c r="H827" s="12">
        <v>0.56999999999999995</v>
      </c>
      <c r="I827" s="12">
        <v>0.11</v>
      </c>
      <c r="J827" s="12">
        <v>0.28999999999999998</v>
      </c>
      <c r="K827" s="12">
        <v>0.76</v>
      </c>
      <c r="L827" s="12">
        <v>0.16</v>
      </c>
      <c r="M827" s="8">
        <v>6</v>
      </c>
      <c r="N827">
        <v>7</v>
      </c>
      <c r="O827" s="12">
        <v>8</v>
      </c>
      <c r="BF827" s="9">
        <v>8.26</v>
      </c>
      <c r="BG827" s="9">
        <f t="shared" si="25"/>
        <v>2.1545532892846886E-2</v>
      </c>
      <c r="BH827" s="9">
        <f t="shared" si="24"/>
        <v>3.300760982359046E-2</v>
      </c>
      <c r="BQ827" s="8">
        <v>8</v>
      </c>
      <c r="BR827" s="8" t="s">
        <v>1714</v>
      </c>
    </row>
    <row r="828" spans="1:70" x14ac:dyDescent="0.3">
      <c r="A828" s="11" t="s">
        <v>1715</v>
      </c>
      <c r="B828" s="12">
        <v>188700</v>
      </c>
      <c r="C828" s="12">
        <v>569800</v>
      </c>
      <c r="D828" s="12">
        <v>0.06</v>
      </c>
      <c r="E828" s="12">
        <v>0.15</v>
      </c>
      <c r="F828" s="12">
        <v>0.04</v>
      </c>
      <c r="G828" s="12">
        <v>0.08</v>
      </c>
      <c r="H828" s="12">
        <v>0.19</v>
      </c>
      <c r="I828" s="12">
        <v>0.05</v>
      </c>
      <c r="J828" s="12">
        <v>0.1</v>
      </c>
      <c r="K828" s="12">
        <v>0.25</v>
      </c>
      <c r="L828" s="12">
        <v>7.0000000000000007E-2</v>
      </c>
      <c r="M828" s="8">
        <v>8</v>
      </c>
      <c r="N828">
        <v>9</v>
      </c>
      <c r="O828" s="12">
        <v>11</v>
      </c>
      <c r="BF828" s="9">
        <v>8.27</v>
      </c>
      <c r="BG828" s="9">
        <f t="shared" si="25"/>
        <v>2.1493459116370267E-2</v>
      </c>
      <c r="BH828" s="9">
        <f t="shared" si="24"/>
        <v>3.2967697357056493E-2</v>
      </c>
      <c r="BQ828" s="8">
        <v>7</v>
      </c>
      <c r="BR828" s="8" t="s">
        <v>1716</v>
      </c>
    </row>
    <row r="829" spans="1:70" x14ac:dyDescent="0.3">
      <c r="A829" s="11" t="s">
        <v>1717</v>
      </c>
      <c r="B829" s="12">
        <v>170100</v>
      </c>
      <c r="C829" s="12">
        <v>618900</v>
      </c>
      <c r="D829" s="12">
        <v>7.0000000000000007E-2</v>
      </c>
      <c r="E829" s="12">
        <v>0.16</v>
      </c>
      <c r="F829" s="12">
        <v>0.04</v>
      </c>
      <c r="G829" s="12">
        <v>0.09</v>
      </c>
      <c r="H829" s="12">
        <v>0.22</v>
      </c>
      <c r="I829" s="12">
        <v>0.05</v>
      </c>
      <c r="J829" s="12">
        <v>0.13</v>
      </c>
      <c r="K829" s="12">
        <v>0.31</v>
      </c>
      <c r="L829" s="12">
        <v>7.0000000000000007E-2</v>
      </c>
      <c r="M829" s="8">
        <v>8</v>
      </c>
      <c r="N829">
        <v>10</v>
      </c>
      <c r="O829" s="12">
        <v>12</v>
      </c>
      <c r="BF829" s="9">
        <v>8.2799999999999994</v>
      </c>
      <c r="BG829" s="9">
        <f t="shared" si="25"/>
        <v>2.1441573899040819E-2</v>
      </c>
      <c r="BH829" s="9">
        <f t="shared" si="24"/>
        <v>3.2927881297446525E-2</v>
      </c>
      <c r="BQ829" s="8">
        <v>8</v>
      </c>
      <c r="BR829" s="8" t="s">
        <v>1718</v>
      </c>
    </row>
    <row r="830" spans="1:70" x14ac:dyDescent="0.3">
      <c r="A830" s="11" t="s">
        <v>1719</v>
      </c>
      <c r="B830" s="12">
        <v>198300</v>
      </c>
      <c r="C830" s="12">
        <v>600600</v>
      </c>
      <c r="D830" s="12">
        <v>0.08</v>
      </c>
      <c r="E830" s="12">
        <v>0.19</v>
      </c>
      <c r="F830" s="12">
        <v>0.05</v>
      </c>
      <c r="G830" s="12">
        <v>0.1</v>
      </c>
      <c r="H830" s="12">
        <v>0.25</v>
      </c>
      <c r="I830" s="12">
        <v>0.06</v>
      </c>
      <c r="J830" s="12">
        <v>0.14000000000000001</v>
      </c>
      <c r="K830" s="12">
        <v>0.34</v>
      </c>
      <c r="L830" s="12">
        <v>0.08</v>
      </c>
      <c r="M830" s="8">
        <v>7</v>
      </c>
      <c r="N830">
        <v>9</v>
      </c>
      <c r="O830" s="12">
        <v>11</v>
      </c>
      <c r="BF830" s="9">
        <v>8.2899999999999991</v>
      </c>
      <c r="BG830" s="9">
        <f t="shared" si="25"/>
        <v>2.1389876331592558E-2</v>
      </c>
      <c r="BH830" s="9">
        <f t="shared" si="24"/>
        <v>3.288816129588145E-2</v>
      </c>
      <c r="BQ830" s="8">
        <v>6</v>
      </c>
      <c r="BR830" s="8" t="s">
        <v>1720</v>
      </c>
    </row>
    <row r="831" spans="1:70" x14ac:dyDescent="0.3">
      <c r="A831" s="11" t="s">
        <v>1721</v>
      </c>
      <c r="B831" s="12">
        <v>171700</v>
      </c>
      <c r="C831" s="12">
        <v>614200</v>
      </c>
      <c r="D831" s="12">
        <v>7.0000000000000007E-2</v>
      </c>
      <c r="E831" s="12">
        <v>0.16</v>
      </c>
      <c r="F831" s="12">
        <v>0.04</v>
      </c>
      <c r="G831" s="12">
        <v>0.09</v>
      </c>
      <c r="H831" s="12">
        <v>0.21</v>
      </c>
      <c r="I831" s="12">
        <v>0.05</v>
      </c>
      <c r="J831" s="12">
        <v>0.12</v>
      </c>
      <c r="K831" s="12">
        <v>0.3</v>
      </c>
      <c r="L831" s="12">
        <v>7.0000000000000007E-2</v>
      </c>
      <c r="M831" s="8">
        <v>8</v>
      </c>
      <c r="N831">
        <v>10</v>
      </c>
      <c r="O831" s="12">
        <v>12</v>
      </c>
      <c r="BF831" s="9">
        <v>8.3000000000000007</v>
      </c>
      <c r="BG831" s="9">
        <f t="shared" si="25"/>
        <v>2.1338365510233701E-2</v>
      </c>
      <c r="BH831" s="9">
        <f t="shared" si="24"/>
        <v>3.2848537005163513E-2</v>
      </c>
      <c r="BQ831" s="8">
        <v>7</v>
      </c>
      <c r="BR831" s="8" t="s">
        <v>1722</v>
      </c>
    </row>
    <row r="832" spans="1:70" x14ac:dyDescent="0.3">
      <c r="A832" s="11" t="s">
        <v>1723</v>
      </c>
      <c r="B832" s="12">
        <v>218600</v>
      </c>
      <c r="C832" s="12">
        <v>732900</v>
      </c>
      <c r="D832" s="12">
        <v>0.15</v>
      </c>
      <c r="E832" s="12">
        <v>0.36</v>
      </c>
      <c r="F832" s="12">
        <v>7.0000000000000007E-2</v>
      </c>
      <c r="G832" s="12">
        <v>0.2</v>
      </c>
      <c r="H832" s="12">
        <v>0.5</v>
      </c>
      <c r="I832" s="12">
        <v>0.1</v>
      </c>
      <c r="J832" s="12">
        <v>0.28999999999999998</v>
      </c>
      <c r="K832" s="12">
        <v>0.72</v>
      </c>
      <c r="L832" s="12">
        <v>0.14000000000000001</v>
      </c>
      <c r="M832" s="8">
        <v>6</v>
      </c>
      <c r="N832">
        <v>7</v>
      </c>
      <c r="O832" s="12">
        <v>8</v>
      </c>
      <c r="BF832" s="9">
        <v>8.31</v>
      </c>
      <c r="BG832" s="9">
        <f t="shared" si="25"/>
        <v>2.1287040536607189E-2</v>
      </c>
      <c r="BH832" s="9">
        <f t="shared" si="24"/>
        <v>3.2809008079766208E-2</v>
      </c>
      <c r="BQ832" s="8">
        <v>6</v>
      </c>
      <c r="BR832" s="8" t="s">
        <v>1724</v>
      </c>
    </row>
    <row r="833" spans="1:70" x14ac:dyDescent="0.3">
      <c r="A833" s="11" t="s">
        <v>1725</v>
      </c>
      <c r="B833" s="12">
        <v>209500</v>
      </c>
      <c r="C833" s="12">
        <v>768000</v>
      </c>
      <c r="D833" s="12">
        <v>0.12</v>
      </c>
      <c r="E833" s="12">
        <v>0.3</v>
      </c>
      <c r="F833" s="12">
        <v>0.06</v>
      </c>
      <c r="G833" s="12">
        <v>0.16</v>
      </c>
      <c r="H833" s="12">
        <v>0.39</v>
      </c>
      <c r="I833" s="12">
        <v>0.08</v>
      </c>
      <c r="J833" s="12">
        <v>0.22</v>
      </c>
      <c r="K833" s="12">
        <v>0.55000000000000004</v>
      </c>
      <c r="L833" s="12">
        <v>0.11</v>
      </c>
      <c r="M833" s="8">
        <v>7</v>
      </c>
      <c r="N833">
        <v>8</v>
      </c>
      <c r="O833" s="12">
        <v>10</v>
      </c>
      <c r="BF833" s="9">
        <v>8.32</v>
      </c>
      <c r="BG833" s="9">
        <f t="shared" si="25"/>
        <v>2.1235900517751476E-2</v>
      </c>
      <c r="BH833" s="9">
        <f t="shared" si="24"/>
        <v>3.2769574175824177E-2</v>
      </c>
      <c r="BQ833" s="8">
        <v>8</v>
      </c>
      <c r="BR833" s="8" t="s">
        <v>1726</v>
      </c>
    </row>
    <row r="834" spans="1:70" x14ac:dyDescent="0.3">
      <c r="A834" s="11" t="s">
        <v>1727</v>
      </c>
      <c r="B834" s="12">
        <v>273900</v>
      </c>
      <c r="C834" s="12">
        <v>748900</v>
      </c>
      <c r="D834" s="12">
        <v>0.18</v>
      </c>
      <c r="E834" s="12">
        <v>0.44</v>
      </c>
      <c r="F834" s="12">
        <v>0.09</v>
      </c>
      <c r="G834" s="12">
        <v>0.22</v>
      </c>
      <c r="H834" s="12">
        <v>0.57999999999999996</v>
      </c>
      <c r="I834" s="12">
        <v>0.12</v>
      </c>
      <c r="J834" s="12">
        <v>0.28999999999999998</v>
      </c>
      <c r="K834" s="12">
        <v>0.78</v>
      </c>
      <c r="L834" s="12">
        <v>0.17</v>
      </c>
      <c r="M834" s="8">
        <v>6</v>
      </c>
      <c r="N834">
        <v>7</v>
      </c>
      <c r="O834" s="12">
        <v>8</v>
      </c>
      <c r="BF834" s="9">
        <v>8.33</v>
      </c>
      <c r="BG834" s="9">
        <f t="shared" si="25"/>
        <v>2.1184944566061716E-2</v>
      </c>
      <c r="BH834" s="9">
        <f t="shared" ref="BH834:BH897" si="26">IFERROR(IF($BF834&lt;AZ$33,AZ$32*(AZ$30/AZ$29+(1-AZ$30/AZ$29)*$BF834/AZ$33),IF($BF834&lt;AZ$34,AZ$32,IF($BF834&lt;AZ$35,AZ$31/$BF834,AZ$31*AZ$35/($BF834^2))))*$BC$29,"")</f>
        <v>3.2730234951123309E-2</v>
      </c>
      <c r="BQ834" s="8">
        <v>7</v>
      </c>
      <c r="BR834" s="8" t="s">
        <v>1728</v>
      </c>
    </row>
    <row r="835" spans="1:70" x14ac:dyDescent="0.3">
      <c r="A835" s="11" t="s">
        <v>1729</v>
      </c>
      <c r="B835" s="12">
        <v>171100</v>
      </c>
      <c r="C835" s="12">
        <v>614700</v>
      </c>
      <c r="D835" s="12">
        <v>7.0000000000000007E-2</v>
      </c>
      <c r="E835" s="12">
        <v>0.16</v>
      </c>
      <c r="F835" s="12">
        <v>0.04</v>
      </c>
      <c r="G835" s="12">
        <v>0.09</v>
      </c>
      <c r="H835" s="12">
        <v>0.22</v>
      </c>
      <c r="I835" s="12">
        <v>0.05</v>
      </c>
      <c r="J835" s="12">
        <v>0.12</v>
      </c>
      <c r="K835" s="12">
        <v>0.31</v>
      </c>
      <c r="L835" s="12">
        <v>7.0000000000000007E-2</v>
      </c>
      <c r="M835" s="8">
        <v>8</v>
      </c>
      <c r="N835">
        <v>10</v>
      </c>
      <c r="O835" s="12">
        <v>12</v>
      </c>
      <c r="BF835" s="9">
        <v>8.34</v>
      </c>
      <c r="BG835" s="9">
        <f t="shared" ref="BG835:BG898" si="27">IF(BF835&lt;AY$33,AY$32*(AY$30/AY$29+(1-AY$30/AY$29)*BF835/AY$33),IF(BF835&lt;AY$34,AY$32,IF(BF835&lt;AY$35,AY$31/BF835,AY$31*AY$35/(BF835^2))))*$BC$29</f>
        <v>2.1134171799251245E-2</v>
      </c>
      <c r="BH835" s="9">
        <f t="shared" si="26"/>
        <v>3.269099006509079E-2</v>
      </c>
      <c r="BQ835" s="8">
        <v>5</v>
      </c>
      <c r="BR835" s="8" t="s">
        <v>1730</v>
      </c>
    </row>
    <row r="836" spans="1:70" x14ac:dyDescent="0.3">
      <c r="A836" s="11" t="s">
        <v>1731</v>
      </c>
      <c r="B836" s="12">
        <v>197200</v>
      </c>
      <c r="C836" s="12">
        <v>710100</v>
      </c>
      <c r="D836" s="12">
        <v>0.08</v>
      </c>
      <c r="E836" s="12">
        <v>0.2</v>
      </c>
      <c r="F836" s="12">
        <v>0.05</v>
      </c>
      <c r="G836" s="12">
        <v>0.1</v>
      </c>
      <c r="H836" s="12">
        <v>0.26</v>
      </c>
      <c r="I836" s="12">
        <v>7.0000000000000007E-2</v>
      </c>
      <c r="J836" s="12">
        <v>0.13</v>
      </c>
      <c r="K836" s="12">
        <v>0.34</v>
      </c>
      <c r="L836" s="12">
        <v>0.09</v>
      </c>
      <c r="M836" s="8">
        <v>7</v>
      </c>
      <c r="N836">
        <v>9</v>
      </c>
      <c r="O836" s="12">
        <v>11</v>
      </c>
      <c r="BF836" s="9">
        <v>8.35</v>
      </c>
      <c r="BG836" s="9">
        <f t="shared" si="27"/>
        <v>2.1083581340313386E-2</v>
      </c>
      <c r="BH836" s="9">
        <f t="shared" si="26"/>
        <v>3.2651839178785294E-2</v>
      </c>
      <c r="BQ836" s="8">
        <v>5</v>
      </c>
      <c r="BR836" s="8" t="s">
        <v>1732</v>
      </c>
    </row>
    <row r="837" spans="1:70" x14ac:dyDescent="0.3">
      <c r="A837" s="11" t="s">
        <v>1733</v>
      </c>
      <c r="B837" s="12">
        <v>252200</v>
      </c>
      <c r="C837" s="12">
        <v>721500</v>
      </c>
      <c r="D837" s="12">
        <v>0.25</v>
      </c>
      <c r="E837" s="12">
        <v>0.61</v>
      </c>
      <c r="F837" s="12">
        <v>0.11</v>
      </c>
      <c r="G837" s="12">
        <v>0.33</v>
      </c>
      <c r="H837" s="12">
        <v>0.82</v>
      </c>
      <c r="I837" s="12">
        <v>0.16</v>
      </c>
      <c r="J837" s="12">
        <v>0.44</v>
      </c>
      <c r="K837" s="12">
        <v>1.1299999999999999</v>
      </c>
      <c r="L837" s="12">
        <v>0.24</v>
      </c>
      <c r="M837" s="8">
        <v>5</v>
      </c>
      <c r="N837">
        <v>5</v>
      </c>
      <c r="O837" s="12">
        <v>6</v>
      </c>
      <c r="BF837" s="9">
        <v>8.36</v>
      </c>
      <c r="BG837" s="9">
        <f t="shared" si="27"/>
        <v>2.1033172317483577E-2</v>
      </c>
      <c r="BH837" s="9">
        <f t="shared" si="26"/>
        <v>3.2612781954887225E-2</v>
      </c>
      <c r="BQ837" s="8">
        <v>7</v>
      </c>
      <c r="BR837" s="8" t="s">
        <v>1734</v>
      </c>
    </row>
    <row r="838" spans="1:70" x14ac:dyDescent="0.3">
      <c r="A838" s="11" t="s">
        <v>1735</v>
      </c>
      <c r="B838" s="12">
        <v>269500</v>
      </c>
      <c r="C838" s="12">
        <v>796500</v>
      </c>
      <c r="D838" s="12">
        <v>0.23</v>
      </c>
      <c r="E838" s="12">
        <v>0.56000000000000005</v>
      </c>
      <c r="F838" s="12">
        <v>0.11</v>
      </c>
      <c r="G838" s="12">
        <v>0.3</v>
      </c>
      <c r="H838" s="12">
        <v>0.75</v>
      </c>
      <c r="I838" s="12">
        <v>0.15</v>
      </c>
      <c r="J838" s="12">
        <v>0.4</v>
      </c>
      <c r="K838" s="12">
        <v>1.04</v>
      </c>
      <c r="L838" s="12">
        <v>0.22</v>
      </c>
      <c r="M838" s="8">
        <v>5</v>
      </c>
      <c r="N838">
        <v>6</v>
      </c>
      <c r="O838" s="12">
        <v>7</v>
      </c>
      <c r="BF838" s="9">
        <v>8.3699999999999992</v>
      </c>
      <c r="BG838" s="9">
        <f t="shared" si="27"/>
        <v>2.0982943864201818E-2</v>
      </c>
      <c r="BH838" s="9">
        <f t="shared" si="26"/>
        <v>3.2573818057689032E-2</v>
      </c>
      <c r="BQ838" s="8">
        <v>7</v>
      </c>
      <c r="BR838" s="8" t="s">
        <v>1736</v>
      </c>
    </row>
    <row r="839" spans="1:70" x14ac:dyDescent="0.3">
      <c r="A839" s="11" t="s">
        <v>1737</v>
      </c>
      <c r="B839" s="12">
        <v>207900</v>
      </c>
      <c r="C839" s="12">
        <v>635000</v>
      </c>
      <c r="D839" s="12">
        <v>0.08</v>
      </c>
      <c r="E839" s="12">
        <v>0.19</v>
      </c>
      <c r="F839" s="12">
        <v>0.05</v>
      </c>
      <c r="G839" s="12">
        <v>0.1</v>
      </c>
      <c r="H839" s="12">
        <v>0.24</v>
      </c>
      <c r="I839" s="12">
        <v>0.06</v>
      </c>
      <c r="J839" s="12">
        <v>0.12</v>
      </c>
      <c r="K839" s="12">
        <v>0.31</v>
      </c>
      <c r="L839" s="12">
        <v>0.09</v>
      </c>
      <c r="M839" s="8">
        <v>7</v>
      </c>
      <c r="N839">
        <v>9</v>
      </c>
      <c r="O839" s="12">
        <v>11</v>
      </c>
      <c r="BF839" s="9">
        <v>8.3800000000000008</v>
      </c>
      <c r="BG839" s="9">
        <f t="shared" si="27"/>
        <v>2.0932895119075416E-2</v>
      </c>
      <c r="BH839" s="9">
        <f t="shared" si="26"/>
        <v>3.253494715308558E-2</v>
      </c>
      <c r="BQ839" s="8">
        <v>5</v>
      </c>
      <c r="BR839" s="8" t="s">
        <v>1738</v>
      </c>
    </row>
    <row r="840" spans="1:70" x14ac:dyDescent="0.3">
      <c r="A840" s="11" t="s">
        <v>1739</v>
      </c>
      <c r="B840" s="12">
        <v>208800</v>
      </c>
      <c r="C840" s="12">
        <v>634800</v>
      </c>
      <c r="D840" s="12">
        <v>0.08</v>
      </c>
      <c r="E840" s="12">
        <v>0.19</v>
      </c>
      <c r="F840" s="12">
        <v>0.05</v>
      </c>
      <c r="G840" s="12">
        <v>0.1</v>
      </c>
      <c r="H840" s="12">
        <v>0.24</v>
      </c>
      <c r="I840" s="12">
        <v>7.0000000000000007E-2</v>
      </c>
      <c r="J840" s="12">
        <v>0.12</v>
      </c>
      <c r="K840" s="12">
        <v>0.32</v>
      </c>
      <c r="L840" s="12">
        <v>0.09</v>
      </c>
      <c r="M840" s="8">
        <v>7</v>
      </c>
      <c r="N840">
        <v>9</v>
      </c>
      <c r="O840" s="12">
        <v>11</v>
      </c>
      <c r="BF840" s="9">
        <v>8.39</v>
      </c>
      <c r="BG840" s="9">
        <f t="shared" si="27"/>
        <v>2.0883025225842101E-2</v>
      </c>
      <c r="BH840" s="9">
        <f t="shared" si="26"/>
        <v>3.2496168908564618E-2</v>
      </c>
      <c r="BQ840" s="8">
        <v>7</v>
      </c>
      <c r="BR840" s="8" t="s">
        <v>1740</v>
      </c>
    </row>
    <row r="841" spans="1:70" x14ac:dyDescent="0.3">
      <c r="A841" s="11" t="s">
        <v>1741</v>
      </c>
      <c r="B841" s="12">
        <v>250300</v>
      </c>
      <c r="C841" s="12">
        <v>710900</v>
      </c>
      <c r="D841" s="12">
        <v>0.25</v>
      </c>
      <c r="E841" s="12">
        <v>0.62</v>
      </c>
      <c r="F841" s="12">
        <v>0.11</v>
      </c>
      <c r="G841" s="12">
        <v>0.33</v>
      </c>
      <c r="H841" s="12">
        <v>0.82</v>
      </c>
      <c r="I841" s="12">
        <v>0.16</v>
      </c>
      <c r="J841" s="12">
        <v>0.44</v>
      </c>
      <c r="K841" s="12">
        <v>1.1299999999999999</v>
      </c>
      <c r="L841" s="12">
        <v>0.23</v>
      </c>
      <c r="M841" s="8">
        <v>5</v>
      </c>
      <c r="N841">
        <v>5</v>
      </c>
      <c r="O841" s="12">
        <v>6</v>
      </c>
      <c r="BF841" s="9">
        <v>8.4</v>
      </c>
      <c r="BG841" s="9">
        <f t="shared" si="27"/>
        <v>2.0833333333333332E-2</v>
      </c>
      <c r="BH841" s="9">
        <f t="shared" si="26"/>
        <v>3.2457482993197284E-2</v>
      </c>
      <c r="BQ841" s="8">
        <v>5</v>
      </c>
      <c r="BR841" s="8" t="s">
        <v>1742</v>
      </c>
    </row>
    <row r="842" spans="1:70" x14ac:dyDescent="0.3">
      <c r="A842" s="11" t="s">
        <v>1743</v>
      </c>
      <c r="B842" s="12">
        <v>213800</v>
      </c>
      <c r="C842" s="12">
        <v>620600</v>
      </c>
      <c r="D842" s="12">
        <v>0.09</v>
      </c>
      <c r="E842" s="12">
        <v>0.21</v>
      </c>
      <c r="F842" s="12">
        <v>0.05</v>
      </c>
      <c r="G842" s="12">
        <v>0.11</v>
      </c>
      <c r="H842" s="12">
        <v>0.27</v>
      </c>
      <c r="I842" s="12">
        <v>7.0000000000000007E-2</v>
      </c>
      <c r="J842" s="12">
        <v>0.14000000000000001</v>
      </c>
      <c r="K842" s="12">
        <v>0.35</v>
      </c>
      <c r="L842" s="12">
        <v>0.09</v>
      </c>
      <c r="M842" s="8">
        <v>7</v>
      </c>
      <c r="N842">
        <v>8</v>
      </c>
      <c r="O842" s="12">
        <v>10</v>
      </c>
      <c r="BF842" s="9">
        <v>8.41</v>
      </c>
      <c r="BG842" s="9">
        <f t="shared" si="27"/>
        <v>2.0783818595438024E-2</v>
      </c>
      <c r="BH842" s="9">
        <f t="shared" si="26"/>
        <v>3.2418889077628681E-2</v>
      </c>
      <c r="BQ842" s="8">
        <v>7</v>
      </c>
      <c r="BR842" s="8" t="s">
        <v>1744</v>
      </c>
    </row>
    <row r="843" spans="1:70" x14ac:dyDescent="0.3">
      <c r="A843" s="11" t="s">
        <v>1745</v>
      </c>
      <c r="B843" s="12">
        <v>234700</v>
      </c>
      <c r="C843" s="12">
        <v>562300</v>
      </c>
      <c r="D843" s="12">
        <v>0.2</v>
      </c>
      <c r="E843" s="12">
        <v>0.5</v>
      </c>
      <c r="F843" s="12">
        <v>0.09</v>
      </c>
      <c r="G843" s="12">
        <v>0.27</v>
      </c>
      <c r="H843" s="12">
        <v>0.68</v>
      </c>
      <c r="I843" s="12">
        <v>0.13</v>
      </c>
      <c r="J843" s="12">
        <v>0.38</v>
      </c>
      <c r="K843" s="12">
        <v>0.96</v>
      </c>
      <c r="L843" s="12">
        <v>0.2</v>
      </c>
      <c r="M843" s="8">
        <v>5</v>
      </c>
      <c r="N843">
        <v>5</v>
      </c>
      <c r="O843" s="12">
        <v>6</v>
      </c>
      <c r="BF843" s="9">
        <v>8.42</v>
      </c>
      <c r="BG843" s="9">
        <f t="shared" si="27"/>
        <v>2.0734480171066515E-2</v>
      </c>
      <c r="BH843" s="9">
        <f t="shared" si="26"/>
        <v>3.2380386834068547E-2</v>
      </c>
      <c r="BQ843" s="8">
        <v>5</v>
      </c>
      <c r="BR843" s="8" t="s">
        <v>1746</v>
      </c>
    </row>
    <row r="844" spans="1:70" x14ac:dyDescent="0.3">
      <c r="A844" s="11" t="s">
        <v>1747</v>
      </c>
      <c r="B844" s="12">
        <v>217500</v>
      </c>
      <c r="C844" s="12">
        <v>770200</v>
      </c>
      <c r="D844" s="12">
        <v>0.12</v>
      </c>
      <c r="E844" s="12">
        <v>0.3</v>
      </c>
      <c r="F844" s="12">
        <v>0.06</v>
      </c>
      <c r="G844" s="12">
        <v>0.15</v>
      </c>
      <c r="H844" s="12">
        <v>0.39</v>
      </c>
      <c r="I844" s="12">
        <v>0.08</v>
      </c>
      <c r="J844" s="12">
        <v>0.2</v>
      </c>
      <c r="K844" s="12">
        <v>0.52</v>
      </c>
      <c r="L844" s="12">
        <v>0.11</v>
      </c>
      <c r="M844" s="8">
        <v>7</v>
      </c>
      <c r="N844">
        <v>8</v>
      </c>
      <c r="O844" s="12">
        <v>10</v>
      </c>
      <c r="BF844" s="9">
        <v>8.43</v>
      </c>
      <c r="BG844" s="9">
        <f t="shared" si="27"/>
        <v>2.068531722411486E-2</v>
      </c>
      <c r="BH844" s="9">
        <f t="shared" si="26"/>
        <v>3.2341975936281991E-2</v>
      </c>
      <c r="BQ844" s="8">
        <v>7</v>
      </c>
      <c r="BR844" s="8" t="s">
        <v>1748</v>
      </c>
    </row>
    <row r="845" spans="1:70" x14ac:dyDescent="0.3">
      <c r="A845" s="11" t="s">
        <v>1749</v>
      </c>
      <c r="B845" s="12">
        <v>203100</v>
      </c>
      <c r="C845" s="12">
        <v>439000</v>
      </c>
      <c r="D845" s="12">
        <v>0.18</v>
      </c>
      <c r="E845" s="12">
        <v>0.43</v>
      </c>
      <c r="F845" s="12">
        <v>7.0000000000000007E-2</v>
      </c>
      <c r="G845" s="12">
        <v>0.23</v>
      </c>
      <c r="H845" s="12">
        <v>0.57999999999999996</v>
      </c>
      <c r="I845" s="12">
        <v>0.1</v>
      </c>
      <c r="J845" s="12">
        <v>0.32</v>
      </c>
      <c r="K845" s="12">
        <v>0.81</v>
      </c>
      <c r="L845" s="12">
        <v>0.15</v>
      </c>
      <c r="M845" s="8">
        <v>5</v>
      </c>
      <c r="N845">
        <v>5</v>
      </c>
      <c r="O845" s="12">
        <v>6</v>
      </c>
      <c r="BF845" s="9">
        <v>8.44</v>
      </c>
      <c r="BG845" s="9">
        <f t="shared" si="27"/>
        <v>2.0636328923429394E-2</v>
      </c>
      <c r="BH845" s="9">
        <f t="shared" si="26"/>
        <v>3.2303656059580237E-2</v>
      </c>
      <c r="BQ845" s="8">
        <v>8</v>
      </c>
      <c r="BR845" s="8" t="s">
        <v>1750</v>
      </c>
    </row>
    <row r="846" spans="1:70" x14ac:dyDescent="0.3">
      <c r="A846" s="11" t="s">
        <v>1751</v>
      </c>
      <c r="B846" s="12">
        <v>194100</v>
      </c>
      <c r="C846" s="12">
        <v>729500</v>
      </c>
      <c r="D846" s="12">
        <v>0.1</v>
      </c>
      <c r="E846" s="12">
        <v>0.24</v>
      </c>
      <c r="F846" s="12">
        <v>0.06</v>
      </c>
      <c r="G846" s="12">
        <v>0.13</v>
      </c>
      <c r="H846" s="12">
        <v>0.32</v>
      </c>
      <c r="I846" s="12">
        <v>7.0000000000000007E-2</v>
      </c>
      <c r="J846" s="12">
        <v>0.18</v>
      </c>
      <c r="K846" s="12">
        <v>0.45</v>
      </c>
      <c r="L846" s="12">
        <v>0.1</v>
      </c>
      <c r="M846" s="8">
        <v>7</v>
      </c>
      <c r="N846">
        <v>8</v>
      </c>
      <c r="O846" s="12">
        <v>10</v>
      </c>
      <c r="BF846" s="9">
        <v>8.4499999999999993</v>
      </c>
      <c r="BG846" s="9">
        <f t="shared" si="27"/>
        <v>2.0587514442771616E-2</v>
      </c>
      <c r="BH846" s="9">
        <f t="shared" si="26"/>
        <v>3.2265426880811507E-2</v>
      </c>
      <c r="BQ846" s="8">
        <v>8</v>
      </c>
      <c r="BR846" s="8" t="s">
        <v>1752</v>
      </c>
    </row>
    <row r="847" spans="1:70" x14ac:dyDescent="0.3">
      <c r="A847" s="11" t="s">
        <v>1753</v>
      </c>
      <c r="B847" s="12">
        <v>194500</v>
      </c>
      <c r="C847" s="12">
        <v>675500</v>
      </c>
      <c r="D847" s="12">
        <v>7.0000000000000007E-2</v>
      </c>
      <c r="E847" s="12">
        <v>0.16</v>
      </c>
      <c r="F847" s="12">
        <v>0.05</v>
      </c>
      <c r="G847" s="12">
        <v>0.08</v>
      </c>
      <c r="H847" s="12">
        <v>0.2</v>
      </c>
      <c r="I847" s="12">
        <v>0.06</v>
      </c>
      <c r="J847" s="12">
        <v>0.1</v>
      </c>
      <c r="K847" s="12">
        <v>0.27</v>
      </c>
      <c r="L847" s="12">
        <v>0.08</v>
      </c>
      <c r="M847" s="8">
        <v>8</v>
      </c>
      <c r="N847">
        <v>9</v>
      </c>
      <c r="O847" s="12">
        <v>12</v>
      </c>
      <c r="BF847" s="9">
        <v>8.4600000000000009</v>
      </c>
      <c r="BG847" s="9">
        <f t="shared" si="27"/>
        <v>2.0538872960783321E-2</v>
      </c>
      <c r="BH847" s="9">
        <f t="shared" si="26"/>
        <v>3.2227288078351908E-2</v>
      </c>
      <c r="BQ847" s="8">
        <v>8</v>
      </c>
      <c r="BR847" s="8" t="s">
        <v>1754</v>
      </c>
    </row>
    <row r="848" spans="1:70" x14ac:dyDescent="0.3">
      <c r="A848" s="11" t="s">
        <v>1755</v>
      </c>
      <c r="B848" s="12">
        <v>193000</v>
      </c>
      <c r="C848" s="12">
        <v>671000</v>
      </c>
      <c r="D848" s="12">
        <v>7.0000000000000007E-2</v>
      </c>
      <c r="E848" s="12">
        <v>0.16</v>
      </c>
      <c r="F848" s="12">
        <v>0.05</v>
      </c>
      <c r="G848" s="12">
        <v>0.08</v>
      </c>
      <c r="H848" s="12">
        <v>0.2</v>
      </c>
      <c r="I848" s="12">
        <v>0.06</v>
      </c>
      <c r="J848" s="12">
        <v>0.1</v>
      </c>
      <c r="K848" s="12">
        <v>0.26</v>
      </c>
      <c r="L848" s="12">
        <v>0.08</v>
      </c>
      <c r="M848" s="8">
        <v>8</v>
      </c>
      <c r="N848">
        <v>9</v>
      </c>
      <c r="O848" s="12">
        <v>12</v>
      </c>
      <c r="BF848" s="9">
        <v>8.4700000000000006</v>
      </c>
      <c r="BG848" s="9">
        <f t="shared" si="27"/>
        <v>2.0490403660952117E-2</v>
      </c>
      <c r="BH848" s="9">
        <f t="shared" si="26"/>
        <v>3.2189239332096477E-2</v>
      </c>
      <c r="BQ848" s="8">
        <v>7</v>
      </c>
      <c r="BR848" s="8" t="s">
        <v>1756</v>
      </c>
    </row>
    <row r="849" spans="1:70" x14ac:dyDescent="0.3">
      <c r="A849" s="11" t="s">
        <v>1757</v>
      </c>
      <c r="B849" s="12">
        <v>175400</v>
      </c>
      <c r="C849" s="12">
        <v>634800</v>
      </c>
      <c r="D849" s="12">
        <v>0.06</v>
      </c>
      <c r="E849" s="12">
        <v>0.15</v>
      </c>
      <c r="F849" s="12">
        <v>0.04</v>
      </c>
      <c r="G849" s="12">
        <v>0.08</v>
      </c>
      <c r="H849" s="12">
        <v>0.19</v>
      </c>
      <c r="I849" s="12">
        <v>0.05</v>
      </c>
      <c r="J849" s="12">
        <v>0.11</v>
      </c>
      <c r="K849" s="12">
        <v>0.26</v>
      </c>
      <c r="L849" s="12">
        <v>7.0000000000000007E-2</v>
      </c>
      <c r="M849" s="8">
        <v>8</v>
      </c>
      <c r="N849">
        <v>10</v>
      </c>
      <c r="O849" s="12">
        <v>12</v>
      </c>
      <c r="BF849" s="9">
        <v>8.48</v>
      </c>
      <c r="BG849" s="9">
        <f t="shared" si="27"/>
        <v>2.0442105731577072E-2</v>
      </c>
      <c r="BH849" s="9">
        <f t="shared" si="26"/>
        <v>3.2151280323450139E-2</v>
      </c>
      <c r="BQ849" s="8">
        <v>8</v>
      </c>
      <c r="BR849" s="8" t="s">
        <v>1758</v>
      </c>
    </row>
    <row r="850" spans="1:70" x14ac:dyDescent="0.3">
      <c r="A850" s="11" t="s">
        <v>1759</v>
      </c>
      <c r="B850" s="12">
        <v>200800</v>
      </c>
      <c r="C850" s="12">
        <v>620200</v>
      </c>
      <c r="D850" s="12">
        <v>7.0000000000000007E-2</v>
      </c>
      <c r="E850" s="12">
        <v>0.18</v>
      </c>
      <c r="F850" s="12">
        <v>0.05</v>
      </c>
      <c r="G850" s="12">
        <v>0.09</v>
      </c>
      <c r="H850" s="12">
        <v>0.22</v>
      </c>
      <c r="I850" s="12">
        <v>0.06</v>
      </c>
      <c r="J850" s="12">
        <v>0.11</v>
      </c>
      <c r="K850" s="12">
        <v>0.28999999999999998</v>
      </c>
      <c r="L850" s="12">
        <v>0.08</v>
      </c>
      <c r="M850" s="8">
        <v>7</v>
      </c>
      <c r="N850">
        <v>9</v>
      </c>
      <c r="O850" s="12">
        <v>11</v>
      </c>
      <c r="BF850" s="9">
        <v>8.49</v>
      </c>
      <c r="BG850" s="9">
        <f t="shared" si="27"/>
        <v>2.0393978365734786E-2</v>
      </c>
      <c r="BH850" s="9">
        <f t="shared" si="26"/>
        <v>3.211341073531887E-2</v>
      </c>
      <c r="BQ850" s="8">
        <v>8</v>
      </c>
      <c r="BR850" s="8" t="s">
        <v>1760</v>
      </c>
    </row>
    <row r="851" spans="1:70" x14ac:dyDescent="0.3">
      <c r="A851" s="11" t="s">
        <v>1761</v>
      </c>
      <c r="B851" s="12">
        <v>198100</v>
      </c>
      <c r="C851" s="12">
        <v>636000</v>
      </c>
      <c r="D851" s="12">
        <v>7.0000000000000007E-2</v>
      </c>
      <c r="E851" s="12">
        <v>0.16</v>
      </c>
      <c r="F851" s="12">
        <v>0.04</v>
      </c>
      <c r="G851" s="12">
        <v>0.08</v>
      </c>
      <c r="H851" s="12">
        <v>0.21</v>
      </c>
      <c r="I851" s="12">
        <v>0.06</v>
      </c>
      <c r="J851" s="12">
        <v>0.11</v>
      </c>
      <c r="K851" s="12">
        <v>0.27</v>
      </c>
      <c r="L851" s="12">
        <v>0.08</v>
      </c>
      <c r="M851" s="8">
        <v>8</v>
      </c>
      <c r="N851">
        <v>9</v>
      </c>
      <c r="O851" s="12">
        <v>11</v>
      </c>
      <c r="BF851" s="9">
        <v>8.5</v>
      </c>
      <c r="BG851" s="9">
        <f t="shared" si="27"/>
        <v>2.0346020761245674E-2</v>
      </c>
      <c r="BH851" s="9">
        <f t="shared" si="26"/>
        <v>3.2075630252100848E-2</v>
      </c>
      <c r="BQ851" s="8">
        <v>8</v>
      </c>
      <c r="BR851" s="8" t="s">
        <v>1762</v>
      </c>
    </row>
    <row r="852" spans="1:70" x14ac:dyDescent="0.3">
      <c r="A852" s="11" t="s">
        <v>1763</v>
      </c>
      <c r="B852" s="12">
        <v>180000</v>
      </c>
      <c r="C852" s="12">
        <v>608400</v>
      </c>
      <c r="D852" s="12">
        <v>7.0000000000000007E-2</v>
      </c>
      <c r="E852" s="12">
        <v>0.17</v>
      </c>
      <c r="F852" s="12">
        <v>0.04</v>
      </c>
      <c r="G852" s="12">
        <v>0.09</v>
      </c>
      <c r="H852" s="12">
        <v>0.23</v>
      </c>
      <c r="I852" s="12">
        <v>0.05</v>
      </c>
      <c r="J852" s="12">
        <v>0.13</v>
      </c>
      <c r="K852" s="12">
        <v>0.32</v>
      </c>
      <c r="L852" s="12">
        <v>7.0000000000000007E-2</v>
      </c>
      <c r="M852" s="8">
        <v>8</v>
      </c>
      <c r="N852">
        <v>10</v>
      </c>
      <c r="O852" s="12">
        <v>12</v>
      </c>
      <c r="BF852" s="9">
        <v>8.51</v>
      </c>
      <c r="BG852" s="9">
        <f t="shared" si="27"/>
        <v>2.0298232120640542E-2</v>
      </c>
      <c r="BH852" s="9">
        <f t="shared" si="26"/>
        <v>3.2037938559677695E-2</v>
      </c>
      <c r="BQ852" s="8">
        <v>7</v>
      </c>
      <c r="BR852" s="8" t="s">
        <v>1764</v>
      </c>
    </row>
    <row r="853" spans="1:70" x14ac:dyDescent="0.3">
      <c r="A853" s="11" t="s">
        <v>1765</v>
      </c>
      <c r="B853" s="12">
        <v>199200</v>
      </c>
      <c r="C853" s="12">
        <v>642100</v>
      </c>
      <c r="D853" s="12">
        <v>7.0000000000000007E-2</v>
      </c>
      <c r="E853" s="12">
        <v>0.17</v>
      </c>
      <c r="F853" s="12">
        <v>0.05</v>
      </c>
      <c r="G853" s="12">
        <v>0.08</v>
      </c>
      <c r="H853" s="12">
        <v>0.21</v>
      </c>
      <c r="I853" s="12">
        <v>0.06</v>
      </c>
      <c r="J853" s="12">
        <v>0.11</v>
      </c>
      <c r="K853" s="12">
        <v>0.27</v>
      </c>
      <c r="L853" s="12">
        <v>0.08</v>
      </c>
      <c r="M853" s="8">
        <v>8</v>
      </c>
      <c r="N853">
        <v>9</v>
      </c>
      <c r="O853" s="12">
        <v>11</v>
      </c>
      <c r="BF853" s="9">
        <v>8.52</v>
      </c>
      <c r="BG853" s="9">
        <f t="shared" si="27"/>
        <v>2.0250611651127425E-2</v>
      </c>
      <c r="BH853" s="9">
        <f t="shared" si="26"/>
        <v>3.2000335345405771E-2</v>
      </c>
      <c r="BQ853" s="8">
        <v>6</v>
      </c>
      <c r="BR853" s="8" t="s">
        <v>1766</v>
      </c>
    </row>
    <row r="854" spans="1:70" x14ac:dyDescent="0.3">
      <c r="A854" s="11" t="s">
        <v>1767</v>
      </c>
      <c r="B854" s="12">
        <v>209500</v>
      </c>
      <c r="C854" s="12">
        <v>673200</v>
      </c>
      <c r="D854" s="12">
        <v>0.08</v>
      </c>
      <c r="E854" s="12">
        <v>0.21</v>
      </c>
      <c r="F854" s="12">
        <v>0.05</v>
      </c>
      <c r="G854" s="12">
        <v>0.1</v>
      </c>
      <c r="H854" s="12">
        <v>0.27</v>
      </c>
      <c r="I854" s="12">
        <v>7.0000000000000007E-2</v>
      </c>
      <c r="J854" s="12">
        <v>0.13</v>
      </c>
      <c r="K854" s="12">
        <v>0.35</v>
      </c>
      <c r="L854" s="12">
        <v>0.09</v>
      </c>
      <c r="M854" s="8">
        <v>7</v>
      </c>
      <c r="N854">
        <v>9</v>
      </c>
      <c r="O854" s="12">
        <v>11</v>
      </c>
      <c r="BF854" s="9">
        <v>8.5299999999999994</v>
      </c>
      <c r="BG854" s="9">
        <f t="shared" si="27"/>
        <v>2.0203158564558715E-2</v>
      </c>
      <c r="BH854" s="9">
        <f t="shared" si="26"/>
        <v>3.1962820298107528E-2</v>
      </c>
      <c r="BQ854" s="8">
        <v>8</v>
      </c>
      <c r="BR854" s="8" t="s">
        <v>1768</v>
      </c>
    </row>
    <row r="855" spans="1:70" x14ac:dyDescent="0.3">
      <c r="A855" s="11" t="s">
        <v>1769</v>
      </c>
      <c r="B855" s="12">
        <v>214100</v>
      </c>
      <c r="C855" s="12">
        <v>740800</v>
      </c>
      <c r="D855" s="12">
        <v>0.14000000000000001</v>
      </c>
      <c r="E855" s="12">
        <v>0.35</v>
      </c>
      <c r="F855" s="12">
        <v>7.0000000000000007E-2</v>
      </c>
      <c r="G855" s="12">
        <v>0.2</v>
      </c>
      <c r="H855" s="12">
        <v>0.48</v>
      </c>
      <c r="I855" s="12">
        <v>0.1</v>
      </c>
      <c r="J855" s="12">
        <v>0.28000000000000003</v>
      </c>
      <c r="K855" s="12">
        <v>0.7</v>
      </c>
      <c r="L855" s="12">
        <v>0.14000000000000001</v>
      </c>
      <c r="M855" s="8">
        <v>6</v>
      </c>
      <c r="N855">
        <v>7</v>
      </c>
      <c r="O855" s="12">
        <v>8</v>
      </c>
      <c r="BF855" s="9">
        <v>8.5399999999999991</v>
      </c>
      <c r="BG855" s="9">
        <f t="shared" si="27"/>
        <v>2.0155872077398551E-2</v>
      </c>
      <c r="BH855" s="9">
        <f t="shared" si="26"/>
        <v>3.1925393108062902E-2</v>
      </c>
      <c r="BQ855" s="8">
        <v>6</v>
      </c>
      <c r="BR855" s="8" t="s">
        <v>1770</v>
      </c>
    </row>
    <row r="856" spans="1:70" x14ac:dyDescent="0.3">
      <c r="A856" s="11" t="s">
        <v>1771</v>
      </c>
      <c r="B856" s="12">
        <v>192700</v>
      </c>
      <c r="C856" s="12">
        <v>661200</v>
      </c>
      <c r="D856" s="12">
        <v>0.06</v>
      </c>
      <c r="E856" s="12">
        <v>0.16</v>
      </c>
      <c r="F856" s="12">
        <v>0.04</v>
      </c>
      <c r="G856" s="12">
        <v>0.08</v>
      </c>
      <c r="H856" s="12">
        <v>0.19</v>
      </c>
      <c r="I856" s="12">
        <v>0.06</v>
      </c>
      <c r="J856" s="12">
        <v>0.1</v>
      </c>
      <c r="K856" s="12">
        <v>0.25</v>
      </c>
      <c r="L856" s="12">
        <v>0.08</v>
      </c>
      <c r="M856" s="8">
        <v>8</v>
      </c>
      <c r="N856">
        <v>10</v>
      </c>
      <c r="O856" s="12">
        <v>12</v>
      </c>
      <c r="BF856" s="9">
        <v>8.5500000000000007</v>
      </c>
      <c r="BG856" s="9">
        <f t="shared" si="27"/>
        <v>2.0108751410690465E-2</v>
      </c>
      <c r="BH856" s="9">
        <f t="shared" si="26"/>
        <v>3.188805346700084E-2</v>
      </c>
      <c r="BQ856" s="8">
        <v>8</v>
      </c>
      <c r="BR856" s="8" t="s">
        <v>1772</v>
      </c>
    </row>
    <row r="857" spans="1:70" x14ac:dyDescent="0.3">
      <c r="A857" s="11" t="s">
        <v>1773</v>
      </c>
      <c r="B857" s="12">
        <v>223900</v>
      </c>
      <c r="C857" s="12">
        <v>618000</v>
      </c>
      <c r="D857" s="12">
        <v>0.11</v>
      </c>
      <c r="E857" s="12">
        <v>0.27</v>
      </c>
      <c r="F857" s="12">
        <v>0.06</v>
      </c>
      <c r="G857" s="12">
        <v>0.14000000000000001</v>
      </c>
      <c r="H857" s="12">
        <v>0.35</v>
      </c>
      <c r="I857" s="12">
        <v>0.08</v>
      </c>
      <c r="J857" s="12">
        <v>0.18</v>
      </c>
      <c r="K857" s="12">
        <v>0.48</v>
      </c>
      <c r="L857" s="12">
        <v>0.11</v>
      </c>
      <c r="M857" s="8">
        <v>6</v>
      </c>
      <c r="N857">
        <v>8</v>
      </c>
      <c r="O857" s="12">
        <v>9</v>
      </c>
      <c r="BF857" s="9">
        <v>8.56</v>
      </c>
      <c r="BG857" s="9">
        <f t="shared" si="27"/>
        <v>2.006179579002533E-2</v>
      </c>
      <c r="BH857" s="9">
        <f t="shared" si="26"/>
        <v>3.1850801068090788E-2</v>
      </c>
      <c r="BQ857" s="8">
        <v>6</v>
      </c>
      <c r="BR857" s="8" t="s">
        <v>1774</v>
      </c>
    </row>
    <row r="858" spans="1:70" x14ac:dyDescent="0.3">
      <c r="A858" s="11" t="s">
        <v>1775</v>
      </c>
      <c r="B858" s="12">
        <v>190300</v>
      </c>
      <c r="C858" s="12">
        <v>691200</v>
      </c>
      <c r="D858" s="12">
        <v>7.0000000000000007E-2</v>
      </c>
      <c r="E858" s="12">
        <v>0.16</v>
      </c>
      <c r="F858" s="12">
        <v>0.05</v>
      </c>
      <c r="G858" s="12">
        <v>0.08</v>
      </c>
      <c r="H858" s="12">
        <v>0.21</v>
      </c>
      <c r="I858" s="12">
        <v>0.06</v>
      </c>
      <c r="J858" s="12">
        <v>0.11</v>
      </c>
      <c r="K858" s="12">
        <v>0.27</v>
      </c>
      <c r="L858" s="12">
        <v>0.08</v>
      </c>
      <c r="M858" s="8">
        <v>8</v>
      </c>
      <c r="N858">
        <v>9</v>
      </c>
      <c r="O858" s="12">
        <v>12</v>
      </c>
      <c r="BF858" s="9">
        <v>8.57</v>
      </c>
      <c r="BG858" s="9">
        <f t="shared" si="27"/>
        <v>2.001500444550949E-2</v>
      </c>
      <c r="BH858" s="9">
        <f t="shared" si="26"/>
        <v>3.1813635605934323E-2</v>
      </c>
      <c r="BQ858" s="8">
        <v>8</v>
      </c>
      <c r="BR858" s="8" t="s">
        <v>1776</v>
      </c>
    </row>
    <row r="859" spans="1:70" x14ac:dyDescent="0.3">
      <c r="A859" s="11" t="s">
        <v>1777</v>
      </c>
      <c r="B859" s="12">
        <v>233700</v>
      </c>
      <c r="C859" s="12">
        <v>716400</v>
      </c>
      <c r="D859" s="12">
        <v>0.17</v>
      </c>
      <c r="E859" s="12">
        <v>0.43</v>
      </c>
      <c r="F859" s="12">
        <v>0.08</v>
      </c>
      <c r="G859" s="12">
        <v>0.22</v>
      </c>
      <c r="H859" s="12">
        <v>0.56000000000000005</v>
      </c>
      <c r="I859" s="12">
        <v>0.11</v>
      </c>
      <c r="J859" s="12">
        <v>0.3</v>
      </c>
      <c r="K859" s="12">
        <v>0.78</v>
      </c>
      <c r="L859" s="12">
        <v>0.16</v>
      </c>
      <c r="M859" s="8">
        <v>6</v>
      </c>
      <c r="N859">
        <v>6</v>
      </c>
      <c r="O859" s="12">
        <v>8</v>
      </c>
      <c r="BF859" s="9">
        <v>8.58</v>
      </c>
      <c r="BG859" s="9">
        <f t="shared" si="27"/>
        <v>1.9968376611733254E-2</v>
      </c>
      <c r="BH859" s="9">
        <f t="shared" si="26"/>
        <v>3.1776556776556782E-2</v>
      </c>
      <c r="BQ859" s="8">
        <v>9</v>
      </c>
      <c r="BR859" s="8" t="s">
        <v>1778</v>
      </c>
    </row>
    <row r="860" spans="1:70" x14ac:dyDescent="0.3">
      <c r="A860" s="11" t="s">
        <v>1779</v>
      </c>
      <c r="B860" s="12">
        <v>195500</v>
      </c>
      <c r="C860" s="12">
        <v>615500</v>
      </c>
      <c r="D860" s="12">
        <v>7.0000000000000007E-2</v>
      </c>
      <c r="E860" s="12">
        <v>0.18</v>
      </c>
      <c r="F860" s="12">
        <v>0.04</v>
      </c>
      <c r="G860" s="12">
        <v>0.09</v>
      </c>
      <c r="H860" s="12">
        <v>0.22</v>
      </c>
      <c r="I860" s="12">
        <v>0.06</v>
      </c>
      <c r="J860" s="12">
        <v>0.12</v>
      </c>
      <c r="K860" s="12">
        <v>0.3</v>
      </c>
      <c r="L860" s="12">
        <v>0.08</v>
      </c>
      <c r="M860" s="8">
        <v>8</v>
      </c>
      <c r="N860">
        <v>9</v>
      </c>
      <c r="O860" s="12">
        <v>11</v>
      </c>
      <c r="BF860" s="9">
        <v>8.59</v>
      </c>
      <c r="BG860" s="9">
        <f t="shared" si="27"/>
        <v>1.9921911527739568E-2</v>
      </c>
      <c r="BH860" s="9">
        <f t="shared" si="26"/>
        <v>3.1739564277398977E-2</v>
      </c>
      <c r="BQ860" s="8">
        <v>8</v>
      </c>
      <c r="BR860" s="8" t="s">
        <v>1780</v>
      </c>
    </row>
    <row r="861" spans="1:70" x14ac:dyDescent="0.3">
      <c r="A861" s="11" t="s">
        <v>1781</v>
      </c>
      <c r="B861" s="12">
        <v>152200</v>
      </c>
      <c r="C861" s="12">
        <v>598000</v>
      </c>
      <c r="D861" s="12">
        <v>0.05</v>
      </c>
      <c r="E861" s="12">
        <v>0.11</v>
      </c>
      <c r="F861" s="12">
        <v>0.03</v>
      </c>
      <c r="G861" s="12">
        <v>0.06</v>
      </c>
      <c r="H861" s="12">
        <v>0.14000000000000001</v>
      </c>
      <c r="I861" s="12">
        <v>0.04</v>
      </c>
      <c r="J861" s="12">
        <v>0.08</v>
      </c>
      <c r="K861" s="12">
        <v>0.19</v>
      </c>
      <c r="L861" s="12">
        <v>0.06</v>
      </c>
      <c r="M861" s="8">
        <v>9</v>
      </c>
      <c r="N861">
        <v>11</v>
      </c>
      <c r="O861" s="12">
        <v>13</v>
      </c>
      <c r="BF861" s="9">
        <v>8.6</v>
      </c>
      <c r="BG861" s="9">
        <f t="shared" si="27"/>
        <v>1.9875608436992969E-2</v>
      </c>
      <c r="BH861" s="9">
        <f t="shared" si="26"/>
        <v>3.1702657807308979E-2</v>
      </c>
      <c r="BQ861" s="8">
        <v>7</v>
      </c>
      <c r="BR861" s="8" t="s">
        <v>1782</v>
      </c>
    </row>
    <row r="862" spans="1:70" x14ac:dyDescent="0.3">
      <c r="A862" s="11" t="s">
        <v>1783</v>
      </c>
      <c r="B862" s="12">
        <v>180300</v>
      </c>
      <c r="C862" s="12">
        <v>618500</v>
      </c>
      <c r="D862" s="12">
        <v>7.0000000000000007E-2</v>
      </c>
      <c r="E862" s="12">
        <v>0.17</v>
      </c>
      <c r="F862" s="12">
        <v>0.04</v>
      </c>
      <c r="G862" s="12">
        <v>0.09</v>
      </c>
      <c r="H862" s="12">
        <v>0.22</v>
      </c>
      <c r="I862" s="12">
        <v>0.05</v>
      </c>
      <c r="J862" s="12">
        <v>0.12</v>
      </c>
      <c r="K862" s="12">
        <v>0.31</v>
      </c>
      <c r="L862" s="12">
        <v>7.0000000000000007E-2</v>
      </c>
      <c r="M862" s="8">
        <v>8</v>
      </c>
      <c r="N862">
        <v>10</v>
      </c>
      <c r="O862" s="12">
        <v>12</v>
      </c>
      <c r="BF862" s="9">
        <v>8.61</v>
      </c>
      <c r="BG862" s="9">
        <f t="shared" si="27"/>
        <v>1.9829466587348802E-2</v>
      </c>
      <c r="BH862" s="9">
        <f t="shared" si="26"/>
        <v>3.166583706653394E-2</v>
      </c>
      <c r="BQ862" s="8">
        <v>8</v>
      </c>
      <c r="BR862" s="8" t="s">
        <v>1784</v>
      </c>
    </row>
    <row r="863" spans="1:70" x14ac:dyDescent="0.3">
      <c r="A863" s="11" t="s">
        <v>1785</v>
      </c>
      <c r="B863" s="12">
        <v>213600</v>
      </c>
      <c r="C863" s="12">
        <v>653300</v>
      </c>
      <c r="D863" s="12">
        <v>0.09</v>
      </c>
      <c r="E863" s="12">
        <v>0.22</v>
      </c>
      <c r="F863" s="12">
        <v>0.05</v>
      </c>
      <c r="G863" s="12">
        <v>0.11</v>
      </c>
      <c r="H863" s="12">
        <v>0.28999999999999998</v>
      </c>
      <c r="I863" s="12">
        <v>7.0000000000000007E-2</v>
      </c>
      <c r="J863" s="12">
        <v>0.14000000000000001</v>
      </c>
      <c r="K863" s="12">
        <v>0.38</v>
      </c>
      <c r="L863" s="12">
        <v>0.1</v>
      </c>
      <c r="M863" s="8">
        <v>7</v>
      </c>
      <c r="N863">
        <v>8</v>
      </c>
      <c r="O863" s="12">
        <v>10</v>
      </c>
      <c r="BF863" s="9">
        <v>8.6199999999999992</v>
      </c>
      <c r="BG863" s="9">
        <f t="shared" si="27"/>
        <v>1.9783485231022663E-2</v>
      </c>
      <c r="BH863" s="9">
        <f t="shared" si="26"/>
        <v>3.1629101756711971E-2</v>
      </c>
      <c r="BQ863" s="8">
        <v>8</v>
      </c>
      <c r="BR863" s="8" t="s">
        <v>1786</v>
      </c>
    </row>
    <row r="864" spans="1:70" x14ac:dyDescent="0.3">
      <c r="A864" s="11" t="s">
        <v>1787</v>
      </c>
      <c r="B864" s="12">
        <v>191800</v>
      </c>
      <c r="C864" s="12">
        <v>662900</v>
      </c>
      <c r="D864" s="12">
        <v>0.06</v>
      </c>
      <c r="E864" s="12">
        <v>0.15</v>
      </c>
      <c r="F864" s="12">
        <v>0.04</v>
      </c>
      <c r="G864" s="12">
        <v>0.08</v>
      </c>
      <c r="H864" s="12">
        <v>0.19</v>
      </c>
      <c r="I864" s="12">
        <v>0.06</v>
      </c>
      <c r="J864" s="12">
        <v>0.1</v>
      </c>
      <c r="K864" s="12">
        <v>0.25</v>
      </c>
      <c r="L864" s="12">
        <v>0.08</v>
      </c>
      <c r="M864" s="8">
        <v>8</v>
      </c>
      <c r="N864">
        <v>10</v>
      </c>
      <c r="O864" s="12">
        <v>12</v>
      </c>
      <c r="BF864" s="9">
        <v>8.6300000000000008</v>
      </c>
      <c r="BG864" s="9">
        <f t="shared" si="27"/>
        <v>1.9737663624560094E-2</v>
      </c>
      <c r="BH864" s="9">
        <f t="shared" si="26"/>
        <v>3.15924515808641E-2</v>
      </c>
      <c r="BQ864" s="8">
        <v>6</v>
      </c>
      <c r="BR864" s="8" t="s">
        <v>1788</v>
      </c>
    </row>
    <row r="865" spans="1:70" x14ac:dyDescent="0.3">
      <c r="A865" s="11" t="s">
        <v>1789</v>
      </c>
      <c r="B865" s="12">
        <v>200400</v>
      </c>
      <c r="C865" s="12">
        <v>630500</v>
      </c>
      <c r="D865" s="12">
        <v>7.0000000000000007E-2</v>
      </c>
      <c r="E865" s="12">
        <v>0.17</v>
      </c>
      <c r="F865" s="12">
        <v>0.05</v>
      </c>
      <c r="G865" s="12">
        <v>0.09</v>
      </c>
      <c r="H865" s="12">
        <v>0.21</v>
      </c>
      <c r="I865" s="12">
        <v>0.06</v>
      </c>
      <c r="J865" s="12">
        <v>0.11</v>
      </c>
      <c r="K865" s="12">
        <v>0.28000000000000003</v>
      </c>
      <c r="L865" s="12">
        <v>0.08</v>
      </c>
      <c r="M865" s="8">
        <v>8</v>
      </c>
      <c r="N865">
        <v>9</v>
      </c>
      <c r="O865" s="12">
        <v>11</v>
      </c>
      <c r="BF865" s="9">
        <v>8.64</v>
      </c>
      <c r="BG865" s="9">
        <f t="shared" si="27"/>
        <v>1.9692001028806583E-2</v>
      </c>
      <c r="BH865" s="9">
        <f t="shared" si="26"/>
        <v>3.1555886243386247E-2</v>
      </c>
      <c r="BQ865" s="8">
        <v>7</v>
      </c>
      <c r="BR865" s="8" t="s">
        <v>1790</v>
      </c>
    </row>
    <row r="866" spans="1:70" x14ac:dyDescent="0.3">
      <c r="A866" s="11" t="s">
        <v>1791</v>
      </c>
      <c r="B866" s="12">
        <v>230800</v>
      </c>
      <c r="C866" s="12">
        <v>759800</v>
      </c>
      <c r="D866" s="12">
        <v>0.14000000000000001</v>
      </c>
      <c r="E866" s="12">
        <v>0.36</v>
      </c>
      <c r="F866" s="12">
        <v>7.0000000000000007E-2</v>
      </c>
      <c r="G866" s="12">
        <v>0.17</v>
      </c>
      <c r="H866" s="12">
        <v>0.45</v>
      </c>
      <c r="I866" s="12">
        <v>0.09</v>
      </c>
      <c r="J866" s="12">
        <v>0.22</v>
      </c>
      <c r="K866" s="12">
        <v>0.59</v>
      </c>
      <c r="L866" s="12">
        <v>0.13</v>
      </c>
      <c r="M866" s="8">
        <v>6</v>
      </c>
      <c r="N866">
        <v>8</v>
      </c>
      <c r="O866" s="12">
        <v>10</v>
      </c>
      <c r="BF866" s="9">
        <v>8.65</v>
      </c>
      <c r="BG866" s="9">
        <f t="shared" si="27"/>
        <v>1.9646496708877675E-2</v>
      </c>
      <c r="BH866" s="9">
        <f t="shared" si="26"/>
        <v>3.1519405450041289E-2</v>
      </c>
      <c r="BQ866" s="8">
        <v>8</v>
      </c>
      <c r="BR866" s="8" t="s">
        <v>1792</v>
      </c>
    </row>
    <row r="867" spans="1:70" x14ac:dyDescent="0.3">
      <c r="A867" s="11" t="s">
        <v>1793</v>
      </c>
      <c r="B867" s="12">
        <v>192700</v>
      </c>
      <c r="C867" s="12">
        <v>724200</v>
      </c>
      <c r="D867" s="12">
        <v>0.09</v>
      </c>
      <c r="E867" s="12">
        <v>0.22</v>
      </c>
      <c r="F867" s="12">
        <v>0.05</v>
      </c>
      <c r="G867" s="12">
        <v>0.12</v>
      </c>
      <c r="H867" s="12">
        <v>0.28999999999999998</v>
      </c>
      <c r="I867" s="12">
        <v>7.0000000000000007E-2</v>
      </c>
      <c r="J867" s="12">
        <v>0.16</v>
      </c>
      <c r="K867" s="12">
        <v>0.4</v>
      </c>
      <c r="L867" s="12">
        <v>0.09</v>
      </c>
      <c r="M867" s="8">
        <v>7</v>
      </c>
      <c r="N867">
        <v>9</v>
      </c>
      <c r="O867" s="12">
        <v>11</v>
      </c>
      <c r="BF867" s="9">
        <v>8.66</v>
      </c>
      <c r="BG867" s="9">
        <f t="shared" si="27"/>
        <v>1.960114993412947E-2</v>
      </c>
      <c r="BH867" s="9">
        <f t="shared" si="26"/>
        <v>3.1483008907951172E-2</v>
      </c>
      <c r="BQ867" s="8">
        <v>8</v>
      </c>
      <c r="BR867" s="8" t="s">
        <v>1794</v>
      </c>
    </row>
    <row r="868" spans="1:70" x14ac:dyDescent="0.3">
      <c r="A868" s="11" t="s">
        <v>1795</v>
      </c>
      <c r="B868" s="12">
        <v>195700</v>
      </c>
      <c r="C868" s="12">
        <v>637500</v>
      </c>
      <c r="D868" s="12">
        <v>7.0000000000000007E-2</v>
      </c>
      <c r="E868" s="12">
        <v>0.16</v>
      </c>
      <c r="F868" s="12">
        <v>0.04</v>
      </c>
      <c r="G868" s="12">
        <v>0.08</v>
      </c>
      <c r="H868" s="12">
        <v>0.2</v>
      </c>
      <c r="I868" s="12">
        <v>0.06</v>
      </c>
      <c r="J868" s="12">
        <v>0.1</v>
      </c>
      <c r="K868" s="12">
        <v>0.26</v>
      </c>
      <c r="L868" s="12">
        <v>0.08</v>
      </c>
      <c r="M868" s="8">
        <v>8</v>
      </c>
      <c r="N868">
        <v>9</v>
      </c>
      <c r="O868" s="12">
        <v>12</v>
      </c>
      <c r="BF868" s="9">
        <v>8.67</v>
      </c>
      <c r="BG868" s="9">
        <f t="shared" si="27"/>
        <v>1.9555959978129256E-2</v>
      </c>
      <c r="BH868" s="9">
        <f t="shared" si="26"/>
        <v>3.1446696325589066E-2</v>
      </c>
      <c r="BQ868" s="8">
        <v>7</v>
      </c>
      <c r="BR868" s="8" t="s">
        <v>1796</v>
      </c>
    </row>
    <row r="869" spans="1:70" x14ac:dyDescent="0.3">
      <c r="A869" s="11" t="s">
        <v>1797</v>
      </c>
      <c r="B869" s="12">
        <v>195300</v>
      </c>
      <c r="C869" s="12">
        <v>663100</v>
      </c>
      <c r="D869" s="12">
        <v>7.0000000000000007E-2</v>
      </c>
      <c r="E869" s="12">
        <v>0.16</v>
      </c>
      <c r="F869" s="12">
        <v>0.05</v>
      </c>
      <c r="G869" s="12">
        <v>0.08</v>
      </c>
      <c r="H869" s="12">
        <v>0.2</v>
      </c>
      <c r="I869" s="12">
        <v>0.06</v>
      </c>
      <c r="J869" s="12">
        <v>0.1</v>
      </c>
      <c r="K869" s="12">
        <v>0.26</v>
      </c>
      <c r="L869" s="12">
        <v>0.08</v>
      </c>
      <c r="M869" s="8">
        <v>8</v>
      </c>
      <c r="N869">
        <v>9</v>
      </c>
      <c r="O869" s="12">
        <v>12</v>
      </c>
      <c r="BF869" s="9">
        <v>8.68</v>
      </c>
      <c r="BG869" s="9">
        <f t="shared" si="27"/>
        <v>1.9510926118626429E-2</v>
      </c>
      <c r="BH869" s="9">
        <f t="shared" si="26"/>
        <v>3.1410467412771564E-2</v>
      </c>
      <c r="BQ869" s="8">
        <v>5</v>
      </c>
      <c r="BR869" s="8" t="s">
        <v>1798</v>
      </c>
    </row>
    <row r="870" spans="1:70" x14ac:dyDescent="0.3">
      <c r="A870" s="11" t="s">
        <v>1799</v>
      </c>
      <c r="B870" s="12">
        <v>230500</v>
      </c>
      <c r="C870" s="12">
        <v>774400</v>
      </c>
      <c r="D870" s="12">
        <v>0.13</v>
      </c>
      <c r="E870" s="12">
        <v>0.33</v>
      </c>
      <c r="F870" s="12">
        <v>7.0000000000000007E-2</v>
      </c>
      <c r="G870" s="12">
        <v>0.16</v>
      </c>
      <c r="H870" s="12">
        <v>0.42</v>
      </c>
      <c r="I870" s="12">
        <v>0.09</v>
      </c>
      <c r="J870" s="12">
        <v>0.21</v>
      </c>
      <c r="K870" s="12">
        <v>0.56000000000000005</v>
      </c>
      <c r="L870" s="12">
        <v>0.12</v>
      </c>
      <c r="M870" s="8">
        <v>7</v>
      </c>
      <c r="N870">
        <v>8</v>
      </c>
      <c r="O870" s="12">
        <v>10</v>
      </c>
      <c r="BF870" s="9">
        <v>8.69</v>
      </c>
      <c r="BG870" s="9">
        <f t="shared" si="27"/>
        <v>1.9466047637523656E-2</v>
      </c>
      <c r="BH870" s="9">
        <f t="shared" si="26"/>
        <v>3.1374321880651E-2</v>
      </c>
      <c r="BQ870" s="8">
        <v>8</v>
      </c>
      <c r="BR870" s="8" t="s">
        <v>1800</v>
      </c>
    </row>
    <row r="871" spans="1:70" x14ac:dyDescent="0.3">
      <c r="A871" s="11" t="s">
        <v>1801</v>
      </c>
      <c r="B871" s="12">
        <v>270800</v>
      </c>
      <c r="C871" s="12">
        <v>750900</v>
      </c>
      <c r="D871" s="12">
        <v>0.2</v>
      </c>
      <c r="E871" s="12">
        <v>0.51</v>
      </c>
      <c r="F871" s="12">
        <v>0.1</v>
      </c>
      <c r="G871" s="12">
        <v>0.26</v>
      </c>
      <c r="H871" s="12">
        <v>0.67</v>
      </c>
      <c r="I871" s="12">
        <v>0.13</v>
      </c>
      <c r="J871" s="12">
        <v>0.35</v>
      </c>
      <c r="K871" s="12">
        <v>0.91</v>
      </c>
      <c r="L871" s="12">
        <v>0.19</v>
      </c>
      <c r="M871" s="8">
        <v>5</v>
      </c>
      <c r="N871">
        <v>6</v>
      </c>
      <c r="O871" s="12">
        <v>8</v>
      </c>
      <c r="BF871" s="9">
        <v>8.6999999999999993</v>
      </c>
      <c r="BG871" s="9">
        <f t="shared" si="27"/>
        <v>1.9421323820848199E-2</v>
      </c>
      <c r="BH871" s="9">
        <f t="shared" si="26"/>
        <v>3.1338259441707726E-2</v>
      </c>
      <c r="BQ871" s="8">
        <v>7</v>
      </c>
      <c r="BR871" s="8" t="s">
        <v>1802</v>
      </c>
    </row>
    <row r="872" spans="1:70" x14ac:dyDescent="0.3">
      <c r="A872" s="11" t="s">
        <v>1803</v>
      </c>
      <c r="B872" s="12">
        <v>179000</v>
      </c>
      <c r="C872" s="12">
        <v>650300</v>
      </c>
      <c r="D872" s="12">
        <v>0.06</v>
      </c>
      <c r="E872" s="12">
        <v>0.14000000000000001</v>
      </c>
      <c r="F872" s="12">
        <v>0.04</v>
      </c>
      <c r="G872" s="12">
        <v>7.0000000000000007E-2</v>
      </c>
      <c r="H872" s="12">
        <v>0.17</v>
      </c>
      <c r="I872" s="12">
        <v>0.05</v>
      </c>
      <c r="J872" s="12">
        <v>0.09</v>
      </c>
      <c r="K872" s="12">
        <v>0.22</v>
      </c>
      <c r="L872" s="12">
        <v>7.0000000000000007E-2</v>
      </c>
      <c r="M872" s="8">
        <v>8</v>
      </c>
      <c r="N872">
        <v>10</v>
      </c>
      <c r="O872" s="12">
        <v>12</v>
      </c>
      <c r="BF872" s="9">
        <v>8.7100000000000009</v>
      </c>
      <c r="BG872" s="9">
        <f t="shared" si="27"/>
        <v>1.9376753958723552E-2</v>
      </c>
      <c r="BH872" s="9">
        <f t="shared" si="26"/>
        <v>3.1302279809742498E-2</v>
      </c>
      <c r="BQ872" s="8">
        <v>6</v>
      </c>
      <c r="BR872" s="8" t="s">
        <v>1804</v>
      </c>
    </row>
    <row r="873" spans="1:70" x14ac:dyDescent="0.3">
      <c r="A873" s="11" t="s">
        <v>1805</v>
      </c>
      <c r="B873" s="12">
        <v>206200</v>
      </c>
      <c r="C873" s="12">
        <v>637700</v>
      </c>
      <c r="D873" s="12">
        <v>0.08</v>
      </c>
      <c r="E873" s="12">
        <v>0.18</v>
      </c>
      <c r="F873" s="12">
        <v>0.05</v>
      </c>
      <c r="G873" s="12">
        <v>0.09</v>
      </c>
      <c r="H873" s="12">
        <v>0.23</v>
      </c>
      <c r="I873" s="12">
        <v>0.06</v>
      </c>
      <c r="J873" s="12">
        <v>0.12</v>
      </c>
      <c r="K873" s="12">
        <v>0.3</v>
      </c>
      <c r="L873" s="12">
        <v>0.09</v>
      </c>
      <c r="M873" s="8">
        <v>7</v>
      </c>
      <c r="N873">
        <v>9</v>
      </c>
      <c r="O873" s="12">
        <v>11</v>
      </c>
      <c r="BF873" s="9">
        <v>8.7200000000000006</v>
      </c>
      <c r="BG873" s="9">
        <f t="shared" si="27"/>
        <v>1.9332337345341299E-2</v>
      </c>
      <c r="BH873" s="9">
        <f t="shared" si="26"/>
        <v>3.1266382699868943E-2</v>
      </c>
      <c r="BQ873" s="8">
        <v>7</v>
      </c>
      <c r="BR873" s="8" t="s">
        <v>1806</v>
      </c>
    </row>
    <row r="874" spans="1:70" x14ac:dyDescent="0.3">
      <c r="A874" s="11" t="s">
        <v>1807</v>
      </c>
      <c r="B874" s="12">
        <v>233000</v>
      </c>
      <c r="C874" s="12">
        <v>726200</v>
      </c>
      <c r="D874" s="12">
        <v>0.16</v>
      </c>
      <c r="E874" s="12">
        <v>0.41</v>
      </c>
      <c r="F874" s="12">
        <v>0.08</v>
      </c>
      <c r="G874" s="12">
        <v>0.21</v>
      </c>
      <c r="H874" s="12">
        <v>0.53</v>
      </c>
      <c r="I874" s="12">
        <v>0.11</v>
      </c>
      <c r="J874" s="12">
        <v>0.28000000000000003</v>
      </c>
      <c r="K874" s="12">
        <v>0.72</v>
      </c>
      <c r="L874" s="12">
        <v>0.15</v>
      </c>
      <c r="M874" s="8">
        <v>6</v>
      </c>
      <c r="N874">
        <v>7</v>
      </c>
      <c r="O874" s="12">
        <v>8</v>
      </c>
      <c r="BF874" s="9">
        <v>8.73</v>
      </c>
      <c r="BG874" s="9">
        <f t="shared" si="27"/>
        <v>1.9288073278933091E-2</v>
      </c>
      <c r="BH874" s="9">
        <f t="shared" si="26"/>
        <v>3.1230567828505976E-2</v>
      </c>
      <c r="BQ874" s="8">
        <v>8</v>
      </c>
      <c r="BR874" s="8" t="s">
        <v>1808</v>
      </c>
    </row>
    <row r="875" spans="1:70" x14ac:dyDescent="0.3">
      <c r="A875" s="11" t="s">
        <v>1809</v>
      </c>
      <c r="B875" s="12">
        <v>204600</v>
      </c>
      <c r="C875" s="12">
        <v>651900</v>
      </c>
      <c r="D875" s="12">
        <v>7.0000000000000007E-2</v>
      </c>
      <c r="E875" s="12">
        <v>0.18</v>
      </c>
      <c r="F875" s="12">
        <v>0.05</v>
      </c>
      <c r="G875" s="12">
        <v>0.09</v>
      </c>
      <c r="H875" s="12">
        <v>0.23</v>
      </c>
      <c r="I875" s="12">
        <v>0.06</v>
      </c>
      <c r="J875" s="12">
        <v>0.12</v>
      </c>
      <c r="K875" s="12">
        <v>0.3</v>
      </c>
      <c r="L875" s="12">
        <v>0.09</v>
      </c>
      <c r="M875" s="8">
        <v>7</v>
      </c>
      <c r="N875">
        <v>9</v>
      </c>
      <c r="O875" s="12">
        <v>11</v>
      </c>
      <c r="BF875" s="9">
        <v>8.74</v>
      </c>
      <c r="BG875" s="9">
        <f t="shared" si="27"/>
        <v>1.9243961061743003E-2</v>
      </c>
      <c r="BH875" s="9">
        <f t="shared" si="26"/>
        <v>3.1194834913370387E-2</v>
      </c>
      <c r="BQ875" s="8">
        <v>8</v>
      </c>
      <c r="BR875" s="8" t="s">
        <v>1810</v>
      </c>
    </row>
    <row r="876" spans="1:70" x14ac:dyDescent="0.3">
      <c r="A876" s="11" t="s">
        <v>1811</v>
      </c>
      <c r="B876" s="12">
        <v>165000</v>
      </c>
      <c r="C876" s="12">
        <v>627600</v>
      </c>
      <c r="D876" s="12">
        <v>0.06</v>
      </c>
      <c r="E876" s="12">
        <v>0.16</v>
      </c>
      <c r="F876" s="12">
        <v>0.04</v>
      </c>
      <c r="G876" s="12">
        <v>0.09</v>
      </c>
      <c r="H876" s="12">
        <v>0.21</v>
      </c>
      <c r="I876" s="12">
        <v>0.05</v>
      </c>
      <c r="J876" s="12">
        <v>0.12</v>
      </c>
      <c r="K876" s="12">
        <v>0.3</v>
      </c>
      <c r="L876" s="12">
        <v>7.0000000000000007E-2</v>
      </c>
      <c r="M876" s="8">
        <v>8</v>
      </c>
      <c r="N876">
        <v>10</v>
      </c>
      <c r="O876" s="12">
        <v>12</v>
      </c>
      <c r="BF876" s="9">
        <v>8.75</v>
      </c>
      <c r="BG876" s="9">
        <f t="shared" si="27"/>
        <v>1.9199999999999998E-2</v>
      </c>
      <c r="BH876" s="9">
        <f t="shared" si="26"/>
        <v>3.1159183673469391E-2</v>
      </c>
      <c r="BQ876" s="8">
        <v>9</v>
      </c>
      <c r="BR876" s="8" t="s">
        <v>1812</v>
      </c>
    </row>
    <row r="877" spans="1:70" x14ac:dyDescent="0.3">
      <c r="A877" s="11" t="s">
        <v>1813</v>
      </c>
      <c r="B877" s="12">
        <v>165400</v>
      </c>
      <c r="C877" s="12">
        <v>627400</v>
      </c>
      <c r="D877" s="12">
        <v>0.06</v>
      </c>
      <c r="E877" s="12">
        <v>0.16</v>
      </c>
      <c r="F877" s="12">
        <v>0.04</v>
      </c>
      <c r="G877" s="12">
        <v>0.09</v>
      </c>
      <c r="H877" s="12">
        <v>0.21</v>
      </c>
      <c r="I877" s="12">
        <v>0.05</v>
      </c>
      <c r="J877" s="12">
        <v>0.12</v>
      </c>
      <c r="K877" s="12">
        <v>0.3</v>
      </c>
      <c r="L877" s="12">
        <v>7.0000000000000007E-2</v>
      </c>
      <c r="M877" s="8">
        <v>8</v>
      </c>
      <c r="N877">
        <v>10</v>
      </c>
      <c r="O877" s="12">
        <v>12</v>
      </c>
      <c r="BF877" s="9">
        <v>8.76</v>
      </c>
      <c r="BG877" s="9">
        <f t="shared" si="27"/>
        <v>1.9156189403890661E-2</v>
      </c>
      <c r="BH877" s="9">
        <f t="shared" si="26"/>
        <v>3.1123613829093288E-2</v>
      </c>
      <c r="BQ877" s="8">
        <v>9</v>
      </c>
      <c r="BR877" s="8" t="s">
        <v>1814</v>
      </c>
    </row>
    <row r="878" spans="1:70" x14ac:dyDescent="0.3">
      <c r="A878" s="11" t="s">
        <v>1815</v>
      </c>
      <c r="B878" s="12">
        <v>144300</v>
      </c>
      <c r="C878" s="12">
        <v>533200</v>
      </c>
      <c r="D878" s="12">
        <v>0.04</v>
      </c>
      <c r="E878" s="12">
        <v>0.09</v>
      </c>
      <c r="F878" s="12">
        <v>0.03</v>
      </c>
      <c r="G878" s="12">
        <v>0.05</v>
      </c>
      <c r="H878" s="12">
        <v>0.12</v>
      </c>
      <c r="I878" s="12">
        <v>0.04</v>
      </c>
      <c r="J878" s="12">
        <v>0.06</v>
      </c>
      <c r="K878" s="12">
        <v>0.15</v>
      </c>
      <c r="L878" s="12">
        <v>0.06</v>
      </c>
      <c r="M878" s="8">
        <v>9</v>
      </c>
      <c r="N878">
        <v>10</v>
      </c>
      <c r="O878" s="12">
        <v>13</v>
      </c>
      <c r="BF878" s="9">
        <v>8.77</v>
      </c>
      <c r="BG878" s="9">
        <f t="shared" si="27"/>
        <v>1.9112528587532131E-2</v>
      </c>
      <c r="BH878" s="9">
        <f t="shared" si="26"/>
        <v>3.1088125101808119E-2</v>
      </c>
      <c r="BQ878" s="8">
        <v>7</v>
      </c>
      <c r="BR878" s="8" t="s">
        <v>1816</v>
      </c>
    </row>
    <row r="879" spans="1:70" x14ac:dyDescent="0.3">
      <c r="A879" s="11" t="s">
        <v>1817</v>
      </c>
      <c r="B879" s="12">
        <v>142200</v>
      </c>
      <c r="C879" s="12">
        <v>535200</v>
      </c>
      <c r="D879" s="12">
        <v>0.04</v>
      </c>
      <c r="E879" s="12">
        <v>0.09</v>
      </c>
      <c r="F879" s="12">
        <v>0.03</v>
      </c>
      <c r="G879" s="12">
        <v>0.05</v>
      </c>
      <c r="H879" s="12">
        <v>0.11</v>
      </c>
      <c r="I879" s="12">
        <v>0.04</v>
      </c>
      <c r="J879" s="12">
        <v>0.06</v>
      </c>
      <c r="K879" s="12">
        <v>0.15</v>
      </c>
      <c r="L879" s="12">
        <v>0.06</v>
      </c>
      <c r="M879" s="8">
        <v>9</v>
      </c>
      <c r="N879">
        <v>11</v>
      </c>
      <c r="O879" s="12">
        <v>13</v>
      </c>
      <c r="BF879" s="9">
        <v>8.7799999999999994</v>
      </c>
      <c r="BG879" s="9">
        <f t="shared" si="27"/>
        <v>1.9069016868945264E-2</v>
      </c>
      <c r="BH879" s="9">
        <f t="shared" si="26"/>
        <v>3.1052717214448428E-2</v>
      </c>
      <c r="BQ879" s="8">
        <v>8</v>
      </c>
      <c r="BR879" s="8" t="s">
        <v>1818</v>
      </c>
    </row>
    <row r="880" spans="1:70" x14ac:dyDescent="0.3">
      <c r="A880" s="11" t="s">
        <v>1819</v>
      </c>
      <c r="B880" s="12">
        <v>200100</v>
      </c>
      <c r="C880" s="12">
        <v>690100</v>
      </c>
      <c r="D880" s="12">
        <v>0.08</v>
      </c>
      <c r="E880" s="12">
        <v>0.18</v>
      </c>
      <c r="F880" s="12">
        <v>0.05</v>
      </c>
      <c r="G880" s="12">
        <v>0.09</v>
      </c>
      <c r="H880" s="12">
        <v>0.23</v>
      </c>
      <c r="I880" s="12">
        <v>0.06</v>
      </c>
      <c r="J880" s="12">
        <v>0.12</v>
      </c>
      <c r="K880" s="12">
        <v>0.3</v>
      </c>
      <c r="L880" s="12">
        <v>0.09</v>
      </c>
      <c r="M880" s="8">
        <v>7</v>
      </c>
      <c r="N880">
        <v>9</v>
      </c>
      <c r="O880" s="12">
        <v>11</v>
      </c>
      <c r="BF880" s="9">
        <v>8.7899999999999991</v>
      </c>
      <c r="BG880" s="9">
        <f t="shared" si="27"/>
        <v>1.9025653570027997E-2</v>
      </c>
      <c r="BH880" s="9">
        <f t="shared" si="26"/>
        <v>3.1017389891110036E-2</v>
      </c>
      <c r="BQ880" s="8">
        <v>8</v>
      </c>
      <c r="BR880" s="8" t="s">
        <v>1820</v>
      </c>
    </row>
    <row r="881" spans="1:70" x14ac:dyDescent="0.3">
      <c r="A881" s="11" t="s">
        <v>1821</v>
      </c>
      <c r="B881" s="12">
        <v>165500</v>
      </c>
      <c r="C881" s="12">
        <v>625000</v>
      </c>
      <c r="D881" s="12">
        <v>7.0000000000000007E-2</v>
      </c>
      <c r="E881" s="12">
        <v>0.16</v>
      </c>
      <c r="F881" s="12">
        <v>0.04</v>
      </c>
      <c r="G881" s="12">
        <v>0.09</v>
      </c>
      <c r="H881" s="12">
        <v>0.21</v>
      </c>
      <c r="I881" s="12">
        <v>0.05</v>
      </c>
      <c r="J881" s="12">
        <v>0.12</v>
      </c>
      <c r="K881" s="12">
        <v>0.3</v>
      </c>
      <c r="L881" s="12">
        <v>7.0000000000000007E-2</v>
      </c>
      <c r="M881" s="8">
        <v>8</v>
      </c>
      <c r="N881">
        <v>10</v>
      </c>
      <c r="O881" s="12">
        <v>12</v>
      </c>
      <c r="BF881" s="9">
        <v>8.8000000000000007</v>
      </c>
      <c r="BG881" s="9">
        <f t="shared" si="27"/>
        <v>1.8982438016528921E-2</v>
      </c>
      <c r="BH881" s="9">
        <f t="shared" si="26"/>
        <v>3.0982142857142861E-2</v>
      </c>
      <c r="BQ881" s="8">
        <v>8</v>
      </c>
      <c r="BR881" s="8" t="s">
        <v>1822</v>
      </c>
    </row>
    <row r="882" spans="1:70" x14ac:dyDescent="0.3">
      <c r="A882" s="11" t="s">
        <v>1823</v>
      </c>
      <c r="B882" s="12">
        <v>195400</v>
      </c>
      <c r="C882" s="12">
        <v>678200</v>
      </c>
      <c r="D882" s="12">
        <v>7.0000000000000007E-2</v>
      </c>
      <c r="E882" s="12">
        <v>0.17</v>
      </c>
      <c r="F882" s="12">
        <v>0.05</v>
      </c>
      <c r="G882" s="12">
        <v>0.08</v>
      </c>
      <c r="H882" s="12">
        <v>0.21</v>
      </c>
      <c r="I882" s="12">
        <v>0.06</v>
      </c>
      <c r="J882" s="12">
        <v>0.11</v>
      </c>
      <c r="K882" s="12">
        <v>0.27</v>
      </c>
      <c r="L882" s="12">
        <v>0.08</v>
      </c>
      <c r="M882" s="8">
        <v>8</v>
      </c>
      <c r="N882">
        <v>9</v>
      </c>
      <c r="O882" s="12">
        <v>12</v>
      </c>
      <c r="BF882" s="9">
        <v>8.81</v>
      </c>
      <c r="BG882" s="9">
        <f t="shared" si="27"/>
        <v>1.8939369538021104E-2</v>
      </c>
      <c r="BH882" s="9">
        <f t="shared" si="26"/>
        <v>3.0946975839143832E-2</v>
      </c>
      <c r="BQ882" s="8">
        <v>8</v>
      </c>
      <c r="BR882" s="8" t="s">
        <v>1824</v>
      </c>
    </row>
    <row r="883" spans="1:70" x14ac:dyDescent="0.3">
      <c r="A883" s="11" t="s">
        <v>1825</v>
      </c>
      <c r="B883" s="12">
        <v>176900</v>
      </c>
      <c r="C883" s="12">
        <v>620100</v>
      </c>
      <c r="D883" s="12">
        <v>7.0000000000000007E-2</v>
      </c>
      <c r="E883" s="12">
        <v>0.16</v>
      </c>
      <c r="F883" s="12">
        <v>0.04</v>
      </c>
      <c r="G883" s="12">
        <v>0.09</v>
      </c>
      <c r="H883" s="12">
        <v>0.22</v>
      </c>
      <c r="I883" s="12">
        <v>0.05</v>
      </c>
      <c r="J883" s="12">
        <v>0.12</v>
      </c>
      <c r="K883" s="12">
        <v>0.3</v>
      </c>
      <c r="L883" s="12">
        <v>7.0000000000000007E-2</v>
      </c>
      <c r="M883" s="8">
        <v>8</v>
      </c>
      <c r="N883">
        <v>10</v>
      </c>
      <c r="O883" s="12">
        <v>12</v>
      </c>
      <c r="BF883" s="9">
        <v>8.82</v>
      </c>
      <c r="BG883" s="9">
        <f t="shared" si="27"/>
        <v>1.889644746787604E-2</v>
      </c>
      <c r="BH883" s="9">
        <f t="shared" si="26"/>
        <v>3.0911888564949794E-2</v>
      </c>
      <c r="BQ883" s="8">
        <v>5</v>
      </c>
      <c r="BR883" s="8" t="s">
        <v>1826</v>
      </c>
    </row>
    <row r="884" spans="1:70" x14ac:dyDescent="0.3">
      <c r="A884" s="11" t="s">
        <v>1827</v>
      </c>
      <c r="B884" s="12">
        <v>170100</v>
      </c>
      <c r="C884" s="12">
        <v>636900</v>
      </c>
      <c r="D884" s="12">
        <v>0.06</v>
      </c>
      <c r="E884" s="12">
        <v>0.15</v>
      </c>
      <c r="F884" s="12">
        <v>0.04</v>
      </c>
      <c r="G884" s="12">
        <v>0.08</v>
      </c>
      <c r="H884" s="12">
        <v>0.19</v>
      </c>
      <c r="I884" s="12">
        <v>0.05</v>
      </c>
      <c r="J884" s="12">
        <v>0.11</v>
      </c>
      <c r="K884" s="12">
        <v>0.27</v>
      </c>
      <c r="L884" s="12">
        <v>7.0000000000000007E-2</v>
      </c>
      <c r="M884" s="8">
        <v>8</v>
      </c>
      <c r="N884">
        <v>10</v>
      </c>
      <c r="O884" s="12">
        <v>12</v>
      </c>
      <c r="BF884" s="9">
        <v>8.83</v>
      </c>
      <c r="BG884" s="9">
        <f t="shared" si="27"/>
        <v>1.8853671143237879E-2</v>
      </c>
      <c r="BH884" s="9">
        <f t="shared" si="26"/>
        <v>3.0876880763630484E-2</v>
      </c>
      <c r="BQ884" s="8">
        <v>8</v>
      </c>
      <c r="BR884" s="8" t="s">
        <v>1828</v>
      </c>
    </row>
    <row r="885" spans="1:70" x14ac:dyDescent="0.3">
      <c r="A885" s="11" t="s">
        <v>1829</v>
      </c>
      <c r="B885" s="12">
        <v>243200</v>
      </c>
      <c r="C885" s="12">
        <v>712300</v>
      </c>
      <c r="D885" s="12">
        <v>0.21</v>
      </c>
      <c r="E885" s="12">
        <v>0.52</v>
      </c>
      <c r="F885" s="12">
        <v>0.1</v>
      </c>
      <c r="G885" s="12">
        <v>0.27</v>
      </c>
      <c r="H885" s="12">
        <v>0.69</v>
      </c>
      <c r="I885" s="12">
        <v>0.13</v>
      </c>
      <c r="J885" s="12">
        <v>0.36</v>
      </c>
      <c r="K885" s="12">
        <v>0.94</v>
      </c>
      <c r="L885" s="12">
        <v>0.19</v>
      </c>
      <c r="M885" s="8">
        <v>5</v>
      </c>
      <c r="N885">
        <v>6</v>
      </c>
      <c r="O885" s="12">
        <v>7</v>
      </c>
      <c r="BF885" s="9">
        <v>8.84</v>
      </c>
      <c r="BG885" s="9">
        <f t="shared" si="27"/>
        <v>1.8811039904997849E-2</v>
      </c>
      <c r="BH885" s="9">
        <f t="shared" si="26"/>
        <v>3.0841952165481582E-2</v>
      </c>
      <c r="BQ885" s="8">
        <v>6</v>
      </c>
      <c r="BR885" s="8" t="s">
        <v>1830</v>
      </c>
    </row>
    <row r="886" spans="1:70" x14ac:dyDescent="0.3">
      <c r="A886" s="11" t="s">
        <v>1831</v>
      </c>
      <c r="B886" s="12">
        <v>172900</v>
      </c>
      <c r="C886" s="12">
        <v>613100</v>
      </c>
      <c r="D886" s="12">
        <v>7.0000000000000007E-2</v>
      </c>
      <c r="E886" s="12">
        <v>0.16</v>
      </c>
      <c r="F886" s="12">
        <v>0.04</v>
      </c>
      <c r="G886" s="12">
        <v>0.09</v>
      </c>
      <c r="H886" s="12">
        <v>0.22</v>
      </c>
      <c r="I886" s="12">
        <v>0.05</v>
      </c>
      <c r="J886" s="12">
        <v>0.12</v>
      </c>
      <c r="K886" s="12">
        <v>0.3</v>
      </c>
      <c r="L886" s="12">
        <v>7.0000000000000007E-2</v>
      </c>
      <c r="M886" s="8">
        <v>8</v>
      </c>
      <c r="N886">
        <v>10</v>
      </c>
      <c r="O886" s="12">
        <v>12</v>
      </c>
      <c r="BF886" s="9">
        <v>8.85</v>
      </c>
      <c r="BG886" s="9">
        <f t="shared" si="27"/>
        <v>1.8768553097768842E-2</v>
      </c>
      <c r="BH886" s="9">
        <f t="shared" si="26"/>
        <v>3.0807102502017764E-2</v>
      </c>
      <c r="BQ886" s="8">
        <v>9</v>
      </c>
      <c r="BR886" s="8" t="s">
        <v>1832</v>
      </c>
    </row>
    <row r="887" spans="1:70" x14ac:dyDescent="0.3">
      <c r="A887" s="11" t="s">
        <v>1833</v>
      </c>
      <c r="B887" s="12">
        <v>223300</v>
      </c>
      <c r="C887" s="12">
        <v>719400</v>
      </c>
      <c r="D887" s="12">
        <v>0.15</v>
      </c>
      <c r="E887" s="12">
        <v>0.37</v>
      </c>
      <c r="F887" s="12">
        <v>0.08</v>
      </c>
      <c r="G887" s="12">
        <v>0.21</v>
      </c>
      <c r="H887" s="12">
        <v>0.51</v>
      </c>
      <c r="I887" s="12">
        <v>0.1</v>
      </c>
      <c r="J887" s="12">
        <v>0.28999999999999998</v>
      </c>
      <c r="K887" s="12">
        <v>0.74</v>
      </c>
      <c r="L887" s="12">
        <v>0.15</v>
      </c>
      <c r="M887" s="8">
        <v>6</v>
      </c>
      <c r="N887">
        <v>7</v>
      </c>
      <c r="O887" s="12">
        <v>8</v>
      </c>
      <c r="BF887" s="9">
        <v>8.86</v>
      </c>
      <c r="BG887" s="9">
        <f t="shared" si="27"/>
        <v>1.8726210069860232E-2</v>
      </c>
      <c r="BH887" s="9">
        <f t="shared" si="26"/>
        <v>3.0772331505965825E-2</v>
      </c>
      <c r="BQ887" s="8">
        <v>8</v>
      </c>
      <c r="BR887" s="8" t="s">
        <v>1834</v>
      </c>
    </row>
    <row r="888" spans="1:70" x14ac:dyDescent="0.3">
      <c r="A888" s="11" t="s">
        <v>1835</v>
      </c>
      <c r="B888" s="12">
        <v>138700</v>
      </c>
      <c r="C888" s="12">
        <v>571800</v>
      </c>
      <c r="D888" s="12">
        <v>0.04</v>
      </c>
      <c r="E888" s="12">
        <v>0.09</v>
      </c>
      <c r="F888" s="12">
        <v>0.03</v>
      </c>
      <c r="G888" s="12">
        <v>0.05</v>
      </c>
      <c r="H888" s="12">
        <v>0.11</v>
      </c>
      <c r="I888" s="12">
        <v>0.04</v>
      </c>
      <c r="J888" s="12">
        <v>0.06</v>
      </c>
      <c r="K888" s="12">
        <v>0.14000000000000001</v>
      </c>
      <c r="L888" s="12">
        <v>0.05</v>
      </c>
      <c r="M888" s="8">
        <v>9</v>
      </c>
      <c r="N888">
        <v>11</v>
      </c>
      <c r="O888" s="12">
        <v>14</v>
      </c>
      <c r="BF888" s="9">
        <v>8.8699999999999992</v>
      </c>
      <c r="BG888" s="9">
        <f t="shared" si="27"/>
        <v>1.8684010173252889E-2</v>
      </c>
      <c r="BH888" s="9">
        <f t="shared" si="26"/>
        <v>3.0737638911257859E-2</v>
      </c>
      <c r="BQ888" s="8">
        <v>8</v>
      </c>
      <c r="BR888" s="8" t="s">
        <v>1836</v>
      </c>
    </row>
    <row r="889" spans="1:70" x14ac:dyDescent="0.3">
      <c r="A889" s="11" t="s">
        <v>1837</v>
      </c>
      <c r="B889" s="12">
        <v>165700</v>
      </c>
      <c r="C889" s="12">
        <v>621700</v>
      </c>
      <c r="D889" s="12">
        <v>7.0000000000000007E-2</v>
      </c>
      <c r="E889" s="12">
        <v>0.16</v>
      </c>
      <c r="F889" s="12">
        <v>0.04</v>
      </c>
      <c r="G889" s="12">
        <v>0.09</v>
      </c>
      <c r="H889" s="12">
        <v>0.21</v>
      </c>
      <c r="I889" s="12">
        <v>0.05</v>
      </c>
      <c r="J889" s="12">
        <v>0.12</v>
      </c>
      <c r="K889" s="12">
        <v>0.3</v>
      </c>
      <c r="L889" s="12">
        <v>7.0000000000000007E-2</v>
      </c>
      <c r="M889" s="8">
        <v>8</v>
      </c>
      <c r="N889">
        <v>10</v>
      </c>
      <c r="O889" s="12">
        <v>12</v>
      </c>
      <c r="BF889" s="9">
        <v>8.8800000000000008</v>
      </c>
      <c r="BG889" s="9">
        <f t="shared" si="27"/>
        <v>1.8641952763574381E-2</v>
      </c>
      <c r="BH889" s="9">
        <f t="shared" si="26"/>
        <v>3.0703024453024454E-2</v>
      </c>
      <c r="BQ889" s="8">
        <v>9</v>
      </c>
      <c r="BR889" s="8" t="s">
        <v>1838</v>
      </c>
    </row>
    <row r="890" spans="1:70" x14ac:dyDescent="0.3">
      <c r="A890" s="11" t="s">
        <v>1839</v>
      </c>
      <c r="B890" s="12">
        <v>165000</v>
      </c>
      <c r="C890" s="12">
        <v>598600</v>
      </c>
      <c r="D890" s="12">
        <v>0.06</v>
      </c>
      <c r="E890" s="12">
        <v>0.14000000000000001</v>
      </c>
      <c r="F890" s="12">
        <v>0.04</v>
      </c>
      <c r="G890" s="12">
        <v>7.0000000000000007E-2</v>
      </c>
      <c r="H890" s="12">
        <v>0.18</v>
      </c>
      <c r="I890" s="12">
        <v>0.05</v>
      </c>
      <c r="J890" s="12">
        <v>0.1</v>
      </c>
      <c r="K890" s="12">
        <v>0.25</v>
      </c>
      <c r="L890" s="12">
        <v>0.06</v>
      </c>
      <c r="M890" s="8">
        <v>8</v>
      </c>
      <c r="N890">
        <v>10</v>
      </c>
      <c r="O890" s="12">
        <v>12</v>
      </c>
      <c r="BF890" s="9">
        <v>8.89</v>
      </c>
      <c r="BG890" s="9">
        <f t="shared" si="27"/>
        <v>1.8600037200074398E-2</v>
      </c>
      <c r="BH890" s="9">
        <f t="shared" si="26"/>
        <v>3.0668487867587982E-2</v>
      </c>
      <c r="BQ890" s="8">
        <v>8</v>
      </c>
      <c r="BR890" s="8" t="s">
        <v>1840</v>
      </c>
    </row>
    <row r="891" spans="1:70" x14ac:dyDescent="0.3">
      <c r="A891" s="11" t="s">
        <v>1841</v>
      </c>
      <c r="B891" s="12">
        <v>143000</v>
      </c>
      <c r="C891" s="12">
        <v>580100</v>
      </c>
      <c r="D891" s="12">
        <v>0.04</v>
      </c>
      <c r="E891" s="12">
        <v>0.09</v>
      </c>
      <c r="F891" s="12">
        <v>0.03</v>
      </c>
      <c r="G891" s="12">
        <v>0.05</v>
      </c>
      <c r="H891" s="12">
        <v>0.11</v>
      </c>
      <c r="I891" s="12">
        <v>0.04</v>
      </c>
      <c r="J891" s="12">
        <v>0.06</v>
      </c>
      <c r="K891" s="12">
        <v>0.15</v>
      </c>
      <c r="L891" s="12">
        <v>0.06</v>
      </c>
      <c r="M891" s="8">
        <v>9</v>
      </c>
      <c r="N891">
        <v>11</v>
      </c>
      <c r="O891" s="12">
        <v>13</v>
      </c>
      <c r="BF891" s="9">
        <v>8.9</v>
      </c>
      <c r="BG891" s="9">
        <f t="shared" si="27"/>
        <v>1.8558262845600301E-2</v>
      </c>
      <c r="BH891" s="9">
        <f t="shared" si="26"/>
        <v>3.0634028892455863E-2</v>
      </c>
      <c r="BQ891" s="8">
        <v>7</v>
      </c>
      <c r="BR891" s="8" t="s">
        <v>1842</v>
      </c>
    </row>
    <row r="892" spans="1:70" x14ac:dyDescent="0.3">
      <c r="A892" s="11" t="s">
        <v>1843</v>
      </c>
      <c r="B892" s="12">
        <v>160200</v>
      </c>
      <c r="C892" s="12">
        <v>603300</v>
      </c>
      <c r="D892" s="12">
        <v>0.06</v>
      </c>
      <c r="E892" s="12">
        <v>0.13</v>
      </c>
      <c r="F892" s="12">
        <v>0.04</v>
      </c>
      <c r="G892" s="12">
        <v>7.0000000000000007E-2</v>
      </c>
      <c r="H892" s="12">
        <v>0.18</v>
      </c>
      <c r="I892" s="12">
        <v>0.05</v>
      </c>
      <c r="J892" s="12">
        <v>0.1</v>
      </c>
      <c r="K892" s="12">
        <v>0.25</v>
      </c>
      <c r="L892" s="12">
        <v>0.06</v>
      </c>
      <c r="M892" s="8">
        <v>8</v>
      </c>
      <c r="N892">
        <v>10</v>
      </c>
      <c r="O892" s="12">
        <v>13</v>
      </c>
      <c r="BF892" s="9">
        <v>8.91</v>
      </c>
      <c r="BG892" s="9">
        <f t="shared" si="27"/>
        <v>1.8516629066572948E-2</v>
      </c>
      <c r="BH892" s="9">
        <f t="shared" si="26"/>
        <v>3.0599647266313937E-2</v>
      </c>
      <c r="BQ892" s="8">
        <v>8</v>
      </c>
      <c r="BR892" s="8" t="s">
        <v>1844</v>
      </c>
    </row>
    <row r="893" spans="1:70" x14ac:dyDescent="0.3">
      <c r="A893" s="11" t="s">
        <v>1845</v>
      </c>
      <c r="B893" s="12">
        <v>199500</v>
      </c>
      <c r="C893" s="12">
        <v>733700</v>
      </c>
      <c r="D893" s="12">
        <v>0.11</v>
      </c>
      <c r="E893" s="12">
        <v>0.28000000000000003</v>
      </c>
      <c r="F893" s="12">
        <v>0.06</v>
      </c>
      <c r="G893" s="12">
        <v>0.16</v>
      </c>
      <c r="H893" s="12">
        <v>0.39</v>
      </c>
      <c r="I893" s="12">
        <v>0.08</v>
      </c>
      <c r="J893" s="12">
        <v>0.23</v>
      </c>
      <c r="K893" s="12">
        <v>0.56999999999999995</v>
      </c>
      <c r="L893" s="12">
        <v>0.11</v>
      </c>
      <c r="M893" s="8">
        <v>7</v>
      </c>
      <c r="N893">
        <v>8</v>
      </c>
      <c r="O893" s="12">
        <v>9</v>
      </c>
      <c r="BF893" s="9">
        <v>8.92</v>
      </c>
      <c r="BG893" s="9">
        <f t="shared" si="27"/>
        <v>1.8475135232962656E-2</v>
      </c>
      <c r="BH893" s="9">
        <f t="shared" si="26"/>
        <v>3.0565342729019864E-2</v>
      </c>
      <c r="BQ893" s="8">
        <v>8</v>
      </c>
      <c r="BR893" s="8" t="s">
        <v>1846</v>
      </c>
    </row>
    <row r="894" spans="1:70" x14ac:dyDescent="0.3">
      <c r="A894" s="11" t="s">
        <v>1847</v>
      </c>
      <c r="B894" s="12">
        <v>166400</v>
      </c>
      <c r="C894" s="12">
        <v>597600</v>
      </c>
      <c r="D894" s="12">
        <v>0.06</v>
      </c>
      <c r="E894" s="12">
        <v>0.14000000000000001</v>
      </c>
      <c r="F894" s="12">
        <v>0.04</v>
      </c>
      <c r="G894" s="12">
        <v>0.08</v>
      </c>
      <c r="H894" s="12">
        <v>0.18</v>
      </c>
      <c r="I894" s="12">
        <v>0.05</v>
      </c>
      <c r="J894" s="12">
        <v>0.1</v>
      </c>
      <c r="K894" s="12">
        <v>0.26</v>
      </c>
      <c r="L894" s="12">
        <v>0.06</v>
      </c>
      <c r="M894" s="8">
        <v>8</v>
      </c>
      <c r="N894">
        <v>10</v>
      </c>
      <c r="O894" s="12">
        <v>12</v>
      </c>
      <c r="BF894" s="9">
        <v>8.93</v>
      </c>
      <c r="BG894" s="9">
        <f t="shared" si="27"/>
        <v>1.8433780718265368E-2</v>
      </c>
      <c r="BH894" s="9">
        <f t="shared" si="26"/>
        <v>3.0531115021596552E-2</v>
      </c>
      <c r="BQ894" s="8">
        <v>9</v>
      </c>
      <c r="BR894" s="8" t="s">
        <v>1848</v>
      </c>
    </row>
    <row r="895" spans="1:70" x14ac:dyDescent="0.3">
      <c r="A895" s="11" t="s">
        <v>1849</v>
      </c>
      <c r="B895" s="12">
        <v>186700</v>
      </c>
      <c r="C895" s="12">
        <v>651000</v>
      </c>
      <c r="D895" s="12">
        <v>0.06</v>
      </c>
      <c r="E895" s="12">
        <v>0.14000000000000001</v>
      </c>
      <c r="F895" s="12">
        <v>0.04</v>
      </c>
      <c r="G895" s="12">
        <v>7.0000000000000007E-2</v>
      </c>
      <c r="H895" s="12">
        <v>0.18</v>
      </c>
      <c r="I895" s="12">
        <v>0.05</v>
      </c>
      <c r="J895" s="12">
        <v>0.09</v>
      </c>
      <c r="K895" s="12">
        <v>0.23</v>
      </c>
      <c r="L895" s="12">
        <v>7.0000000000000007E-2</v>
      </c>
      <c r="M895" s="8">
        <v>8</v>
      </c>
      <c r="N895">
        <v>10</v>
      </c>
      <c r="O895" s="12">
        <v>12</v>
      </c>
      <c r="BF895" s="9">
        <v>8.94</v>
      </c>
      <c r="BG895" s="9">
        <f t="shared" si="27"/>
        <v>1.8392564899479005E-2</v>
      </c>
      <c r="BH895" s="9">
        <f t="shared" si="26"/>
        <v>3.0496963886225636E-2</v>
      </c>
      <c r="BQ895" s="8">
        <v>8</v>
      </c>
      <c r="BR895" s="8" t="s">
        <v>1850</v>
      </c>
    </row>
    <row r="896" spans="1:70" x14ac:dyDescent="0.3">
      <c r="A896" s="11" t="s">
        <v>1851</v>
      </c>
      <c r="B896" s="12">
        <v>142500</v>
      </c>
      <c r="C896" s="12">
        <v>582900</v>
      </c>
      <c r="D896" s="12">
        <v>0.04</v>
      </c>
      <c r="E896" s="12">
        <v>0.09</v>
      </c>
      <c r="F896" s="12">
        <v>0.03</v>
      </c>
      <c r="G896" s="12">
        <v>0.05</v>
      </c>
      <c r="H896" s="12">
        <v>0.11</v>
      </c>
      <c r="I896" s="12">
        <v>0.04</v>
      </c>
      <c r="J896" s="12">
        <v>0.06</v>
      </c>
      <c r="K896" s="12">
        <v>0.15</v>
      </c>
      <c r="L896" s="12">
        <v>0.06</v>
      </c>
      <c r="M896" s="8">
        <v>9</v>
      </c>
      <c r="N896">
        <v>11</v>
      </c>
      <c r="O896" s="12">
        <v>13</v>
      </c>
      <c r="BF896" s="9">
        <v>8.9499999999999993</v>
      </c>
      <c r="BG896" s="9">
        <f t="shared" si="27"/>
        <v>1.8351487157079991E-2</v>
      </c>
      <c r="BH896" s="9">
        <f t="shared" si="26"/>
        <v>3.046288906624103E-2</v>
      </c>
      <c r="BQ896" s="8">
        <v>5</v>
      </c>
      <c r="BR896" s="8" t="s">
        <v>1852</v>
      </c>
    </row>
    <row r="897" spans="1:70" x14ac:dyDescent="0.3">
      <c r="A897" s="11" t="s">
        <v>1853</v>
      </c>
      <c r="B897" s="12">
        <v>198700</v>
      </c>
      <c r="C897" s="12">
        <v>672500</v>
      </c>
      <c r="D897" s="12">
        <v>7.0000000000000007E-2</v>
      </c>
      <c r="E897" s="12">
        <v>0.17</v>
      </c>
      <c r="F897" s="12">
        <v>0.05</v>
      </c>
      <c r="G897" s="12">
        <v>0.09</v>
      </c>
      <c r="H897" s="12">
        <v>0.22</v>
      </c>
      <c r="I897" s="12">
        <v>0.06</v>
      </c>
      <c r="J897" s="12">
        <v>0.11</v>
      </c>
      <c r="K897" s="12">
        <v>0.28000000000000003</v>
      </c>
      <c r="L897" s="12">
        <v>0.08</v>
      </c>
      <c r="M897" s="8">
        <v>8</v>
      </c>
      <c r="N897">
        <v>9</v>
      </c>
      <c r="O897" s="12">
        <v>11</v>
      </c>
      <c r="BF897" s="9">
        <v>8.9600000000000009</v>
      </c>
      <c r="BG897" s="9">
        <f t="shared" si="27"/>
        <v>1.8310546874999997E-2</v>
      </c>
      <c r="BH897" s="9">
        <f t="shared" si="26"/>
        <v>3.042889030612245E-2</v>
      </c>
      <c r="BQ897" s="8">
        <v>8</v>
      </c>
      <c r="BR897" s="8" t="s">
        <v>1854</v>
      </c>
    </row>
    <row r="898" spans="1:70" x14ac:dyDescent="0.3">
      <c r="A898" s="11" t="s">
        <v>1855</v>
      </c>
      <c r="B898" s="12">
        <v>243100</v>
      </c>
      <c r="C898" s="12">
        <v>652800</v>
      </c>
      <c r="D898" s="12">
        <v>0.23</v>
      </c>
      <c r="E898" s="12">
        <v>0.56999999999999995</v>
      </c>
      <c r="F898" s="12">
        <v>0.11</v>
      </c>
      <c r="G898" s="12">
        <v>0.3</v>
      </c>
      <c r="H898" s="12">
        <v>0.76</v>
      </c>
      <c r="I898" s="12">
        <v>0.15</v>
      </c>
      <c r="J898" s="12">
        <v>0.41</v>
      </c>
      <c r="K898" s="12">
        <v>1.05</v>
      </c>
      <c r="L898" s="12">
        <v>0.22</v>
      </c>
      <c r="M898" s="8">
        <v>5</v>
      </c>
      <c r="N898">
        <v>5</v>
      </c>
      <c r="O898" s="12">
        <v>6</v>
      </c>
      <c r="BF898" s="9">
        <v>8.9700000000000006</v>
      </c>
      <c r="BG898" s="9">
        <f t="shared" si="27"/>
        <v>1.8269743440602823E-2</v>
      </c>
      <c r="BH898" s="9">
        <f t="shared" ref="BH898:BH961" si="28">IFERROR(IF($BF898&lt;AZ$33,AZ$32*(AZ$30/AZ$29+(1-AZ$30/AZ$29)*$BF898/AZ$33),IF($BF898&lt;AZ$34,AZ$32,IF($BF898&lt;AZ$35,AZ$31/$BF898,AZ$31*AZ$35/($BF898^2))))*$BC$29,"")</f>
        <v>3.0394967351489093E-2</v>
      </c>
      <c r="BQ898" s="8">
        <v>7</v>
      </c>
      <c r="BR898" s="8" t="s">
        <v>1856</v>
      </c>
    </row>
    <row r="899" spans="1:70" x14ac:dyDescent="0.3">
      <c r="A899" s="11" t="s">
        <v>1857</v>
      </c>
      <c r="B899" s="12">
        <v>190400</v>
      </c>
      <c r="C899" s="12">
        <v>655500</v>
      </c>
      <c r="D899" s="12">
        <v>0.06</v>
      </c>
      <c r="E899" s="12">
        <v>0.15</v>
      </c>
      <c r="F899" s="12">
        <v>0.04</v>
      </c>
      <c r="G899" s="12">
        <v>0.08</v>
      </c>
      <c r="H899" s="12">
        <v>0.19</v>
      </c>
      <c r="I899" s="12">
        <v>0.06</v>
      </c>
      <c r="J899" s="12">
        <v>0.1</v>
      </c>
      <c r="K899" s="12">
        <v>0.24</v>
      </c>
      <c r="L899" s="12">
        <v>0.08</v>
      </c>
      <c r="M899" s="8">
        <v>8</v>
      </c>
      <c r="N899">
        <v>10</v>
      </c>
      <c r="O899" s="12">
        <v>12</v>
      </c>
      <c r="BF899" s="9">
        <v>8.98</v>
      </c>
      <c r="BG899" s="9">
        <f t="shared" ref="BG899:BG962" si="29">IF(BF899&lt;AY$33,AY$32*(AY$30/AY$29+(1-AY$30/AY$29)*BF899/AY$33),IF(BF899&lt;AY$34,AY$32,IF(BF899&lt;AY$35,AY$31/BF899,AY$31*AY$35/(BF899^2))))*$BC$29</f>
        <v>1.8229076244661482E-2</v>
      </c>
      <c r="BH899" s="9">
        <f t="shared" si="28"/>
        <v>3.0361119949093227E-2</v>
      </c>
      <c r="BQ899" s="8">
        <v>7</v>
      </c>
      <c r="BR899" s="8" t="s">
        <v>1858</v>
      </c>
    </row>
    <row r="900" spans="1:70" x14ac:dyDescent="0.3">
      <c r="A900" s="11" t="s">
        <v>1859</v>
      </c>
      <c r="B900" s="12">
        <v>205500</v>
      </c>
      <c r="C900" s="12">
        <v>628000</v>
      </c>
      <c r="D900" s="12">
        <v>7.0000000000000007E-2</v>
      </c>
      <c r="E900" s="12">
        <v>0.18</v>
      </c>
      <c r="F900" s="12">
        <v>0.05</v>
      </c>
      <c r="G900" s="12">
        <v>0.09</v>
      </c>
      <c r="H900" s="12">
        <v>0.23</v>
      </c>
      <c r="I900" s="12">
        <v>0.06</v>
      </c>
      <c r="J900" s="12">
        <v>0.12</v>
      </c>
      <c r="K900" s="12">
        <v>0.3</v>
      </c>
      <c r="L900" s="12">
        <v>0.09</v>
      </c>
      <c r="M900" s="8">
        <v>7</v>
      </c>
      <c r="N900">
        <v>9</v>
      </c>
      <c r="O900" s="12">
        <v>11</v>
      </c>
      <c r="BF900" s="9">
        <v>8.99</v>
      </c>
      <c r="BG900" s="9">
        <f t="shared" si="29"/>
        <v>1.8188544681335458E-2</v>
      </c>
      <c r="BH900" s="9">
        <f t="shared" si="28"/>
        <v>3.0327347846813926E-2</v>
      </c>
      <c r="BQ900" s="8">
        <v>8</v>
      </c>
      <c r="BR900" s="8" t="s">
        <v>1860</v>
      </c>
    </row>
    <row r="901" spans="1:70" x14ac:dyDescent="0.3">
      <c r="A901" s="11" t="s">
        <v>1861</v>
      </c>
      <c r="B901" s="12">
        <v>211700</v>
      </c>
      <c r="C901" s="12">
        <v>763400</v>
      </c>
      <c r="D901" s="12">
        <v>0.12</v>
      </c>
      <c r="E901" s="12">
        <v>0.31</v>
      </c>
      <c r="F901" s="12">
        <v>0.06</v>
      </c>
      <c r="G901" s="12">
        <v>0.16</v>
      </c>
      <c r="H901" s="12">
        <v>0.41</v>
      </c>
      <c r="I901" s="12">
        <v>0.08</v>
      </c>
      <c r="J901" s="12">
        <v>0.22</v>
      </c>
      <c r="K901" s="12">
        <v>0.56000000000000005</v>
      </c>
      <c r="L901" s="12">
        <v>0.12</v>
      </c>
      <c r="M901" s="8">
        <v>7</v>
      </c>
      <c r="N901">
        <v>8</v>
      </c>
      <c r="O901" s="12">
        <v>10</v>
      </c>
      <c r="BF901" s="9">
        <v>9</v>
      </c>
      <c r="BG901" s="9">
        <f t="shared" si="29"/>
        <v>1.8148148148148149E-2</v>
      </c>
      <c r="BH901" s="9">
        <f t="shared" si="28"/>
        <v>3.02936507936508E-2</v>
      </c>
      <c r="BQ901" s="8">
        <v>8</v>
      </c>
      <c r="BR901" s="8" t="s">
        <v>1862</v>
      </c>
    </row>
    <row r="902" spans="1:70" x14ac:dyDescent="0.3">
      <c r="A902" s="11" t="s">
        <v>1863</v>
      </c>
      <c r="B902" s="12">
        <v>181300</v>
      </c>
      <c r="C902" s="12">
        <v>648500</v>
      </c>
      <c r="D902" s="12">
        <v>0.06</v>
      </c>
      <c r="E902" s="12">
        <v>0.14000000000000001</v>
      </c>
      <c r="F902" s="12">
        <v>0.04</v>
      </c>
      <c r="G902" s="12">
        <v>7.0000000000000007E-2</v>
      </c>
      <c r="H902" s="12">
        <v>0.17</v>
      </c>
      <c r="I902" s="12">
        <v>0.05</v>
      </c>
      <c r="J902" s="12">
        <v>0.09</v>
      </c>
      <c r="K902" s="12">
        <v>0.23</v>
      </c>
      <c r="L902" s="12">
        <v>7.0000000000000007E-2</v>
      </c>
      <c r="M902" s="8">
        <v>8</v>
      </c>
      <c r="N902">
        <v>10</v>
      </c>
      <c r="O902" s="12">
        <v>12</v>
      </c>
      <c r="BF902" s="9">
        <v>9.01</v>
      </c>
      <c r="BG902" s="9">
        <f t="shared" si="29"/>
        <v>1.8107886045964468E-2</v>
      </c>
      <c r="BH902" s="9">
        <f t="shared" si="28"/>
        <v>3.0260028539717779E-2</v>
      </c>
      <c r="BQ902" s="8">
        <v>7</v>
      </c>
      <c r="BR902" s="8" t="s">
        <v>1864</v>
      </c>
    </row>
    <row r="903" spans="1:70" x14ac:dyDescent="0.3">
      <c r="A903" s="11" t="s">
        <v>1865</v>
      </c>
      <c r="B903" s="12">
        <v>187200</v>
      </c>
      <c r="C903" s="12">
        <v>697700</v>
      </c>
      <c r="D903" s="12">
        <v>7.0000000000000007E-2</v>
      </c>
      <c r="E903" s="12">
        <v>0.17</v>
      </c>
      <c r="F903" s="12">
        <v>0.05</v>
      </c>
      <c r="G903" s="12">
        <v>0.09</v>
      </c>
      <c r="H903" s="12">
        <v>0.21</v>
      </c>
      <c r="I903" s="12">
        <v>0.06</v>
      </c>
      <c r="J903" s="12">
        <v>0.11</v>
      </c>
      <c r="K903" s="12">
        <v>0.28000000000000003</v>
      </c>
      <c r="L903" s="12">
        <v>0.08</v>
      </c>
      <c r="M903" s="8">
        <v>8</v>
      </c>
      <c r="N903">
        <v>9</v>
      </c>
      <c r="O903" s="12">
        <v>12</v>
      </c>
      <c r="BF903" s="9">
        <v>9.02</v>
      </c>
      <c r="BG903" s="9">
        <f t="shared" si="29"/>
        <v>1.806775777896864E-2</v>
      </c>
      <c r="BH903" s="9">
        <f t="shared" si="28"/>
        <v>3.0226480836236941E-2</v>
      </c>
      <c r="BQ903" s="8">
        <v>5</v>
      </c>
      <c r="BR903" s="8" t="s">
        <v>1866</v>
      </c>
    </row>
    <row r="904" spans="1:70" x14ac:dyDescent="0.3">
      <c r="A904" s="11" t="s">
        <v>1867</v>
      </c>
      <c r="B904" s="12">
        <v>206600</v>
      </c>
      <c r="C904" s="12">
        <v>652400</v>
      </c>
      <c r="D904" s="12">
        <v>0.08</v>
      </c>
      <c r="E904" s="12">
        <v>0.19</v>
      </c>
      <c r="F904" s="12">
        <v>0.05</v>
      </c>
      <c r="G904" s="12">
        <v>0.1</v>
      </c>
      <c r="H904" s="12">
        <v>0.24</v>
      </c>
      <c r="I904" s="12">
        <v>0.06</v>
      </c>
      <c r="J904" s="12">
        <v>0.12</v>
      </c>
      <c r="K904" s="12">
        <v>0.32</v>
      </c>
      <c r="L904" s="12">
        <v>0.09</v>
      </c>
      <c r="M904" s="8">
        <v>7</v>
      </c>
      <c r="N904">
        <v>9</v>
      </c>
      <c r="O904" s="12">
        <v>11</v>
      </c>
      <c r="BF904" s="9">
        <v>9.0299999999999994</v>
      </c>
      <c r="BG904" s="9">
        <f t="shared" si="29"/>
        <v>1.802776275464215E-2</v>
      </c>
      <c r="BH904" s="9">
        <f t="shared" si="28"/>
        <v>3.0193007435532361E-2</v>
      </c>
      <c r="BQ904" s="8">
        <v>8</v>
      </c>
      <c r="BR904" s="8" t="s">
        <v>1868</v>
      </c>
    </row>
    <row r="905" spans="1:70" x14ac:dyDescent="0.3">
      <c r="A905" s="11" t="s">
        <v>1869</v>
      </c>
      <c r="B905" s="12">
        <v>244300</v>
      </c>
      <c r="C905" s="12">
        <v>646200</v>
      </c>
      <c r="D905" s="12">
        <v>0.23</v>
      </c>
      <c r="E905" s="12">
        <v>0.57999999999999996</v>
      </c>
      <c r="F905" s="12">
        <v>0.11</v>
      </c>
      <c r="G905" s="12">
        <v>0.31</v>
      </c>
      <c r="H905" s="12">
        <v>0.77</v>
      </c>
      <c r="I905" s="12">
        <v>0.15</v>
      </c>
      <c r="J905" s="12">
        <v>0.42</v>
      </c>
      <c r="K905" s="12">
        <v>1.07</v>
      </c>
      <c r="L905" s="12">
        <v>0.22</v>
      </c>
      <c r="M905" s="8">
        <v>5</v>
      </c>
      <c r="N905">
        <v>5</v>
      </c>
      <c r="O905" s="12">
        <v>6</v>
      </c>
      <c r="BF905" s="9">
        <v>9.0399999999999991</v>
      </c>
      <c r="BG905" s="9">
        <f t="shared" si="29"/>
        <v>1.798790038374188E-2</v>
      </c>
      <c r="BH905" s="9">
        <f t="shared" si="28"/>
        <v>3.015960809102403E-2</v>
      </c>
      <c r="BQ905" s="8">
        <v>7</v>
      </c>
      <c r="BR905" s="8" t="s">
        <v>1870</v>
      </c>
    </row>
    <row r="906" spans="1:70" x14ac:dyDescent="0.3">
      <c r="A906" s="11" t="s">
        <v>1871</v>
      </c>
      <c r="B906" s="12">
        <v>186400</v>
      </c>
      <c r="C906" s="12">
        <v>643200</v>
      </c>
      <c r="D906" s="12">
        <v>0.06</v>
      </c>
      <c r="E906" s="12">
        <v>0.14000000000000001</v>
      </c>
      <c r="F906" s="12">
        <v>0.04</v>
      </c>
      <c r="G906" s="12">
        <v>7.0000000000000007E-2</v>
      </c>
      <c r="H906" s="12">
        <v>0.18</v>
      </c>
      <c r="I906" s="12">
        <v>0.05</v>
      </c>
      <c r="J906" s="12">
        <v>0.09</v>
      </c>
      <c r="K906" s="12">
        <v>0.24</v>
      </c>
      <c r="L906" s="12">
        <v>7.0000000000000007E-2</v>
      </c>
      <c r="M906" s="8">
        <v>8</v>
      </c>
      <c r="N906">
        <v>10</v>
      </c>
      <c r="O906" s="12">
        <v>12</v>
      </c>
      <c r="BF906" s="9">
        <v>9.0500000000000007</v>
      </c>
      <c r="BG906" s="9">
        <f t="shared" si="29"/>
        <v>1.7948170080278377E-2</v>
      </c>
      <c r="BH906" s="9">
        <f t="shared" si="28"/>
        <v>3.0126282557221787E-2</v>
      </c>
      <c r="BQ906" s="8">
        <v>8</v>
      </c>
      <c r="BR906" s="8" t="s">
        <v>1872</v>
      </c>
    </row>
    <row r="907" spans="1:70" x14ac:dyDescent="0.3">
      <c r="A907" s="11" t="s">
        <v>1873</v>
      </c>
      <c r="B907" s="12">
        <v>210000</v>
      </c>
      <c r="C907" s="12">
        <v>570000</v>
      </c>
      <c r="D907" s="12">
        <v>0.09</v>
      </c>
      <c r="E907" s="12">
        <v>0.23</v>
      </c>
      <c r="F907" s="12">
        <v>0.05</v>
      </c>
      <c r="G907" s="12">
        <v>0.12</v>
      </c>
      <c r="H907" s="12">
        <v>0.3</v>
      </c>
      <c r="I907" s="12">
        <v>7.0000000000000007E-2</v>
      </c>
      <c r="J907" s="12">
        <v>0.16</v>
      </c>
      <c r="K907" s="12">
        <v>0.4</v>
      </c>
      <c r="L907" s="12">
        <v>0.1</v>
      </c>
      <c r="M907" s="8">
        <v>7</v>
      </c>
      <c r="N907">
        <v>8</v>
      </c>
      <c r="O907" s="12">
        <v>10</v>
      </c>
      <c r="BF907" s="9">
        <v>9.06</v>
      </c>
      <c r="BG907" s="9">
        <f t="shared" si="29"/>
        <v>1.7908571261494376E-2</v>
      </c>
      <c r="BH907" s="9">
        <f t="shared" si="28"/>
        <v>3.0093030589719336E-2</v>
      </c>
      <c r="BQ907" s="8">
        <v>6</v>
      </c>
      <c r="BR907" s="8" t="s">
        <v>1874</v>
      </c>
    </row>
    <row r="908" spans="1:70" x14ac:dyDescent="0.3">
      <c r="A908" s="11" t="s">
        <v>1875</v>
      </c>
      <c r="B908" s="12">
        <v>183400</v>
      </c>
      <c r="C908" s="12">
        <v>647900</v>
      </c>
      <c r="D908" s="12">
        <v>0.06</v>
      </c>
      <c r="E908" s="12">
        <v>0.14000000000000001</v>
      </c>
      <c r="F908" s="12">
        <v>0.04</v>
      </c>
      <c r="G908" s="12">
        <v>7.0000000000000007E-2</v>
      </c>
      <c r="H908" s="12">
        <v>0.18</v>
      </c>
      <c r="I908" s="12">
        <v>0.05</v>
      </c>
      <c r="J908" s="12">
        <v>0.09</v>
      </c>
      <c r="K908" s="12">
        <v>0.23</v>
      </c>
      <c r="L908" s="12">
        <v>7.0000000000000007E-2</v>
      </c>
      <c r="M908" s="8">
        <v>8</v>
      </c>
      <c r="N908">
        <v>10</v>
      </c>
      <c r="O908" s="12">
        <v>12</v>
      </c>
      <c r="BF908" s="9">
        <v>9.07</v>
      </c>
      <c r="BG908" s="9">
        <f t="shared" si="29"/>
        <v>1.7869103347843366E-2</v>
      </c>
      <c r="BH908" s="9">
        <f t="shared" si="28"/>
        <v>3.0059851945188221E-2</v>
      </c>
      <c r="BQ908" s="8">
        <v>6</v>
      </c>
      <c r="BR908" s="8" t="s">
        <v>1876</v>
      </c>
    </row>
    <row r="909" spans="1:70" x14ac:dyDescent="0.3">
      <c r="A909" s="11" t="s">
        <v>1877</v>
      </c>
      <c r="B909" s="12">
        <v>228000</v>
      </c>
      <c r="C909" s="12">
        <v>734000</v>
      </c>
      <c r="D909" s="12">
        <v>0.15</v>
      </c>
      <c r="E909" s="12">
        <v>0.38</v>
      </c>
      <c r="F909" s="12">
        <v>0.08</v>
      </c>
      <c r="G909" s="12">
        <v>0.19</v>
      </c>
      <c r="H909" s="12">
        <v>0.49</v>
      </c>
      <c r="I909" s="12">
        <v>0.1</v>
      </c>
      <c r="J909" s="12">
        <v>0.26</v>
      </c>
      <c r="K909" s="12">
        <v>0.68</v>
      </c>
      <c r="L909" s="12">
        <v>0.14000000000000001</v>
      </c>
      <c r="M909" s="8">
        <v>6</v>
      </c>
      <c r="N909">
        <v>7</v>
      </c>
      <c r="O909" s="12">
        <v>8</v>
      </c>
      <c r="BF909" s="9">
        <v>9.08</v>
      </c>
      <c r="BG909" s="9">
        <f t="shared" si="29"/>
        <v>1.7829765762968425E-2</v>
      </c>
      <c r="BH909" s="9">
        <f t="shared" si="28"/>
        <v>3.0026746381371937E-2</v>
      </c>
      <c r="BQ909" s="8">
        <v>6</v>
      </c>
      <c r="BR909" s="8" t="s">
        <v>1878</v>
      </c>
    </row>
    <row r="910" spans="1:70" x14ac:dyDescent="0.3">
      <c r="A910" s="11" t="s">
        <v>1879</v>
      </c>
      <c r="B910" s="12">
        <v>230000</v>
      </c>
      <c r="C910" s="12">
        <v>734900</v>
      </c>
      <c r="D910" s="12">
        <v>0.15</v>
      </c>
      <c r="E910" s="12">
        <v>0.38</v>
      </c>
      <c r="F910" s="12">
        <v>0.08</v>
      </c>
      <c r="G910" s="12">
        <v>0.19</v>
      </c>
      <c r="H910" s="12">
        <v>0.49</v>
      </c>
      <c r="I910" s="12">
        <v>0.1</v>
      </c>
      <c r="J910" s="12">
        <v>0.26</v>
      </c>
      <c r="K910" s="12">
        <v>0.67</v>
      </c>
      <c r="L910" s="12">
        <v>0.14000000000000001</v>
      </c>
      <c r="M910" s="8">
        <v>6</v>
      </c>
      <c r="N910">
        <v>7</v>
      </c>
      <c r="O910" s="12">
        <v>9</v>
      </c>
      <c r="BF910" s="9">
        <v>9.09</v>
      </c>
      <c r="BG910" s="9">
        <f t="shared" si="29"/>
        <v>1.7790557933681155E-2</v>
      </c>
      <c r="BH910" s="9">
        <f t="shared" si="28"/>
        <v>2.999371365708E-2</v>
      </c>
      <c r="BQ910" s="8">
        <v>5</v>
      </c>
      <c r="BR910" s="8" t="s">
        <v>1880</v>
      </c>
    </row>
    <row r="911" spans="1:70" x14ac:dyDescent="0.3">
      <c r="A911" s="11" t="s">
        <v>1881</v>
      </c>
      <c r="B911" s="12">
        <v>204500</v>
      </c>
      <c r="C911" s="12">
        <v>741800</v>
      </c>
      <c r="D911" s="12">
        <v>0.13</v>
      </c>
      <c r="E911" s="12">
        <v>0.33</v>
      </c>
      <c r="F911" s="12">
        <v>7.0000000000000007E-2</v>
      </c>
      <c r="G911" s="12">
        <v>0.19</v>
      </c>
      <c r="H911" s="12">
        <v>0.47</v>
      </c>
      <c r="I911" s="12">
        <v>0.09</v>
      </c>
      <c r="J911" s="12">
        <v>0.28000000000000003</v>
      </c>
      <c r="K911" s="12">
        <v>0.7</v>
      </c>
      <c r="L911" s="12">
        <v>0.13</v>
      </c>
      <c r="M911" s="8">
        <v>6</v>
      </c>
      <c r="N911">
        <v>7</v>
      </c>
      <c r="O911" s="12">
        <v>8</v>
      </c>
      <c r="BF911" s="9">
        <v>9.1</v>
      </c>
      <c r="BG911" s="9">
        <f t="shared" si="29"/>
        <v>1.7751479289940832E-2</v>
      </c>
      <c r="BH911" s="9">
        <f t="shared" si="28"/>
        <v>2.9960753532182111E-2</v>
      </c>
      <c r="BQ911" s="8">
        <v>8</v>
      </c>
      <c r="BR911" s="8" t="s">
        <v>1882</v>
      </c>
    </row>
    <row r="912" spans="1:70" x14ac:dyDescent="0.3">
      <c r="A912" s="11" t="s">
        <v>1883</v>
      </c>
      <c r="B912" s="12">
        <v>242200</v>
      </c>
      <c r="C912" s="12">
        <v>655200</v>
      </c>
      <c r="D912" s="12">
        <v>0.22</v>
      </c>
      <c r="E912" s="12">
        <v>0.56000000000000005</v>
      </c>
      <c r="F912" s="12">
        <v>0.11</v>
      </c>
      <c r="G912" s="12">
        <v>0.28999999999999998</v>
      </c>
      <c r="H912" s="12">
        <v>0.74</v>
      </c>
      <c r="I912" s="12">
        <v>0.15</v>
      </c>
      <c r="J912" s="12">
        <v>0.4</v>
      </c>
      <c r="K912" s="12">
        <v>1.02</v>
      </c>
      <c r="L912" s="12">
        <v>0.21</v>
      </c>
      <c r="M912" s="8">
        <v>5</v>
      </c>
      <c r="N912">
        <v>5</v>
      </c>
      <c r="O912" s="12">
        <v>6</v>
      </c>
      <c r="BF912" s="9">
        <v>9.11</v>
      </c>
      <c r="BG912" s="9">
        <f t="shared" si="29"/>
        <v>1.7712529264833642E-2</v>
      </c>
      <c r="BH912" s="9">
        <f t="shared" si="28"/>
        <v>2.9927865767602327E-2</v>
      </c>
      <c r="BQ912" s="8">
        <v>8</v>
      </c>
      <c r="BR912" s="8" t="s">
        <v>1884</v>
      </c>
    </row>
    <row r="913" spans="1:70" x14ac:dyDescent="0.3">
      <c r="A913" s="11" t="s">
        <v>1885</v>
      </c>
      <c r="B913" s="12">
        <v>198400</v>
      </c>
      <c r="C913" s="12">
        <v>621700</v>
      </c>
      <c r="D913" s="12">
        <v>7.0000000000000007E-2</v>
      </c>
      <c r="E913" s="12">
        <v>0.17</v>
      </c>
      <c r="F913" s="12">
        <v>0.04</v>
      </c>
      <c r="G913" s="12">
        <v>0.09</v>
      </c>
      <c r="H913" s="12">
        <v>0.22</v>
      </c>
      <c r="I913" s="12">
        <v>0.06</v>
      </c>
      <c r="J913" s="12">
        <v>0.11</v>
      </c>
      <c r="K913" s="12">
        <v>0.28999999999999998</v>
      </c>
      <c r="L913" s="12">
        <v>0.08</v>
      </c>
      <c r="M913" s="8">
        <v>8</v>
      </c>
      <c r="N913">
        <v>9</v>
      </c>
      <c r="O913" s="12">
        <v>11</v>
      </c>
      <c r="BF913" s="9">
        <v>9.1199999999999992</v>
      </c>
      <c r="BG913" s="9">
        <f t="shared" si="29"/>
        <v>1.7673707294552171E-2</v>
      </c>
      <c r="BH913" s="9">
        <f t="shared" si="28"/>
        <v>2.989505012531329E-2</v>
      </c>
      <c r="BQ913" s="8">
        <v>7</v>
      </c>
      <c r="BR913" s="8" t="s">
        <v>1886</v>
      </c>
    </row>
    <row r="914" spans="1:70" x14ac:dyDescent="0.3">
      <c r="A914" s="11" t="s">
        <v>1887</v>
      </c>
      <c r="B914" s="12">
        <v>156600</v>
      </c>
      <c r="C914" s="12">
        <v>609300</v>
      </c>
      <c r="D914" s="12">
        <v>0.06</v>
      </c>
      <c r="E914" s="12">
        <v>0.14000000000000001</v>
      </c>
      <c r="F914" s="12">
        <v>0.04</v>
      </c>
      <c r="G914" s="12">
        <v>7.0000000000000007E-2</v>
      </c>
      <c r="H914" s="12">
        <v>0.18</v>
      </c>
      <c r="I914" s="12">
        <v>0.05</v>
      </c>
      <c r="J914" s="12">
        <v>0.11</v>
      </c>
      <c r="K914" s="12">
        <v>0.26</v>
      </c>
      <c r="L914" s="12">
        <v>0.06</v>
      </c>
      <c r="M914" s="8">
        <v>8</v>
      </c>
      <c r="N914">
        <v>10</v>
      </c>
      <c r="O914" s="12">
        <v>13</v>
      </c>
      <c r="BF914" s="9">
        <v>9.1300000000000008</v>
      </c>
      <c r="BG914" s="9">
        <f t="shared" si="29"/>
        <v>1.763501281837496E-2</v>
      </c>
      <c r="BH914" s="9">
        <f t="shared" si="28"/>
        <v>2.9862306368330468E-2</v>
      </c>
      <c r="BQ914" s="8">
        <v>8</v>
      </c>
      <c r="BR914" s="8" t="s">
        <v>1888</v>
      </c>
    </row>
    <row r="915" spans="1:70" x14ac:dyDescent="0.3">
      <c r="A915" s="11" t="s">
        <v>1889</v>
      </c>
      <c r="B915" s="12">
        <v>213000</v>
      </c>
      <c r="C915" s="12">
        <v>766500</v>
      </c>
      <c r="D915" s="12">
        <v>0.12</v>
      </c>
      <c r="E915" s="12">
        <v>0.3</v>
      </c>
      <c r="F915" s="12">
        <v>0.06</v>
      </c>
      <c r="G915" s="12">
        <v>0.16</v>
      </c>
      <c r="H915" s="12">
        <v>0.39</v>
      </c>
      <c r="I915" s="12">
        <v>0.08</v>
      </c>
      <c r="J915" s="12">
        <v>0.21</v>
      </c>
      <c r="K915" s="12">
        <v>0.54</v>
      </c>
      <c r="L915" s="12">
        <v>0.11</v>
      </c>
      <c r="M915" s="8">
        <v>7</v>
      </c>
      <c r="N915">
        <v>8</v>
      </c>
      <c r="O915" s="12">
        <v>10</v>
      </c>
      <c r="BF915" s="9">
        <v>9.14</v>
      </c>
      <c r="BG915" s="9">
        <f t="shared" si="29"/>
        <v>1.7596445278646292E-2</v>
      </c>
      <c r="BH915" s="9">
        <f t="shared" si="28"/>
        <v>2.9829634260706474E-2</v>
      </c>
      <c r="BQ915" s="8">
        <v>8</v>
      </c>
      <c r="BR915" s="8" t="s">
        <v>1890</v>
      </c>
    </row>
    <row r="916" spans="1:70" x14ac:dyDescent="0.3">
      <c r="A916" s="11" t="s">
        <v>1891</v>
      </c>
      <c r="B916" s="12">
        <v>161500</v>
      </c>
      <c r="C916" s="12">
        <v>592800</v>
      </c>
      <c r="D916" s="12">
        <v>0.05</v>
      </c>
      <c r="E916" s="12">
        <v>0.12</v>
      </c>
      <c r="F916" s="12">
        <v>0.04</v>
      </c>
      <c r="G916" s="12">
        <v>7.0000000000000007E-2</v>
      </c>
      <c r="H916" s="12">
        <v>0.16</v>
      </c>
      <c r="I916" s="12">
        <v>0.05</v>
      </c>
      <c r="J916" s="12">
        <v>0.09</v>
      </c>
      <c r="K916" s="12">
        <v>0.21</v>
      </c>
      <c r="L916" s="12">
        <v>0.06</v>
      </c>
      <c r="M916" s="8">
        <v>8</v>
      </c>
      <c r="N916">
        <v>10</v>
      </c>
      <c r="O916" s="12">
        <v>13</v>
      </c>
      <c r="BF916" s="9">
        <v>9.15</v>
      </c>
      <c r="BG916" s="9">
        <f t="shared" si="29"/>
        <v>1.7558004120756067E-2</v>
      </c>
      <c r="BH916" s="9">
        <f t="shared" si="28"/>
        <v>2.9797033567525374E-2</v>
      </c>
      <c r="BQ916" s="8">
        <v>6</v>
      </c>
      <c r="BR916" s="8" t="s">
        <v>1892</v>
      </c>
    </row>
    <row r="917" spans="1:70" x14ac:dyDescent="0.3">
      <c r="A917" s="11" t="s">
        <v>1893</v>
      </c>
      <c r="B917" s="12">
        <v>186700</v>
      </c>
      <c r="C917" s="12">
        <v>692800</v>
      </c>
      <c r="D917" s="12">
        <v>7.0000000000000007E-2</v>
      </c>
      <c r="E917" s="12">
        <v>0.16</v>
      </c>
      <c r="F917" s="12">
        <v>0.05</v>
      </c>
      <c r="G917" s="12">
        <v>0.08</v>
      </c>
      <c r="H917" s="12">
        <v>0.2</v>
      </c>
      <c r="I917" s="12">
        <v>0.06</v>
      </c>
      <c r="J917" s="12">
        <v>0.11</v>
      </c>
      <c r="K917" s="12">
        <v>0.28000000000000003</v>
      </c>
      <c r="L917" s="12">
        <v>0.08</v>
      </c>
      <c r="M917" s="8">
        <v>8</v>
      </c>
      <c r="N917">
        <v>9</v>
      </c>
      <c r="O917" s="12">
        <v>12</v>
      </c>
      <c r="BF917" s="9">
        <v>9.16</v>
      </c>
      <c r="BG917" s="9">
        <f t="shared" si="29"/>
        <v>1.7519688793119884E-2</v>
      </c>
      <c r="BH917" s="9">
        <f t="shared" si="28"/>
        <v>2.9764504054897074E-2</v>
      </c>
      <c r="BQ917" s="8">
        <v>6</v>
      </c>
      <c r="BR917" s="8" t="s">
        <v>1894</v>
      </c>
    </row>
    <row r="918" spans="1:70" x14ac:dyDescent="0.3">
      <c r="A918" s="11" t="s">
        <v>1895</v>
      </c>
      <c r="B918" s="12">
        <v>232000</v>
      </c>
      <c r="C918" s="12">
        <v>760700</v>
      </c>
      <c r="D918" s="12">
        <v>0.14000000000000001</v>
      </c>
      <c r="E918" s="12">
        <v>0.36</v>
      </c>
      <c r="F918" s="12">
        <v>7.0000000000000007E-2</v>
      </c>
      <c r="G918" s="12">
        <v>0.18</v>
      </c>
      <c r="H918" s="12">
        <v>0.46</v>
      </c>
      <c r="I918" s="12">
        <v>0.1</v>
      </c>
      <c r="J918" s="12">
        <v>0.23</v>
      </c>
      <c r="K918" s="12">
        <v>0.6</v>
      </c>
      <c r="L918" s="12">
        <v>0.13</v>
      </c>
      <c r="M918" s="8">
        <v>6</v>
      </c>
      <c r="N918">
        <v>8</v>
      </c>
      <c r="O918" s="12">
        <v>9</v>
      </c>
      <c r="BF918" s="9">
        <v>9.17</v>
      </c>
      <c r="BG918" s="9">
        <f t="shared" si="29"/>
        <v>1.7481498747159256E-2</v>
      </c>
      <c r="BH918" s="9">
        <f t="shared" si="28"/>
        <v>2.973204548995171E-2</v>
      </c>
      <c r="BQ918" s="8">
        <v>8</v>
      </c>
      <c r="BR918" s="8" t="s">
        <v>1896</v>
      </c>
    </row>
    <row r="919" spans="1:70" x14ac:dyDescent="0.3">
      <c r="A919" s="11" t="s">
        <v>1897</v>
      </c>
      <c r="B919" s="12">
        <v>237100</v>
      </c>
      <c r="C919" s="12">
        <v>770100</v>
      </c>
      <c r="D919" s="12">
        <v>0.16</v>
      </c>
      <c r="E919" s="12">
        <v>0.4</v>
      </c>
      <c r="F919" s="12">
        <v>0.08</v>
      </c>
      <c r="G919" s="12">
        <v>0.2</v>
      </c>
      <c r="H919" s="12">
        <v>0.51</v>
      </c>
      <c r="I919" s="12">
        <v>0.1</v>
      </c>
      <c r="J919" s="12">
        <v>0.25</v>
      </c>
      <c r="K919" s="12">
        <v>0.67</v>
      </c>
      <c r="L919" s="12">
        <v>0.14000000000000001</v>
      </c>
      <c r="M919" s="8">
        <v>6</v>
      </c>
      <c r="N919">
        <v>7</v>
      </c>
      <c r="O919" s="12">
        <v>9</v>
      </c>
      <c r="BF919" s="9">
        <v>9.18</v>
      </c>
      <c r="BG919" s="9">
        <f t="shared" si="29"/>
        <v>1.7443433437281958E-2</v>
      </c>
      <c r="BH919" s="9">
        <f t="shared" si="28"/>
        <v>2.9699657640834116E-2</v>
      </c>
      <c r="BQ919" s="8">
        <v>8</v>
      </c>
      <c r="BR919" s="8" t="s">
        <v>1898</v>
      </c>
    </row>
    <row r="920" spans="1:70" x14ac:dyDescent="0.3">
      <c r="A920" s="11" t="s">
        <v>1899</v>
      </c>
      <c r="B920" s="12">
        <v>188500</v>
      </c>
      <c r="C920" s="12">
        <v>661500</v>
      </c>
      <c r="D920" s="12">
        <v>0.06</v>
      </c>
      <c r="E920" s="12">
        <v>0.15</v>
      </c>
      <c r="F920" s="12">
        <v>0.04</v>
      </c>
      <c r="G920" s="12">
        <v>0.08</v>
      </c>
      <c r="H920" s="12">
        <v>0.18</v>
      </c>
      <c r="I920" s="12">
        <v>0.06</v>
      </c>
      <c r="J920" s="12">
        <v>0.1</v>
      </c>
      <c r="K920" s="12">
        <v>0.24</v>
      </c>
      <c r="L920" s="12">
        <v>7.0000000000000007E-2</v>
      </c>
      <c r="M920" s="8">
        <v>8</v>
      </c>
      <c r="N920">
        <v>10</v>
      </c>
      <c r="O920" s="12">
        <v>12</v>
      </c>
      <c r="BF920" s="9">
        <v>9.19</v>
      </c>
      <c r="BG920" s="9">
        <f t="shared" si="29"/>
        <v>1.7405492320862557E-2</v>
      </c>
      <c r="BH920" s="9">
        <f t="shared" si="28"/>
        <v>2.9667340276698279E-2</v>
      </c>
      <c r="BQ920" s="8">
        <v>6</v>
      </c>
      <c r="BR920" s="8" t="s">
        <v>1900</v>
      </c>
    </row>
    <row r="921" spans="1:70" x14ac:dyDescent="0.3">
      <c r="A921" s="11" t="s">
        <v>1901</v>
      </c>
      <c r="B921" s="12">
        <v>179100</v>
      </c>
      <c r="C921" s="12">
        <v>619900</v>
      </c>
      <c r="D921" s="12">
        <v>7.0000000000000007E-2</v>
      </c>
      <c r="E921" s="12">
        <v>0.16</v>
      </c>
      <c r="F921" s="12">
        <v>0.04</v>
      </c>
      <c r="G921" s="12">
        <v>0.09</v>
      </c>
      <c r="H921" s="12">
        <v>0.22</v>
      </c>
      <c r="I921" s="12">
        <v>0.05</v>
      </c>
      <c r="J921" s="12">
        <v>0.12</v>
      </c>
      <c r="K921" s="12">
        <v>0.3</v>
      </c>
      <c r="L921" s="12">
        <v>7.0000000000000007E-2</v>
      </c>
      <c r="M921" s="8">
        <v>8</v>
      </c>
      <c r="N921">
        <v>10</v>
      </c>
      <c r="O921" s="12">
        <v>12</v>
      </c>
      <c r="BF921" s="9">
        <v>9.1999999999999993</v>
      </c>
      <c r="BG921" s="9">
        <f t="shared" si="29"/>
        <v>1.7367674858223065E-2</v>
      </c>
      <c r="BH921" s="9">
        <f t="shared" si="28"/>
        <v>2.9635093167701871E-2</v>
      </c>
      <c r="BQ921" s="8">
        <v>6</v>
      </c>
      <c r="BR921" s="8" t="s">
        <v>1902</v>
      </c>
    </row>
    <row r="922" spans="1:70" x14ac:dyDescent="0.3">
      <c r="A922" s="11" t="s">
        <v>1903</v>
      </c>
      <c r="B922" s="12">
        <v>214800</v>
      </c>
      <c r="C922" s="12">
        <v>743600</v>
      </c>
      <c r="D922" s="12">
        <v>0.14000000000000001</v>
      </c>
      <c r="E922" s="12">
        <v>0.35</v>
      </c>
      <c r="F922" s="12">
        <v>7.0000000000000007E-2</v>
      </c>
      <c r="G922" s="12">
        <v>0.19</v>
      </c>
      <c r="H922" s="12">
        <v>0.47</v>
      </c>
      <c r="I922" s="12">
        <v>0.09</v>
      </c>
      <c r="J922" s="12">
        <v>0.27</v>
      </c>
      <c r="K922" s="12">
        <v>0.68</v>
      </c>
      <c r="L922" s="12">
        <v>0.13</v>
      </c>
      <c r="M922" s="8">
        <v>6</v>
      </c>
      <c r="N922">
        <v>7</v>
      </c>
      <c r="O922" s="12">
        <v>8</v>
      </c>
      <c r="BF922" s="9">
        <v>9.2100000000000009</v>
      </c>
      <c r="BG922" s="9">
        <f t="shared" si="29"/>
        <v>1.7329980512613745E-2</v>
      </c>
      <c r="BH922" s="9">
        <f t="shared" si="28"/>
        <v>2.9602916085000777E-2</v>
      </c>
      <c r="BQ922" s="8">
        <v>6</v>
      </c>
      <c r="BR922" s="8" t="s">
        <v>1904</v>
      </c>
    </row>
    <row r="923" spans="1:70" x14ac:dyDescent="0.3">
      <c r="A923" s="11" t="s">
        <v>1905</v>
      </c>
      <c r="B923" s="12">
        <v>231700</v>
      </c>
      <c r="C923" s="12">
        <v>757000</v>
      </c>
      <c r="D923" s="12">
        <v>0.14000000000000001</v>
      </c>
      <c r="E923" s="12">
        <v>0.36</v>
      </c>
      <c r="F923" s="12">
        <v>7.0000000000000007E-2</v>
      </c>
      <c r="G923" s="12">
        <v>0.18</v>
      </c>
      <c r="H923" s="12">
        <v>0.46</v>
      </c>
      <c r="I923" s="12">
        <v>0.1</v>
      </c>
      <c r="J923" s="12">
        <v>0.23</v>
      </c>
      <c r="K923" s="12">
        <v>0.6</v>
      </c>
      <c r="L923" s="12">
        <v>0.13</v>
      </c>
      <c r="M923" s="8">
        <v>6</v>
      </c>
      <c r="N923">
        <v>8</v>
      </c>
      <c r="O923" s="12">
        <v>9</v>
      </c>
      <c r="BF923" s="9">
        <v>9.2200000000000006</v>
      </c>
      <c r="BG923" s="9">
        <f t="shared" si="29"/>
        <v>1.7292408750194097E-2</v>
      </c>
      <c r="BH923" s="9">
        <f t="shared" si="28"/>
        <v>2.9570808800743729E-2</v>
      </c>
      <c r="BQ923" s="8">
        <v>7</v>
      </c>
      <c r="BR923" s="8" t="s">
        <v>1906</v>
      </c>
    </row>
    <row r="924" spans="1:70" x14ac:dyDescent="0.3">
      <c r="A924" s="11" t="s">
        <v>1907</v>
      </c>
      <c r="B924" s="12">
        <v>231600</v>
      </c>
      <c r="C924" s="12">
        <v>723500</v>
      </c>
      <c r="D924" s="12">
        <v>0.16</v>
      </c>
      <c r="E924" s="12">
        <v>0.41</v>
      </c>
      <c r="F924" s="12">
        <v>0.08</v>
      </c>
      <c r="G924" s="12">
        <v>0.21</v>
      </c>
      <c r="H924" s="12">
        <v>0.54</v>
      </c>
      <c r="I924" s="12">
        <v>0.11</v>
      </c>
      <c r="J924" s="12">
        <v>0.28999999999999998</v>
      </c>
      <c r="K924" s="12">
        <v>0.74</v>
      </c>
      <c r="L924" s="12">
        <v>0.15</v>
      </c>
      <c r="M924" s="8">
        <v>6</v>
      </c>
      <c r="N924">
        <v>7</v>
      </c>
      <c r="O924" s="12">
        <v>8</v>
      </c>
      <c r="BF924" s="9">
        <v>9.23</v>
      </c>
      <c r="BG924" s="9">
        <f t="shared" si="29"/>
        <v>1.7254959040013895E-2</v>
      </c>
      <c r="BH924" s="9">
        <f t="shared" si="28"/>
        <v>2.9538771088066865E-2</v>
      </c>
      <c r="BQ924" s="8">
        <v>9</v>
      </c>
      <c r="BR924" s="8" t="s">
        <v>1908</v>
      </c>
    </row>
    <row r="925" spans="1:70" x14ac:dyDescent="0.3">
      <c r="A925" s="11" t="s">
        <v>1909</v>
      </c>
      <c r="B925" s="12">
        <v>210500</v>
      </c>
      <c r="C925" s="12">
        <v>589000</v>
      </c>
      <c r="D925" s="12">
        <v>0.1</v>
      </c>
      <c r="E925" s="12">
        <v>0.24</v>
      </c>
      <c r="F925" s="12">
        <v>0.05</v>
      </c>
      <c r="G925" s="12">
        <v>0.12</v>
      </c>
      <c r="H925" s="12">
        <v>0.31</v>
      </c>
      <c r="I925" s="12">
        <v>7.0000000000000007E-2</v>
      </c>
      <c r="J925" s="12">
        <v>0.16</v>
      </c>
      <c r="K925" s="12">
        <v>0.41</v>
      </c>
      <c r="L925" s="12">
        <v>0.1</v>
      </c>
      <c r="M925" s="8">
        <v>7</v>
      </c>
      <c r="N925">
        <v>8</v>
      </c>
      <c r="O925" s="12">
        <v>10</v>
      </c>
      <c r="BF925" s="9">
        <v>9.24</v>
      </c>
      <c r="BG925" s="9">
        <f t="shared" si="29"/>
        <v>1.7217630853994491E-2</v>
      </c>
      <c r="BH925" s="9">
        <f t="shared" si="28"/>
        <v>2.9506802721088441E-2</v>
      </c>
      <c r="BQ925" s="8">
        <v>6</v>
      </c>
      <c r="BR925" s="8" t="s">
        <v>1910</v>
      </c>
    </row>
    <row r="926" spans="1:70" x14ac:dyDescent="0.3">
      <c r="A926" s="11" t="s">
        <v>1911</v>
      </c>
      <c r="B926" s="12">
        <v>137100</v>
      </c>
      <c r="C926" s="12">
        <v>572100</v>
      </c>
      <c r="D926" s="12">
        <v>0.04</v>
      </c>
      <c r="E926" s="12">
        <v>0.09</v>
      </c>
      <c r="F926" s="12">
        <v>0.03</v>
      </c>
      <c r="G926" s="12">
        <v>0.05</v>
      </c>
      <c r="H926" s="12">
        <v>0.11</v>
      </c>
      <c r="I926" s="12">
        <v>0.04</v>
      </c>
      <c r="J926" s="12">
        <v>0.06</v>
      </c>
      <c r="K926" s="12">
        <v>0.14000000000000001</v>
      </c>
      <c r="L926" s="12">
        <v>0.05</v>
      </c>
      <c r="M926" s="8">
        <v>9</v>
      </c>
      <c r="N926">
        <v>11</v>
      </c>
      <c r="O926" s="12">
        <v>14</v>
      </c>
      <c r="BF926" s="9">
        <v>9.25</v>
      </c>
      <c r="BG926" s="9">
        <f t="shared" si="29"/>
        <v>1.7180423666910152E-2</v>
      </c>
      <c r="BH926" s="9">
        <f t="shared" si="28"/>
        <v>2.9474903474903481E-2</v>
      </c>
      <c r="BQ926" s="8">
        <v>8</v>
      </c>
      <c r="BR926" s="8" t="s">
        <v>1912</v>
      </c>
    </row>
    <row r="927" spans="1:70" x14ac:dyDescent="0.3">
      <c r="A927" s="11" t="s">
        <v>1913</v>
      </c>
      <c r="B927" s="12">
        <v>227800</v>
      </c>
      <c r="C927" s="12">
        <v>752400</v>
      </c>
      <c r="D927" s="12">
        <v>0.14000000000000001</v>
      </c>
      <c r="E927" s="12">
        <v>0.35</v>
      </c>
      <c r="F927" s="12">
        <v>7.0000000000000007E-2</v>
      </c>
      <c r="G927" s="12">
        <v>0.17</v>
      </c>
      <c r="H927" s="12">
        <v>0.44</v>
      </c>
      <c r="I927" s="12">
        <v>0.09</v>
      </c>
      <c r="J927" s="12">
        <v>0.22</v>
      </c>
      <c r="K927" s="12">
        <v>0.57999999999999996</v>
      </c>
      <c r="L927" s="12">
        <v>0.13</v>
      </c>
      <c r="M927" s="8">
        <v>6</v>
      </c>
      <c r="N927">
        <v>8</v>
      </c>
      <c r="O927" s="12">
        <v>10</v>
      </c>
      <c r="BF927" s="9">
        <v>9.26</v>
      </c>
      <c r="BG927" s="9">
        <f t="shared" si="29"/>
        <v>1.7143336956369624E-2</v>
      </c>
      <c r="BH927" s="9">
        <f t="shared" si="28"/>
        <v>2.944307312557853E-2</v>
      </c>
      <c r="BQ927" s="8">
        <v>6</v>
      </c>
      <c r="BR927" s="8" t="s">
        <v>1914</v>
      </c>
    </row>
    <row r="928" spans="1:70" x14ac:dyDescent="0.3">
      <c r="A928" s="11" t="s">
        <v>1915</v>
      </c>
      <c r="B928" s="12">
        <v>192200</v>
      </c>
      <c r="C928" s="12">
        <v>577600</v>
      </c>
      <c r="D928" s="12">
        <v>7.0000000000000007E-2</v>
      </c>
      <c r="E928" s="12">
        <v>0.17</v>
      </c>
      <c r="F928" s="12">
        <v>0.04</v>
      </c>
      <c r="G928" s="12">
        <v>0.09</v>
      </c>
      <c r="H928" s="12">
        <v>0.22</v>
      </c>
      <c r="I928" s="12">
        <v>0.06</v>
      </c>
      <c r="J928" s="12">
        <v>0.12</v>
      </c>
      <c r="K928" s="12">
        <v>0.28999999999999998</v>
      </c>
      <c r="L928" s="12">
        <v>0.08</v>
      </c>
      <c r="M928" s="8">
        <v>8</v>
      </c>
      <c r="N928">
        <v>9</v>
      </c>
      <c r="O928" s="12">
        <v>11</v>
      </c>
      <c r="BF928" s="9">
        <v>9.27</v>
      </c>
      <c r="BG928" s="9">
        <f t="shared" si="29"/>
        <v>1.7106370202797767E-2</v>
      </c>
      <c r="BH928" s="9">
        <f t="shared" si="28"/>
        <v>2.9411311450146409E-2</v>
      </c>
      <c r="BQ928" s="8">
        <v>7</v>
      </c>
      <c r="BR928" s="8" t="s">
        <v>1916</v>
      </c>
    </row>
    <row r="929" spans="1:70" x14ac:dyDescent="0.3">
      <c r="A929" s="11" t="s">
        <v>1917</v>
      </c>
      <c r="B929" s="12">
        <v>235000</v>
      </c>
      <c r="C929" s="12">
        <v>755500</v>
      </c>
      <c r="D929" s="12">
        <v>0.15</v>
      </c>
      <c r="E929" s="12">
        <v>0.38</v>
      </c>
      <c r="F929" s="12">
        <v>0.08</v>
      </c>
      <c r="G929" s="12">
        <v>0.19</v>
      </c>
      <c r="H929" s="12">
        <v>0.48</v>
      </c>
      <c r="I929" s="12">
        <v>0.1</v>
      </c>
      <c r="J929" s="12">
        <v>0.24</v>
      </c>
      <c r="K929" s="12">
        <v>0.63</v>
      </c>
      <c r="L929" s="12">
        <v>0.14000000000000001</v>
      </c>
      <c r="M929" s="8">
        <v>6</v>
      </c>
      <c r="N929">
        <v>7</v>
      </c>
      <c r="O929" s="12">
        <v>9</v>
      </c>
      <c r="BF929" s="9">
        <v>9.2799999999999994</v>
      </c>
      <c r="BG929" s="9">
        <f t="shared" si="29"/>
        <v>1.7069522889417363E-2</v>
      </c>
      <c r="BH929" s="9">
        <f t="shared" si="28"/>
        <v>2.9379618226600991E-2</v>
      </c>
      <c r="BQ929" s="8">
        <v>5</v>
      </c>
      <c r="BR929" s="8" t="s">
        <v>1918</v>
      </c>
    </row>
    <row r="930" spans="1:70" x14ac:dyDescent="0.3">
      <c r="A930" s="11" t="s">
        <v>1919</v>
      </c>
      <c r="B930" s="12">
        <v>205000</v>
      </c>
      <c r="C930" s="12">
        <v>683400</v>
      </c>
      <c r="D930" s="12">
        <v>0.08</v>
      </c>
      <c r="E930" s="12">
        <v>0.2</v>
      </c>
      <c r="F930" s="12">
        <v>0.05</v>
      </c>
      <c r="G930" s="12">
        <v>0.1</v>
      </c>
      <c r="H930" s="12">
        <v>0.25</v>
      </c>
      <c r="I930" s="12">
        <v>7.0000000000000007E-2</v>
      </c>
      <c r="J930" s="12">
        <v>0.12</v>
      </c>
      <c r="K930" s="12">
        <v>0.32</v>
      </c>
      <c r="L930" s="12">
        <v>0.09</v>
      </c>
      <c r="M930" s="8">
        <v>7</v>
      </c>
      <c r="N930">
        <v>9</v>
      </c>
      <c r="O930" s="12">
        <v>11</v>
      </c>
      <c r="BF930" s="9">
        <v>9.2899999999999991</v>
      </c>
      <c r="BG930" s="9">
        <f t="shared" si="29"/>
        <v>1.7032794502231066E-2</v>
      </c>
      <c r="BH930" s="9">
        <f t="shared" si="28"/>
        <v>2.9347993233892058E-2</v>
      </c>
      <c r="BQ930" s="8">
        <v>8</v>
      </c>
      <c r="BR930" s="8" t="s">
        <v>1920</v>
      </c>
    </row>
    <row r="931" spans="1:70" x14ac:dyDescent="0.3">
      <c r="A931" s="11" t="s">
        <v>1921</v>
      </c>
      <c r="B931" s="12">
        <v>201800</v>
      </c>
      <c r="C931" s="12">
        <v>416200</v>
      </c>
      <c r="D931" s="12">
        <v>0.18</v>
      </c>
      <c r="E931" s="12">
        <v>0.44</v>
      </c>
      <c r="F931" s="12">
        <v>0.08</v>
      </c>
      <c r="G931" s="12">
        <v>0.25</v>
      </c>
      <c r="H931" s="12">
        <v>0.62</v>
      </c>
      <c r="I931" s="12">
        <v>0.12</v>
      </c>
      <c r="J931" s="12">
        <v>0.36</v>
      </c>
      <c r="K931" s="12">
        <v>0.89</v>
      </c>
      <c r="L931" s="12">
        <v>0.18</v>
      </c>
      <c r="M931" s="8">
        <v>5</v>
      </c>
      <c r="N931">
        <v>5</v>
      </c>
      <c r="O931" s="12">
        <v>6</v>
      </c>
      <c r="BF931" s="9">
        <v>9.3000000000000007</v>
      </c>
      <c r="BG931" s="9">
        <f t="shared" si="29"/>
        <v>1.6996184530003466E-2</v>
      </c>
      <c r="BH931" s="9">
        <f t="shared" si="28"/>
        <v>2.9316436251920125E-2</v>
      </c>
      <c r="BQ931" s="8">
        <v>7</v>
      </c>
      <c r="BR931" s="8" t="s">
        <v>1922</v>
      </c>
    </row>
    <row r="932" spans="1:70" x14ac:dyDescent="0.3">
      <c r="A932" s="11" t="s">
        <v>1923</v>
      </c>
      <c r="B932" s="12">
        <v>155700</v>
      </c>
      <c r="C932" s="12">
        <v>597800</v>
      </c>
      <c r="D932" s="12">
        <v>0.05</v>
      </c>
      <c r="E932" s="12">
        <v>0.12</v>
      </c>
      <c r="F932" s="12">
        <v>0.03</v>
      </c>
      <c r="G932" s="12">
        <v>0.06</v>
      </c>
      <c r="H932" s="12">
        <v>0.15</v>
      </c>
      <c r="I932" s="12">
        <v>0.04</v>
      </c>
      <c r="J932" s="12">
        <v>0.08</v>
      </c>
      <c r="K932" s="12">
        <v>0.21</v>
      </c>
      <c r="L932" s="12">
        <v>0.06</v>
      </c>
      <c r="M932" s="8">
        <v>8</v>
      </c>
      <c r="N932">
        <v>10</v>
      </c>
      <c r="O932" s="12">
        <v>13</v>
      </c>
      <c r="BF932" s="9">
        <v>9.31</v>
      </c>
      <c r="BG932" s="9">
        <f t="shared" si="29"/>
        <v>1.6959692464243312E-2</v>
      </c>
      <c r="BH932" s="9">
        <f t="shared" si="28"/>
        <v>2.9284947061531383E-2</v>
      </c>
      <c r="BQ932" s="8">
        <v>5</v>
      </c>
      <c r="BR932" s="8" t="s">
        <v>1924</v>
      </c>
    </row>
    <row r="933" spans="1:70" x14ac:dyDescent="0.3">
      <c r="A933" s="11" t="s">
        <v>1925</v>
      </c>
      <c r="B933" s="12">
        <v>210400</v>
      </c>
      <c r="C933" s="12">
        <v>769500</v>
      </c>
      <c r="D933" s="12">
        <v>0.12</v>
      </c>
      <c r="E933" s="12">
        <v>0.28999999999999998</v>
      </c>
      <c r="F933" s="12">
        <v>0.06</v>
      </c>
      <c r="G933" s="12">
        <v>0.15</v>
      </c>
      <c r="H933" s="12">
        <v>0.39</v>
      </c>
      <c r="I933" s="12">
        <v>0.08</v>
      </c>
      <c r="J933" s="12">
        <v>0.21</v>
      </c>
      <c r="K933" s="12">
        <v>0.53</v>
      </c>
      <c r="L933" s="12">
        <v>0.11</v>
      </c>
      <c r="M933" s="8">
        <v>7</v>
      </c>
      <c r="N933">
        <v>8</v>
      </c>
      <c r="O933" s="12">
        <v>10</v>
      </c>
      <c r="BF933" s="9">
        <v>9.32</v>
      </c>
      <c r="BG933" s="9">
        <f t="shared" si="29"/>
        <v>1.6923317799185836E-2</v>
      </c>
      <c r="BH933" s="9">
        <f t="shared" si="28"/>
        <v>2.9253525444512572E-2</v>
      </c>
      <c r="BQ933" s="8">
        <v>8</v>
      </c>
      <c r="BR933" s="8" t="s">
        <v>1926</v>
      </c>
    </row>
    <row r="934" spans="1:70" x14ac:dyDescent="0.3">
      <c r="A934" s="11" t="s">
        <v>1927</v>
      </c>
      <c r="B934" s="12">
        <v>217400</v>
      </c>
      <c r="C934" s="12">
        <v>502700</v>
      </c>
      <c r="D934" s="12">
        <v>0.17</v>
      </c>
      <c r="E934" s="12">
        <v>0.41</v>
      </c>
      <c r="F934" s="12">
        <v>7.0000000000000007E-2</v>
      </c>
      <c r="G934" s="12">
        <v>0.22</v>
      </c>
      <c r="H934" s="12">
        <v>0.55000000000000004</v>
      </c>
      <c r="I934" s="12">
        <v>0.1</v>
      </c>
      <c r="J934" s="12">
        <v>0.3</v>
      </c>
      <c r="K934" s="12">
        <v>0.77</v>
      </c>
      <c r="L934" s="12">
        <v>0.15</v>
      </c>
      <c r="M934" s="8">
        <v>5</v>
      </c>
      <c r="N934">
        <v>6</v>
      </c>
      <c r="O934" s="12">
        <v>7</v>
      </c>
      <c r="BF934" s="9">
        <v>9.33</v>
      </c>
      <c r="BG934" s="9">
        <f t="shared" si="29"/>
        <v>1.6887060031775241E-2</v>
      </c>
      <c r="BH934" s="9">
        <f t="shared" si="28"/>
        <v>2.9222171183585978E-2</v>
      </c>
      <c r="BQ934" s="8">
        <v>5</v>
      </c>
      <c r="BR934" s="8" t="s">
        <v>1928</v>
      </c>
    </row>
    <row r="935" spans="1:70" x14ac:dyDescent="0.3">
      <c r="A935" s="11" t="s">
        <v>1929</v>
      </c>
      <c r="B935" s="12">
        <v>185200</v>
      </c>
      <c r="C935" s="12">
        <v>644200</v>
      </c>
      <c r="D935" s="12">
        <v>0.06</v>
      </c>
      <c r="E935" s="12">
        <v>0.14000000000000001</v>
      </c>
      <c r="F935" s="12">
        <v>0.04</v>
      </c>
      <c r="G935" s="12">
        <v>7.0000000000000007E-2</v>
      </c>
      <c r="H935" s="12">
        <v>0.18</v>
      </c>
      <c r="I935" s="12">
        <v>0.05</v>
      </c>
      <c r="J935" s="12">
        <v>0.09</v>
      </c>
      <c r="K935" s="12">
        <v>0.23</v>
      </c>
      <c r="L935" s="12">
        <v>7.0000000000000007E-2</v>
      </c>
      <c r="M935" s="8">
        <v>8</v>
      </c>
      <c r="N935">
        <v>10</v>
      </c>
      <c r="O935" s="12">
        <v>12</v>
      </c>
      <c r="BF935" s="9">
        <v>9.34</v>
      </c>
      <c r="BG935" s="9">
        <f t="shared" si="29"/>
        <v>1.6850918661647309E-2</v>
      </c>
      <c r="BH935" s="9">
        <f t="shared" si="28"/>
        <v>2.9190884062404412E-2</v>
      </c>
      <c r="BQ935" s="8">
        <v>7</v>
      </c>
      <c r="BR935" s="8" t="s">
        <v>1930</v>
      </c>
    </row>
    <row r="936" spans="1:70" x14ac:dyDescent="0.3">
      <c r="A936" s="11" t="s">
        <v>1931</v>
      </c>
      <c r="B936" s="12">
        <v>258400</v>
      </c>
      <c r="C936" s="12">
        <v>797300</v>
      </c>
      <c r="D936" s="12">
        <v>0.25</v>
      </c>
      <c r="E936" s="12">
        <v>0.61</v>
      </c>
      <c r="F936" s="12">
        <v>0.12</v>
      </c>
      <c r="G936" s="12">
        <v>0.32</v>
      </c>
      <c r="H936" s="12">
        <v>0.82</v>
      </c>
      <c r="I936" s="12">
        <v>0.16</v>
      </c>
      <c r="J936" s="12">
        <v>0.44</v>
      </c>
      <c r="K936" s="12">
        <v>1.1200000000000001</v>
      </c>
      <c r="L936" s="12">
        <v>0.24</v>
      </c>
      <c r="M936" s="8">
        <v>5</v>
      </c>
      <c r="N936">
        <v>6</v>
      </c>
      <c r="O936" s="12">
        <v>7</v>
      </c>
      <c r="BF936" s="9">
        <v>9.35</v>
      </c>
      <c r="BG936" s="9">
        <f t="shared" si="29"/>
        <v>1.6814893191112127E-2</v>
      </c>
      <c r="BH936" s="9">
        <f t="shared" si="28"/>
        <v>2.9159663865546224E-2</v>
      </c>
      <c r="BQ936" s="8">
        <v>7</v>
      </c>
      <c r="BR936" s="8" t="s">
        <v>1932</v>
      </c>
    </row>
    <row r="937" spans="1:70" x14ac:dyDescent="0.3">
      <c r="A937" s="11" t="s">
        <v>1933</v>
      </c>
      <c r="B937" s="12">
        <v>217200</v>
      </c>
      <c r="C937" s="12">
        <v>772500</v>
      </c>
      <c r="D937" s="12">
        <v>0.12</v>
      </c>
      <c r="E937" s="12">
        <v>0.28999999999999998</v>
      </c>
      <c r="F937" s="12">
        <v>0.06</v>
      </c>
      <c r="G937" s="12">
        <v>0.15</v>
      </c>
      <c r="H937" s="12">
        <v>0.38</v>
      </c>
      <c r="I937" s="12">
        <v>0.08</v>
      </c>
      <c r="J937" s="12">
        <v>0.2</v>
      </c>
      <c r="K937" s="12">
        <v>0.5</v>
      </c>
      <c r="L937" s="12">
        <v>0.11</v>
      </c>
      <c r="M937" s="8">
        <v>7</v>
      </c>
      <c r="N937">
        <v>8</v>
      </c>
      <c r="O937" s="12">
        <v>10</v>
      </c>
      <c r="BF937" s="9">
        <v>9.36</v>
      </c>
      <c r="BG937" s="9">
        <f t="shared" si="29"/>
        <v>1.6778983125136974E-2</v>
      </c>
      <c r="BH937" s="9">
        <f t="shared" si="28"/>
        <v>2.9128510378510386E-2</v>
      </c>
      <c r="BQ937" s="8">
        <v>8</v>
      </c>
      <c r="BR937" s="8" t="s">
        <v>1934</v>
      </c>
    </row>
    <row r="938" spans="1:70" x14ac:dyDescent="0.3">
      <c r="A938" s="11" t="s">
        <v>1935</v>
      </c>
      <c r="B938" s="12">
        <v>209900</v>
      </c>
      <c r="C938" s="12">
        <v>766500</v>
      </c>
      <c r="D938" s="12">
        <v>0.12</v>
      </c>
      <c r="E938" s="12">
        <v>0.3</v>
      </c>
      <c r="F938" s="12">
        <v>0.06</v>
      </c>
      <c r="G938" s="12">
        <v>0.16</v>
      </c>
      <c r="H938" s="12">
        <v>0.4</v>
      </c>
      <c r="I938" s="12">
        <v>0.08</v>
      </c>
      <c r="J938" s="12">
        <v>0.22</v>
      </c>
      <c r="K938" s="12">
        <v>0.55000000000000004</v>
      </c>
      <c r="L938" s="12">
        <v>0.12</v>
      </c>
      <c r="M938" s="8">
        <v>7</v>
      </c>
      <c r="N938">
        <v>8</v>
      </c>
      <c r="O938" s="12">
        <v>10</v>
      </c>
      <c r="BF938" s="9">
        <v>9.3699999999999992</v>
      </c>
      <c r="BG938" s="9">
        <f t="shared" si="29"/>
        <v>1.6743187971329287E-2</v>
      </c>
      <c r="BH938" s="9">
        <f t="shared" si="28"/>
        <v>2.9097423387711548E-2</v>
      </c>
      <c r="BQ938" s="8">
        <v>8</v>
      </c>
      <c r="BR938" s="8" t="s">
        <v>1936</v>
      </c>
    </row>
    <row r="939" spans="1:70" x14ac:dyDescent="0.3">
      <c r="A939" s="11" t="s">
        <v>1937</v>
      </c>
      <c r="B939" s="12">
        <v>191800</v>
      </c>
      <c r="C939" s="12">
        <v>622800</v>
      </c>
      <c r="D939" s="12">
        <v>7.0000000000000007E-2</v>
      </c>
      <c r="E939" s="12">
        <v>0.17</v>
      </c>
      <c r="F939" s="12">
        <v>0.04</v>
      </c>
      <c r="G939" s="12">
        <v>0.09</v>
      </c>
      <c r="H939" s="12">
        <v>0.21</v>
      </c>
      <c r="I939" s="12">
        <v>0.06</v>
      </c>
      <c r="J939" s="12">
        <v>0.11</v>
      </c>
      <c r="K939" s="12">
        <v>0.28000000000000003</v>
      </c>
      <c r="L939" s="12">
        <v>0.08</v>
      </c>
      <c r="M939" s="8">
        <v>8</v>
      </c>
      <c r="N939">
        <v>9</v>
      </c>
      <c r="O939" s="12">
        <v>12</v>
      </c>
      <c r="BF939" s="9">
        <v>9.3800000000000008</v>
      </c>
      <c r="BG939" s="9">
        <f t="shared" si="29"/>
        <v>1.6707507239919803E-2</v>
      </c>
      <c r="BH939" s="9">
        <f t="shared" si="28"/>
        <v>2.9066402680475178E-2</v>
      </c>
      <c r="BQ939" s="8">
        <v>6</v>
      </c>
      <c r="BR939" s="8" t="s">
        <v>1938</v>
      </c>
    </row>
    <row r="940" spans="1:70" x14ac:dyDescent="0.3">
      <c r="A940" s="11" t="s">
        <v>1939</v>
      </c>
      <c r="B940" s="12">
        <v>168200</v>
      </c>
      <c r="C940" s="12">
        <v>630200</v>
      </c>
      <c r="D940" s="12">
        <v>0.06</v>
      </c>
      <c r="E940" s="12">
        <v>0.16</v>
      </c>
      <c r="F940" s="12">
        <v>0.04</v>
      </c>
      <c r="G940" s="12">
        <v>0.09</v>
      </c>
      <c r="H940" s="12">
        <v>0.21</v>
      </c>
      <c r="I940" s="12">
        <v>0.05</v>
      </c>
      <c r="J940" s="12">
        <v>0.12</v>
      </c>
      <c r="K940" s="12">
        <v>0.28999999999999998</v>
      </c>
      <c r="L940" s="12">
        <v>7.0000000000000007E-2</v>
      </c>
      <c r="M940" s="8">
        <v>8</v>
      </c>
      <c r="N940">
        <v>10</v>
      </c>
      <c r="O940" s="12">
        <v>12</v>
      </c>
      <c r="BF940" s="9">
        <v>9.39</v>
      </c>
      <c r="BG940" s="9">
        <f t="shared" si="29"/>
        <v>1.6671940443745807E-2</v>
      </c>
      <c r="BH940" s="9">
        <f t="shared" si="28"/>
        <v>2.9035448045032712E-2</v>
      </c>
      <c r="BQ940" s="8">
        <v>8</v>
      </c>
      <c r="BR940" s="8" t="s">
        <v>1940</v>
      </c>
    </row>
    <row r="941" spans="1:70" x14ac:dyDescent="0.3">
      <c r="A941" s="11" t="s">
        <v>1941</v>
      </c>
      <c r="B941" s="12">
        <v>216200</v>
      </c>
      <c r="C941" s="12">
        <v>743500</v>
      </c>
      <c r="D941" s="12">
        <v>0.14000000000000001</v>
      </c>
      <c r="E941" s="12">
        <v>0.35</v>
      </c>
      <c r="F941" s="12">
        <v>7.0000000000000007E-2</v>
      </c>
      <c r="G941" s="12">
        <v>0.19</v>
      </c>
      <c r="H941" s="12">
        <v>0.47</v>
      </c>
      <c r="I941" s="12">
        <v>0.09</v>
      </c>
      <c r="J941" s="12">
        <v>0.27</v>
      </c>
      <c r="K941" s="12">
        <v>0.67</v>
      </c>
      <c r="L941" s="12">
        <v>0.13</v>
      </c>
      <c r="M941" s="8">
        <v>6</v>
      </c>
      <c r="N941">
        <v>7</v>
      </c>
      <c r="O941" s="12">
        <v>8</v>
      </c>
      <c r="BF941" s="9">
        <v>9.4</v>
      </c>
      <c r="BG941" s="9">
        <f t="shared" si="29"/>
        <v>1.6636487098234492E-2</v>
      </c>
      <c r="BH941" s="9">
        <f t="shared" si="28"/>
        <v>2.9004559270516719E-2</v>
      </c>
      <c r="BQ941" s="8">
        <v>8</v>
      </c>
      <c r="BR941" s="8" t="s">
        <v>1942</v>
      </c>
    </row>
    <row r="942" spans="1:70" x14ac:dyDescent="0.3">
      <c r="A942" s="11" t="s">
        <v>1943</v>
      </c>
      <c r="B942" s="12">
        <v>191300</v>
      </c>
      <c r="C942" s="12">
        <v>671800</v>
      </c>
      <c r="D942" s="12">
        <v>0.06</v>
      </c>
      <c r="E942" s="12">
        <v>0.16</v>
      </c>
      <c r="F942" s="12">
        <v>0.04</v>
      </c>
      <c r="G942" s="12">
        <v>0.08</v>
      </c>
      <c r="H942" s="12">
        <v>0.2</v>
      </c>
      <c r="I942" s="12">
        <v>0.06</v>
      </c>
      <c r="J942" s="12">
        <v>0.1</v>
      </c>
      <c r="K942" s="12">
        <v>0.25</v>
      </c>
      <c r="L942" s="12">
        <v>0.08</v>
      </c>
      <c r="M942" s="8">
        <v>8</v>
      </c>
      <c r="N942">
        <v>10</v>
      </c>
      <c r="O942" s="12">
        <v>12</v>
      </c>
      <c r="BF942" s="9">
        <v>9.41</v>
      </c>
      <c r="BG942" s="9">
        <f t="shared" si="29"/>
        <v>1.6601146721386455E-2</v>
      </c>
      <c r="BH942" s="9">
        <f t="shared" si="28"/>
        <v>2.8973736146956131E-2</v>
      </c>
      <c r="BQ942" s="8">
        <v>6</v>
      </c>
      <c r="BR942" s="8" t="s">
        <v>1944</v>
      </c>
    </row>
    <row r="943" spans="1:70" x14ac:dyDescent="0.3">
      <c r="A943" s="11" t="s">
        <v>1945</v>
      </c>
      <c r="B943" s="12">
        <v>177700</v>
      </c>
      <c r="C943" s="12">
        <v>611400</v>
      </c>
      <c r="D943" s="12">
        <v>7.0000000000000007E-2</v>
      </c>
      <c r="E943" s="12">
        <v>0.17</v>
      </c>
      <c r="F943" s="12">
        <v>0.04</v>
      </c>
      <c r="G943" s="12">
        <v>0.09</v>
      </c>
      <c r="H943" s="12">
        <v>0.22</v>
      </c>
      <c r="I943" s="12">
        <v>0.05</v>
      </c>
      <c r="J943" s="12">
        <v>0.13</v>
      </c>
      <c r="K943" s="12">
        <v>0.31</v>
      </c>
      <c r="L943" s="12">
        <v>7.0000000000000007E-2</v>
      </c>
      <c r="M943" s="8">
        <v>8</v>
      </c>
      <c r="N943">
        <v>10</v>
      </c>
      <c r="O943" s="12">
        <v>12</v>
      </c>
      <c r="BF943" s="9">
        <v>9.42</v>
      </c>
      <c r="BG943" s="9">
        <f t="shared" si="29"/>
        <v>1.6565918833759314E-2</v>
      </c>
      <c r="BH943" s="9">
        <f t="shared" si="28"/>
        <v>2.8942978465271465E-2</v>
      </c>
      <c r="BQ943" s="8">
        <v>7</v>
      </c>
      <c r="BR943" s="8" t="s">
        <v>1946</v>
      </c>
    </row>
    <row r="944" spans="1:70" x14ac:dyDescent="0.3">
      <c r="A944" s="11" t="s">
        <v>1947</v>
      </c>
      <c r="B944" s="12">
        <v>231300</v>
      </c>
      <c r="C944" s="12">
        <v>744200</v>
      </c>
      <c r="D944" s="12">
        <v>0.15</v>
      </c>
      <c r="E944" s="12">
        <v>0.38</v>
      </c>
      <c r="F944" s="12">
        <v>7.0000000000000007E-2</v>
      </c>
      <c r="G944" s="12">
        <v>0.18</v>
      </c>
      <c r="H944" s="12">
        <v>0.48</v>
      </c>
      <c r="I944" s="12">
        <v>0.1</v>
      </c>
      <c r="J944" s="12">
        <v>0.24</v>
      </c>
      <c r="K944" s="12">
        <v>0.63</v>
      </c>
      <c r="L944" s="12">
        <v>0.13</v>
      </c>
      <c r="M944" s="8">
        <v>6</v>
      </c>
      <c r="N944">
        <v>7</v>
      </c>
      <c r="O944" s="12">
        <v>9</v>
      </c>
      <c r="BF944" s="9">
        <v>9.43</v>
      </c>
      <c r="BG944" s="9">
        <f t="shared" si="29"/>
        <v>1.6530802958451458E-2</v>
      </c>
      <c r="BH944" s="9">
        <f t="shared" si="28"/>
        <v>2.8912286017270115E-2</v>
      </c>
      <c r="BQ944" s="8">
        <v>8</v>
      </c>
      <c r="BR944" s="8" t="s">
        <v>1948</v>
      </c>
    </row>
    <row r="945" spans="1:70" x14ac:dyDescent="0.3">
      <c r="A945" s="11" t="s">
        <v>1949</v>
      </c>
      <c r="B945" s="12">
        <v>198800</v>
      </c>
      <c r="C945" s="12">
        <v>693200</v>
      </c>
      <c r="D945" s="12">
        <v>0.08</v>
      </c>
      <c r="E945" s="12">
        <v>0.18</v>
      </c>
      <c r="F945" s="12">
        <v>0.05</v>
      </c>
      <c r="G945" s="12">
        <v>0.09</v>
      </c>
      <c r="H945" s="12">
        <v>0.23</v>
      </c>
      <c r="I945" s="12">
        <v>0.06</v>
      </c>
      <c r="J945" s="12">
        <v>0.12</v>
      </c>
      <c r="K945" s="12">
        <v>0.3</v>
      </c>
      <c r="L945" s="12">
        <v>0.09</v>
      </c>
      <c r="M945" s="8">
        <v>7</v>
      </c>
      <c r="N945">
        <v>9</v>
      </c>
      <c r="O945" s="12">
        <v>11</v>
      </c>
      <c r="BF945" s="9">
        <v>9.44</v>
      </c>
      <c r="BG945" s="9">
        <f t="shared" si="29"/>
        <v>1.6495798621085897E-2</v>
      </c>
      <c r="BH945" s="9">
        <f t="shared" si="28"/>
        <v>2.8881658595641652E-2</v>
      </c>
      <c r="BQ945" s="8">
        <v>7</v>
      </c>
      <c r="BR945" s="8" t="s">
        <v>1950</v>
      </c>
    </row>
    <row r="946" spans="1:70" x14ac:dyDescent="0.3">
      <c r="A946" s="11" t="s">
        <v>1951</v>
      </c>
      <c r="B946" s="12">
        <v>185700</v>
      </c>
      <c r="C946" s="12">
        <v>575000</v>
      </c>
      <c r="D946" s="12">
        <v>0.06</v>
      </c>
      <c r="E946" s="12">
        <v>0.15</v>
      </c>
      <c r="F946" s="12">
        <v>0.04</v>
      </c>
      <c r="G946" s="12">
        <v>0.08</v>
      </c>
      <c r="H946" s="12">
        <v>0.19</v>
      </c>
      <c r="I946" s="12">
        <v>0.05</v>
      </c>
      <c r="J946" s="12">
        <v>0.1</v>
      </c>
      <c r="K946" s="12">
        <v>0.25</v>
      </c>
      <c r="L946" s="12">
        <v>7.0000000000000007E-2</v>
      </c>
      <c r="M946" s="8">
        <v>8</v>
      </c>
      <c r="N946">
        <v>9</v>
      </c>
      <c r="O946" s="12">
        <v>12</v>
      </c>
      <c r="BF946" s="9">
        <v>9.4499999999999993</v>
      </c>
      <c r="BG946" s="9">
        <f t="shared" si="29"/>
        <v>1.6460905349794244E-2</v>
      </c>
      <c r="BH946" s="9">
        <f t="shared" si="28"/>
        <v>2.8851095993953142E-2</v>
      </c>
      <c r="BQ946" s="8">
        <v>8</v>
      </c>
      <c r="BR946" s="8" t="s">
        <v>1952</v>
      </c>
    </row>
    <row r="947" spans="1:70" x14ac:dyDescent="0.3">
      <c r="A947" s="11" t="s">
        <v>1953</v>
      </c>
      <c r="B947" s="12">
        <v>198400</v>
      </c>
      <c r="C947" s="12">
        <v>725400</v>
      </c>
      <c r="D947" s="12">
        <v>0.1</v>
      </c>
      <c r="E947" s="12">
        <v>0.24</v>
      </c>
      <c r="F947" s="12">
        <v>0.06</v>
      </c>
      <c r="G947" s="12">
        <v>0.13</v>
      </c>
      <c r="H947" s="12">
        <v>0.33</v>
      </c>
      <c r="I947" s="12">
        <v>7.0000000000000007E-2</v>
      </c>
      <c r="J947" s="12">
        <v>0.18</v>
      </c>
      <c r="K947" s="12">
        <v>0.47</v>
      </c>
      <c r="L947" s="12">
        <v>0.1</v>
      </c>
      <c r="M947" s="8">
        <v>7</v>
      </c>
      <c r="N947">
        <v>8</v>
      </c>
      <c r="O947" s="12">
        <v>10</v>
      </c>
      <c r="BF947" s="9">
        <v>9.4600000000000009</v>
      </c>
      <c r="BG947" s="9">
        <f t="shared" si="29"/>
        <v>1.6426122675200796E-2</v>
      </c>
      <c r="BH947" s="9">
        <f t="shared" si="28"/>
        <v>2.8820598006644521E-2</v>
      </c>
      <c r="BQ947" s="8">
        <v>8</v>
      </c>
      <c r="BR947" s="8" t="s">
        <v>1954</v>
      </c>
    </row>
    <row r="948" spans="1:70" x14ac:dyDescent="0.3">
      <c r="A948" s="11" t="s">
        <v>1955</v>
      </c>
      <c r="B948" s="12">
        <v>171900</v>
      </c>
      <c r="C948" s="12">
        <v>616100</v>
      </c>
      <c r="D948" s="12">
        <v>7.0000000000000007E-2</v>
      </c>
      <c r="E948" s="12">
        <v>0.16</v>
      </c>
      <c r="F948" s="12">
        <v>0.04</v>
      </c>
      <c r="G948" s="12">
        <v>0.09</v>
      </c>
      <c r="H948" s="12">
        <v>0.22</v>
      </c>
      <c r="I948" s="12">
        <v>0.05</v>
      </c>
      <c r="J948" s="12">
        <v>0.12</v>
      </c>
      <c r="K948" s="12">
        <v>0.3</v>
      </c>
      <c r="L948" s="12">
        <v>7.0000000000000007E-2</v>
      </c>
      <c r="M948" s="8">
        <v>8</v>
      </c>
      <c r="N948">
        <v>10</v>
      </c>
      <c r="O948" s="12">
        <v>12</v>
      </c>
      <c r="BF948" s="9">
        <v>9.4700000000000006</v>
      </c>
      <c r="BG948" s="9">
        <f t="shared" si="29"/>
        <v>1.6391450130406809E-2</v>
      </c>
      <c r="BH948" s="9">
        <f t="shared" si="28"/>
        <v>2.8790164429023987E-2</v>
      </c>
      <c r="BQ948" s="8">
        <v>8</v>
      </c>
      <c r="BR948" s="8" t="s">
        <v>1956</v>
      </c>
    </row>
    <row r="949" spans="1:70" x14ac:dyDescent="0.3">
      <c r="A949" s="12" t="s">
        <v>1957</v>
      </c>
      <c r="B949" s="12">
        <v>192000</v>
      </c>
      <c r="C949" s="12">
        <v>577000</v>
      </c>
      <c r="D949" s="12">
        <v>7.0000000000000007E-2</v>
      </c>
      <c r="E949" s="12">
        <v>0.17</v>
      </c>
      <c r="F949" s="12">
        <v>0.04</v>
      </c>
      <c r="G949" s="12">
        <v>0.09</v>
      </c>
      <c r="H949" s="12">
        <v>0.22</v>
      </c>
      <c r="I949" s="12">
        <v>0.06</v>
      </c>
      <c r="J949" s="12">
        <v>0.11</v>
      </c>
      <c r="K949" s="12">
        <v>0.28999999999999998</v>
      </c>
      <c r="L949" s="12">
        <v>0.08</v>
      </c>
      <c r="M949" s="8">
        <v>8</v>
      </c>
      <c r="N949">
        <v>9</v>
      </c>
      <c r="O949" s="12">
        <v>11</v>
      </c>
      <c r="BF949" s="9">
        <v>9.48</v>
      </c>
      <c r="BG949" s="9">
        <f t="shared" si="29"/>
        <v>1.6356887250974735E-2</v>
      </c>
      <c r="BH949" s="9">
        <f t="shared" si="28"/>
        <v>2.8759795057263414E-2</v>
      </c>
      <c r="BQ949" s="8">
        <v>8</v>
      </c>
      <c r="BR949" s="8" t="s">
        <v>1958</v>
      </c>
    </row>
    <row r="950" spans="1:70" x14ac:dyDescent="0.3">
      <c r="A950" s="11" t="s">
        <v>1959</v>
      </c>
      <c r="B950" s="12">
        <v>149400</v>
      </c>
      <c r="C950" s="12">
        <v>522600</v>
      </c>
      <c r="D950" s="12">
        <v>0.04</v>
      </c>
      <c r="E950" s="12">
        <v>0.1</v>
      </c>
      <c r="F950" s="12">
        <v>0.03</v>
      </c>
      <c r="G950" s="12">
        <v>0.05</v>
      </c>
      <c r="H950" s="12">
        <v>0.13</v>
      </c>
      <c r="I950" s="12">
        <v>0.04</v>
      </c>
      <c r="J950" s="12">
        <v>7.0000000000000007E-2</v>
      </c>
      <c r="K950" s="12">
        <v>0.16</v>
      </c>
      <c r="L950" s="12">
        <v>0.06</v>
      </c>
      <c r="M950" s="8">
        <v>8</v>
      </c>
      <c r="N950">
        <v>10</v>
      </c>
      <c r="O950" s="12">
        <v>13</v>
      </c>
      <c r="BF950" s="9">
        <v>9.49</v>
      </c>
      <c r="BG950" s="9">
        <f t="shared" si="29"/>
        <v>1.632243357491275E-2</v>
      </c>
      <c r="BH950" s="9">
        <f t="shared" si="28"/>
        <v>2.8729489688393801E-2</v>
      </c>
      <c r="BQ950" s="8">
        <v>8</v>
      </c>
      <c r="BR950" s="8" t="s">
        <v>1960</v>
      </c>
    </row>
    <row r="951" spans="1:70" x14ac:dyDescent="0.3">
      <c r="A951" s="11" t="s">
        <v>1961</v>
      </c>
      <c r="B951" s="12">
        <v>168900</v>
      </c>
      <c r="C951" s="12">
        <v>627600</v>
      </c>
      <c r="D951" s="12">
        <v>7.0000000000000007E-2</v>
      </c>
      <c r="E951" s="12">
        <v>0.16</v>
      </c>
      <c r="F951" s="12">
        <v>0.04</v>
      </c>
      <c r="G951" s="12">
        <v>0.09</v>
      </c>
      <c r="H951" s="12">
        <v>0.21</v>
      </c>
      <c r="I951" s="12">
        <v>0.05</v>
      </c>
      <c r="J951" s="12">
        <v>0.12</v>
      </c>
      <c r="K951" s="12">
        <v>0.3</v>
      </c>
      <c r="L951" s="12">
        <v>7.0000000000000007E-2</v>
      </c>
      <c r="M951" s="8">
        <v>8</v>
      </c>
      <c r="N951">
        <v>10</v>
      </c>
      <c r="O951" s="12">
        <v>12</v>
      </c>
      <c r="BF951" s="9">
        <v>9.5</v>
      </c>
      <c r="BG951" s="9">
        <f t="shared" si="29"/>
        <v>1.6288088642659279E-2</v>
      </c>
      <c r="BH951" s="9">
        <f t="shared" si="28"/>
        <v>2.8699248120300756E-2</v>
      </c>
      <c r="BQ951" s="8">
        <v>8</v>
      </c>
      <c r="BR951" s="8" t="s">
        <v>1962</v>
      </c>
    </row>
    <row r="952" spans="1:70" x14ac:dyDescent="0.3">
      <c r="A952" s="11" t="s">
        <v>1963</v>
      </c>
      <c r="B952" s="12">
        <v>197300</v>
      </c>
      <c r="C952" s="12">
        <v>685300</v>
      </c>
      <c r="D952" s="12">
        <v>7.0000000000000007E-2</v>
      </c>
      <c r="E952" s="12">
        <v>0.18</v>
      </c>
      <c r="F952" s="12">
        <v>0.05</v>
      </c>
      <c r="G952" s="12">
        <v>0.09</v>
      </c>
      <c r="H952" s="12">
        <v>0.22</v>
      </c>
      <c r="I952" s="12">
        <v>0.06</v>
      </c>
      <c r="J952" s="12">
        <v>0.11</v>
      </c>
      <c r="K952" s="12">
        <v>0.28999999999999998</v>
      </c>
      <c r="L952" s="12">
        <v>0.08</v>
      </c>
      <c r="M952" s="8">
        <v>8</v>
      </c>
      <c r="N952">
        <v>9</v>
      </c>
      <c r="O952" s="12">
        <v>11</v>
      </c>
      <c r="BF952" s="9">
        <v>9.51</v>
      </c>
      <c r="BG952" s="9">
        <f t="shared" si="29"/>
        <v>1.6253851997067671E-2</v>
      </c>
      <c r="BH952" s="9">
        <f t="shared" si="28"/>
        <v>2.8669070151719999E-2</v>
      </c>
      <c r="BQ952" s="8">
        <v>8</v>
      </c>
      <c r="BR952" s="8" t="s">
        <v>1964</v>
      </c>
    </row>
    <row r="953" spans="1:70" x14ac:dyDescent="0.3">
      <c r="A953" s="11" t="s">
        <v>1965</v>
      </c>
      <c r="B953" s="12">
        <v>191700</v>
      </c>
      <c r="C953" s="12">
        <v>644300</v>
      </c>
      <c r="D953" s="12">
        <v>0.06</v>
      </c>
      <c r="E953" s="12">
        <v>0.15</v>
      </c>
      <c r="F953" s="12">
        <v>0.04</v>
      </c>
      <c r="G953" s="12">
        <v>0.08</v>
      </c>
      <c r="H953" s="12">
        <v>0.19</v>
      </c>
      <c r="I953" s="12">
        <v>0.06</v>
      </c>
      <c r="J953" s="12">
        <v>0.1</v>
      </c>
      <c r="K953" s="12">
        <v>0.24</v>
      </c>
      <c r="L953" s="12">
        <v>0.08</v>
      </c>
      <c r="M953" s="8">
        <v>8</v>
      </c>
      <c r="N953">
        <v>10</v>
      </c>
      <c r="O953" s="12">
        <v>12</v>
      </c>
      <c r="BF953" s="9">
        <v>9.52</v>
      </c>
      <c r="BG953" s="9">
        <f t="shared" si="29"/>
        <v>1.6219723183391006E-2</v>
      </c>
      <c r="BH953" s="9">
        <f t="shared" si="28"/>
        <v>2.8638955582232898E-2</v>
      </c>
      <c r="BQ953" s="8">
        <v>7</v>
      </c>
      <c r="BR953" s="8" t="s">
        <v>1966</v>
      </c>
    </row>
    <row r="954" spans="1:70" x14ac:dyDescent="0.3">
      <c r="A954" s="11" t="s">
        <v>1967</v>
      </c>
      <c r="B954" s="12">
        <v>171100</v>
      </c>
      <c r="C954" s="12">
        <v>628800</v>
      </c>
      <c r="D954" s="12">
        <v>0.06</v>
      </c>
      <c r="E954" s="12">
        <v>0.16</v>
      </c>
      <c r="F954" s="12">
        <v>0.04</v>
      </c>
      <c r="G954" s="12">
        <v>0.09</v>
      </c>
      <c r="H954" s="12">
        <v>0.21</v>
      </c>
      <c r="I954" s="12">
        <v>0.05</v>
      </c>
      <c r="J954" s="12">
        <v>0.12</v>
      </c>
      <c r="K954" s="12">
        <v>0.28999999999999998</v>
      </c>
      <c r="L954" s="12">
        <v>7.0000000000000007E-2</v>
      </c>
      <c r="M954" s="8">
        <v>8</v>
      </c>
      <c r="N954">
        <v>10</v>
      </c>
      <c r="O954" s="12">
        <v>12</v>
      </c>
      <c r="BF954" s="9">
        <v>9.5299999999999994</v>
      </c>
      <c r="BG954" s="9">
        <f t="shared" si="29"/>
        <v>1.6185701749266965E-2</v>
      </c>
      <c r="BH954" s="9">
        <f t="shared" si="28"/>
        <v>2.8608904212262035E-2</v>
      </c>
      <c r="BQ954" s="8">
        <v>7</v>
      </c>
      <c r="BR954" s="8" t="s">
        <v>1968</v>
      </c>
    </row>
    <row r="955" spans="1:70" x14ac:dyDescent="0.3">
      <c r="A955" s="11" t="s">
        <v>1969</v>
      </c>
      <c r="B955" s="12">
        <v>193200</v>
      </c>
      <c r="C955" s="12">
        <v>576900</v>
      </c>
      <c r="D955" s="12">
        <v>7.0000000000000007E-2</v>
      </c>
      <c r="E955" s="12">
        <v>0.17</v>
      </c>
      <c r="F955" s="12">
        <v>0.04</v>
      </c>
      <c r="G955" s="12">
        <v>0.09</v>
      </c>
      <c r="H955" s="12">
        <v>0.22</v>
      </c>
      <c r="I955" s="12">
        <v>0.06</v>
      </c>
      <c r="J955" s="12">
        <v>0.12</v>
      </c>
      <c r="K955" s="12">
        <v>0.3</v>
      </c>
      <c r="L955" s="12">
        <v>0.08</v>
      </c>
      <c r="M955" s="8">
        <v>7</v>
      </c>
      <c r="N955">
        <v>9</v>
      </c>
      <c r="O955" s="12">
        <v>11</v>
      </c>
      <c r="BF955" s="9">
        <v>9.5399999999999991</v>
      </c>
      <c r="BG955" s="9">
        <f t="shared" si="29"/>
        <v>1.6151787244702873E-2</v>
      </c>
      <c r="BH955" s="9">
        <f t="shared" si="28"/>
        <v>2.8578915843066793E-2</v>
      </c>
      <c r="BQ955" s="8">
        <v>5</v>
      </c>
      <c r="BR955" s="8" t="s">
        <v>1970</v>
      </c>
    </row>
    <row r="956" spans="1:70" x14ac:dyDescent="0.3">
      <c r="A956" s="11" t="s">
        <v>1971</v>
      </c>
      <c r="B956" s="12">
        <v>216800</v>
      </c>
      <c r="C956" s="12">
        <v>656400</v>
      </c>
      <c r="D956" s="12">
        <v>0.1</v>
      </c>
      <c r="E956" s="12">
        <v>0.25</v>
      </c>
      <c r="F956" s="12">
        <v>0.06</v>
      </c>
      <c r="G956" s="12">
        <v>0.12</v>
      </c>
      <c r="H956" s="12">
        <v>0.32</v>
      </c>
      <c r="I956" s="12">
        <v>0.08</v>
      </c>
      <c r="J956" s="12">
        <v>0.16</v>
      </c>
      <c r="K956" s="12">
        <v>0.42</v>
      </c>
      <c r="L956" s="12">
        <v>0.1</v>
      </c>
      <c r="M956" s="8">
        <v>7</v>
      </c>
      <c r="N956">
        <v>8</v>
      </c>
      <c r="O956" s="12">
        <v>10</v>
      </c>
      <c r="BF956" s="9">
        <v>9.5500000000000007</v>
      </c>
      <c r="BG956" s="9">
        <f t="shared" si="29"/>
        <v>1.6117979222060794E-2</v>
      </c>
      <c r="BH956" s="9">
        <f t="shared" si="28"/>
        <v>2.8548990276738972E-2</v>
      </c>
      <c r="BQ956" s="8">
        <v>6</v>
      </c>
      <c r="BR956" s="8" t="s">
        <v>1972</v>
      </c>
    </row>
    <row r="957" spans="1:70" x14ac:dyDescent="0.3">
      <c r="A957" s="11" t="s">
        <v>1973</v>
      </c>
      <c r="B957" s="12">
        <v>228500</v>
      </c>
      <c r="C957" s="12">
        <v>524000</v>
      </c>
      <c r="D957" s="12">
        <v>0.19</v>
      </c>
      <c r="E957" s="12">
        <v>0.46</v>
      </c>
      <c r="F957" s="12">
        <v>0.08</v>
      </c>
      <c r="G957" s="12">
        <v>0.26</v>
      </c>
      <c r="H957" s="12">
        <v>0.64</v>
      </c>
      <c r="I957" s="12">
        <v>0.12</v>
      </c>
      <c r="J957" s="12">
        <v>0.36</v>
      </c>
      <c r="K957" s="12">
        <v>0.92</v>
      </c>
      <c r="L957" s="12">
        <v>0.19</v>
      </c>
      <c r="M957" s="8">
        <v>5</v>
      </c>
      <c r="N957">
        <v>5</v>
      </c>
      <c r="O957" s="12">
        <v>6</v>
      </c>
      <c r="BF957" s="9">
        <v>9.56</v>
      </c>
      <c r="BG957" s="9">
        <f t="shared" si="29"/>
        <v>1.6084277236042784E-2</v>
      </c>
      <c r="BH957" s="9">
        <f t="shared" si="28"/>
        <v>2.8519127316198448E-2</v>
      </c>
      <c r="BQ957" s="8">
        <v>8</v>
      </c>
      <c r="BR957" s="8" t="s">
        <v>1974</v>
      </c>
    </row>
    <row r="958" spans="1:70" x14ac:dyDescent="0.3">
      <c r="A958" s="11" t="s">
        <v>1975</v>
      </c>
      <c r="B958" s="12">
        <v>237700</v>
      </c>
      <c r="C958" s="12">
        <v>749300</v>
      </c>
      <c r="D958" s="12">
        <v>0.16</v>
      </c>
      <c r="E958" s="12">
        <v>0.42</v>
      </c>
      <c r="F958" s="12">
        <v>0.08</v>
      </c>
      <c r="G958" s="12">
        <v>0.2</v>
      </c>
      <c r="H958" s="12">
        <v>0.53</v>
      </c>
      <c r="I958" s="12">
        <v>0.11</v>
      </c>
      <c r="J958" s="12">
        <v>0.26</v>
      </c>
      <c r="K958" s="12">
        <v>0.7</v>
      </c>
      <c r="L958" s="12">
        <v>0.15</v>
      </c>
      <c r="M958" s="8">
        <v>6</v>
      </c>
      <c r="N958">
        <v>7</v>
      </c>
      <c r="O958" s="12">
        <v>9</v>
      </c>
      <c r="BF958" s="9">
        <v>9.57</v>
      </c>
      <c r="BG958" s="9">
        <f t="shared" si="29"/>
        <v>1.6050680843676196E-2</v>
      </c>
      <c r="BH958" s="9">
        <f t="shared" si="28"/>
        <v>2.8489326765188838E-2</v>
      </c>
      <c r="BQ958" s="8">
        <v>6</v>
      </c>
      <c r="BR958" s="8" t="s">
        <v>1976</v>
      </c>
    </row>
    <row r="959" spans="1:70" x14ac:dyDescent="0.3">
      <c r="A959" s="11" t="s">
        <v>1977</v>
      </c>
      <c r="B959" s="12">
        <v>178100</v>
      </c>
      <c r="C959" s="12">
        <v>647000</v>
      </c>
      <c r="D959" s="12">
        <v>0.06</v>
      </c>
      <c r="E959" s="12">
        <v>0.14000000000000001</v>
      </c>
      <c r="F959" s="12">
        <v>0.04</v>
      </c>
      <c r="G959" s="12">
        <v>7.0000000000000007E-2</v>
      </c>
      <c r="H959" s="12">
        <v>0.17</v>
      </c>
      <c r="I959" s="12">
        <v>0.05</v>
      </c>
      <c r="J959" s="12">
        <v>0.09</v>
      </c>
      <c r="K959" s="12">
        <v>0.23</v>
      </c>
      <c r="L959" s="12">
        <v>7.0000000000000007E-2</v>
      </c>
      <c r="M959" s="8">
        <v>8</v>
      </c>
      <c r="N959">
        <v>10</v>
      </c>
      <c r="O959" s="12">
        <v>12</v>
      </c>
      <c r="BF959" s="9">
        <v>9.58</v>
      </c>
      <c r="BG959" s="9">
        <f t="shared" si="29"/>
        <v>1.6017189604299147E-2</v>
      </c>
      <c r="BH959" s="9">
        <f t="shared" si="28"/>
        <v>2.8459588428273192E-2</v>
      </c>
      <c r="BQ959" s="8">
        <v>7</v>
      </c>
      <c r="BR959" s="8" t="s">
        <v>1978</v>
      </c>
    </row>
    <row r="960" spans="1:70" x14ac:dyDescent="0.3">
      <c r="A960" s="11" t="s">
        <v>1979</v>
      </c>
      <c r="B960" s="12">
        <v>224900</v>
      </c>
      <c r="C960" s="12">
        <v>735800</v>
      </c>
      <c r="D960" s="12">
        <v>0.15</v>
      </c>
      <c r="E960" s="12">
        <v>0.37</v>
      </c>
      <c r="F960" s="12">
        <v>7.0000000000000007E-2</v>
      </c>
      <c r="G960" s="12">
        <v>0.19</v>
      </c>
      <c r="H960" s="12">
        <v>0.48</v>
      </c>
      <c r="I960" s="12">
        <v>0.1</v>
      </c>
      <c r="J960" s="12">
        <v>0.26</v>
      </c>
      <c r="K960" s="12">
        <v>0.67</v>
      </c>
      <c r="L960" s="12">
        <v>0.14000000000000001</v>
      </c>
      <c r="M960" s="8">
        <v>6</v>
      </c>
      <c r="N960">
        <v>7</v>
      </c>
      <c r="O960" s="12">
        <v>8</v>
      </c>
      <c r="BF960" s="9">
        <v>9.59</v>
      </c>
      <c r="BG960" s="9">
        <f t="shared" si="29"/>
        <v>1.5983803079546062E-2</v>
      </c>
      <c r="BH960" s="9">
        <f t="shared" si="28"/>
        <v>2.8429912110829739E-2</v>
      </c>
      <c r="BQ960" s="8">
        <v>6</v>
      </c>
      <c r="BR960" s="8" t="s">
        <v>1980</v>
      </c>
    </row>
    <row r="961" spans="1:70" x14ac:dyDescent="0.3">
      <c r="A961" s="11" t="s">
        <v>1981</v>
      </c>
      <c r="B961" s="12">
        <v>195200</v>
      </c>
      <c r="C961" s="12">
        <v>726000</v>
      </c>
      <c r="D961" s="12">
        <v>0.09</v>
      </c>
      <c r="E961" s="12">
        <v>0.23</v>
      </c>
      <c r="F961" s="12">
        <v>0.05</v>
      </c>
      <c r="G961" s="12">
        <v>0.12</v>
      </c>
      <c r="H961" s="12">
        <v>0.31</v>
      </c>
      <c r="I961" s="12">
        <v>7.0000000000000007E-2</v>
      </c>
      <c r="J961" s="12">
        <v>0.17</v>
      </c>
      <c r="K961" s="12">
        <v>0.43</v>
      </c>
      <c r="L961" s="12">
        <v>0.1</v>
      </c>
      <c r="M961" s="8">
        <v>7</v>
      </c>
      <c r="N961">
        <v>8</v>
      </c>
      <c r="O961" s="12">
        <v>10</v>
      </c>
      <c r="BF961" s="9">
        <v>9.6</v>
      </c>
      <c r="BG961" s="9">
        <f t="shared" si="29"/>
        <v>1.5950520833333332E-2</v>
      </c>
      <c r="BH961" s="9">
        <f t="shared" si="28"/>
        <v>2.8400297619047624E-2</v>
      </c>
      <c r="BQ961" s="8">
        <v>5</v>
      </c>
      <c r="BR961" s="8" t="s">
        <v>1982</v>
      </c>
    </row>
    <row r="962" spans="1:70" x14ac:dyDescent="0.3">
      <c r="A962" s="11" t="s">
        <v>1983</v>
      </c>
      <c r="B962" s="12">
        <v>237400</v>
      </c>
      <c r="C962" s="12">
        <v>760700</v>
      </c>
      <c r="D962" s="12">
        <v>0.16</v>
      </c>
      <c r="E962" s="12">
        <v>0.41</v>
      </c>
      <c r="F962" s="12">
        <v>0.08</v>
      </c>
      <c r="G962" s="12">
        <v>0.2</v>
      </c>
      <c r="H962" s="12">
        <v>0.52</v>
      </c>
      <c r="I962" s="12">
        <v>0.11</v>
      </c>
      <c r="J962" s="12">
        <v>0.26</v>
      </c>
      <c r="K962" s="12">
        <v>0.68</v>
      </c>
      <c r="L962" s="12">
        <v>0.15</v>
      </c>
      <c r="M962" s="8">
        <v>6</v>
      </c>
      <c r="N962">
        <v>7</v>
      </c>
      <c r="O962" s="12">
        <v>9</v>
      </c>
      <c r="BF962" s="9">
        <v>9.61</v>
      </c>
      <c r="BG962" s="9">
        <f t="shared" si="29"/>
        <v>1.5917342431845082E-2</v>
      </c>
      <c r="BH962" s="9">
        <f t="shared" ref="BH962:BH1001" si="30">IFERROR(IF($BF962&lt;AZ$33,AZ$32*(AZ$30/AZ$29+(1-AZ$30/AZ$29)*$BF962/AZ$33),IF($BF962&lt;AZ$34,AZ$32,IF($BF962&lt;AZ$35,AZ$31/$BF962,AZ$31*AZ$35/($BF962^2))))*$BC$29,"")</f>
        <v>2.8370744759922704E-2</v>
      </c>
      <c r="BQ962" s="8">
        <v>5</v>
      </c>
      <c r="BR962" s="8" t="s">
        <v>1984</v>
      </c>
    </row>
    <row r="963" spans="1:70" x14ac:dyDescent="0.3">
      <c r="A963" s="11" t="s">
        <v>1985</v>
      </c>
      <c r="B963" s="12">
        <v>260100</v>
      </c>
      <c r="C963" s="12">
        <v>743300</v>
      </c>
      <c r="D963" s="12">
        <v>0.28999999999999998</v>
      </c>
      <c r="E963" s="12">
        <v>0.7</v>
      </c>
      <c r="F963" s="12">
        <v>0.13</v>
      </c>
      <c r="G963" s="12">
        <v>0.37</v>
      </c>
      <c r="H963" s="12">
        <v>0.93</v>
      </c>
      <c r="I963" s="12">
        <v>0.18</v>
      </c>
      <c r="J963" s="12">
        <v>0.5</v>
      </c>
      <c r="K963" s="12">
        <v>1.27</v>
      </c>
      <c r="L963" s="12">
        <v>0.27</v>
      </c>
      <c r="M963" s="8">
        <v>5</v>
      </c>
      <c r="N963">
        <v>5</v>
      </c>
      <c r="O963" s="12">
        <v>6</v>
      </c>
      <c r="BF963" s="9">
        <v>9.6199999999999992</v>
      </c>
      <c r="BG963" s="9">
        <f t="shared" ref="BG963:BG1001" si="31">IF(BF963&lt;AY$33,AY$32*(AY$30/AY$29+(1-AY$30/AY$29)*BF963/AY$33),IF(BF963&lt;AY$34,AY$32,IF(BF963&lt;AY$35,AY$31/BF963,AY$31*AY$35/(BF963^2))))*$BC$29</f>
        <v>1.5884267443519007E-2</v>
      </c>
      <c r="BH963" s="9">
        <f t="shared" si="30"/>
        <v>2.8341253341253349E-2</v>
      </c>
      <c r="BQ963" s="8">
        <v>6</v>
      </c>
      <c r="BR963" s="8" t="s">
        <v>1986</v>
      </c>
    </row>
    <row r="964" spans="1:70" x14ac:dyDescent="0.3">
      <c r="A964" s="11" t="s">
        <v>1987</v>
      </c>
      <c r="B964" s="12">
        <v>236400</v>
      </c>
      <c r="C964" s="12">
        <v>595500</v>
      </c>
      <c r="D964" s="12">
        <v>0.19</v>
      </c>
      <c r="E964" s="12">
        <v>0.46</v>
      </c>
      <c r="F964" s="12">
        <v>0.09</v>
      </c>
      <c r="G964" s="12">
        <v>0.25</v>
      </c>
      <c r="H964" s="12">
        <v>0.63</v>
      </c>
      <c r="I964" s="12">
        <v>0.12</v>
      </c>
      <c r="J964" s="12">
        <v>0.35</v>
      </c>
      <c r="K964" s="12">
        <v>0.9</v>
      </c>
      <c r="L964" s="12">
        <v>0.18</v>
      </c>
      <c r="M964" s="8">
        <v>5</v>
      </c>
      <c r="N964">
        <v>6</v>
      </c>
      <c r="O964" s="12">
        <v>7</v>
      </c>
      <c r="BF964" s="9">
        <v>9.6300000000000008</v>
      </c>
      <c r="BG964" s="9">
        <f t="shared" si="31"/>
        <v>1.5851295439032357E-2</v>
      </c>
      <c r="BH964" s="9">
        <f t="shared" si="30"/>
        <v>2.8311823171636257E-2</v>
      </c>
      <c r="BQ964" s="8">
        <v>9</v>
      </c>
      <c r="BR964" s="8" t="s">
        <v>1988</v>
      </c>
    </row>
    <row r="965" spans="1:70" x14ac:dyDescent="0.3">
      <c r="A965" s="11" t="s">
        <v>1989</v>
      </c>
      <c r="B965" s="12">
        <v>239200</v>
      </c>
      <c r="C965" s="12">
        <v>729100</v>
      </c>
      <c r="D965" s="12">
        <v>0.18</v>
      </c>
      <c r="E965" s="12">
        <v>0.45</v>
      </c>
      <c r="F965" s="12">
        <v>0.09</v>
      </c>
      <c r="G965" s="12">
        <v>0.22</v>
      </c>
      <c r="H965" s="12">
        <v>0.56999999999999995</v>
      </c>
      <c r="I965" s="12">
        <v>0.11</v>
      </c>
      <c r="J965" s="12">
        <v>0.28999999999999998</v>
      </c>
      <c r="K965" s="12">
        <v>0.76</v>
      </c>
      <c r="L965" s="12">
        <v>0.16</v>
      </c>
      <c r="M965" s="8">
        <v>6</v>
      </c>
      <c r="N965">
        <v>7</v>
      </c>
      <c r="O965" s="12">
        <v>8</v>
      </c>
      <c r="BF965" s="9">
        <v>9.64</v>
      </c>
      <c r="BG965" s="9">
        <f t="shared" si="31"/>
        <v>1.5818425991288028E-2</v>
      </c>
      <c r="BH965" s="9">
        <f t="shared" si="30"/>
        <v>2.8282454060462363E-2</v>
      </c>
      <c r="BQ965" s="8">
        <v>7</v>
      </c>
      <c r="BR965" s="8" t="s">
        <v>1990</v>
      </c>
    </row>
    <row r="966" spans="1:70" x14ac:dyDescent="0.3">
      <c r="A966" s="11" t="s">
        <v>1991</v>
      </c>
      <c r="B966" s="12">
        <v>147100</v>
      </c>
      <c r="C966" s="12">
        <v>576900</v>
      </c>
      <c r="D966" s="12">
        <v>0.04</v>
      </c>
      <c r="E966" s="12">
        <v>0.09</v>
      </c>
      <c r="F966" s="12">
        <v>0.03</v>
      </c>
      <c r="G966" s="12">
        <v>0.05</v>
      </c>
      <c r="H966" s="12">
        <v>0.12</v>
      </c>
      <c r="I966" s="12">
        <v>0.04</v>
      </c>
      <c r="J966" s="12">
        <v>0.06</v>
      </c>
      <c r="K966" s="12">
        <v>0.15</v>
      </c>
      <c r="L966" s="12">
        <v>0.06</v>
      </c>
      <c r="M966" s="8">
        <v>9</v>
      </c>
      <c r="N966">
        <v>11</v>
      </c>
      <c r="O966" s="12">
        <v>13</v>
      </c>
      <c r="BF966" s="9">
        <v>9.65</v>
      </c>
      <c r="BG966" s="9">
        <f t="shared" si="31"/>
        <v>1.5785658675400681E-2</v>
      </c>
      <c r="BH966" s="9">
        <f t="shared" si="30"/>
        <v>2.8253145817912662E-2</v>
      </c>
      <c r="BQ966" s="8">
        <v>7</v>
      </c>
      <c r="BR966" s="8" t="s">
        <v>1992</v>
      </c>
    </row>
    <row r="967" spans="1:70" x14ac:dyDescent="0.3">
      <c r="A967" s="11" t="s">
        <v>1993</v>
      </c>
      <c r="B967" s="12">
        <v>198700</v>
      </c>
      <c r="C967" s="12">
        <v>734000</v>
      </c>
      <c r="D967" s="12">
        <v>0.11</v>
      </c>
      <c r="E967" s="12">
        <v>0.28000000000000003</v>
      </c>
      <c r="F967" s="12">
        <v>0.06</v>
      </c>
      <c r="G967" s="12">
        <v>0.16</v>
      </c>
      <c r="H967" s="12">
        <v>0.39</v>
      </c>
      <c r="I967" s="12">
        <v>0.08</v>
      </c>
      <c r="J967" s="12">
        <v>0.22</v>
      </c>
      <c r="K967" s="12">
        <v>0.56000000000000005</v>
      </c>
      <c r="L967" s="12">
        <v>0.11</v>
      </c>
      <c r="M967" s="8">
        <v>7</v>
      </c>
      <c r="N967">
        <v>8</v>
      </c>
      <c r="O967" s="12">
        <v>9</v>
      </c>
      <c r="BF967" s="9">
        <v>9.66</v>
      </c>
      <c r="BG967" s="9">
        <f t="shared" si="31"/>
        <v>1.5752993068683049E-2</v>
      </c>
      <c r="BH967" s="9">
        <f t="shared" si="30"/>
        <v>2.8223898254954159E-2</v>
      </c>
      <c r="BQ967" s="8">
        <v>6</v>
      </c>
      <c r="BR967" s="8" t="s">
        <v>1994</v>
      </c>
    </row>
    <row r="968" spans="1:70" x14ac:dyDescent="0.3">
      <c r="A968" s="11" t="s">
        <v>1995</v>
      </c>
      <c r="B968" s="12">
        <v>194600</v>
      </c>
      <c r="C968" s="12">
        <v>699100</v>
      </c>
      <c r="D968" s="12">
        <v>7.0000000000000007E-2</v>
      </c>
      <c r="E968" s="12">
        <v>0.18</v>
      </c>
      <c r="F968" s="12">
        <v>0.05</v>
      </c>
      <c r="G968" s="12">
        <v>0.09</v>
      </c>
      <c r="H968" s="12">
        <v>0.23</v>
      </c>
      <c r="I968" s="12">
        <v>0.06</v>
      </c>
      <c r="J968" s="12">
        <v>0.12</v>
      </c>
      <c r="K968" s="12">
        <v>0.3</v>
      </c>
      <c r="L968" s="12">
        <v>0.08</v>
      </c>
      <c r="M968" s="8">
        <v>7</v>
      </c>
      <c r="N968">
        <v>9</v>
      </c>
      <c r="O968" s="12">
        <v>11</v>
      </c>
      <c r="BF968" s="9">
        <v>9.67</v>
      </c>
      <c r="BG968" s="9">
        <f t="shared" si="31"/>
        <v>1.5720428750632294E-2</v>
      </c>
      <c r="BH968" s="9">
        <f t="shared" si="30"/>
        <v>2.8194711183335799E-2</v>
      </c>
      <c r="BQ968" s="8">
        <v>5</v>
      </c>
      <c r="BR968" s="8" t="s">
        <v>1996</v>
      </c>
    </row>
    <row r="969" spans="1:70" x14ac:dyDescent="0.3">
      <c r="A969" s="11" t="s">
        <v>1997</v>
      </c>
      <c r="B969" s="12">
        <v>209200</v>
      </c>
      <c r="C969" s="12">
        <v>756500</v>
      </c>
      <c r="D969" s="12">
        <v>0.13</v>
      </c>
      <c r="E969" s="12">
        <v>0.32</v>
      </c>
      <c r="F969" s="12">
        <v>7.0000000000000007E-2</v>
      </c>
      <c r="G969" s="12">
        <v>0.18</v>
      </c>
      <c r="H969" s="12">
        <v>0.44</v>
      </c>
      <c r="I969" s="12">
        <v>0.09</v>
      </c>
      <c r="J969" s="12">
        <v>0.25</v>
      </c>
      <c r="K969" s="12">
        <v>0.63</v>
      </c>
      <c r="L969" s="12">
        <v>0.12</v>
      </c>
      <c r="M969" s="8">
        <v>6</v>
      </c>
      <c r="N969">
        <v>7</v>
      </c>
      <c r="O969" s="12">
        <v>9</v>
      </c>
      <c r="BF969" s="9">
        <v>9.68</v>
      </c>
      <c r="BG969" s="9">
        <f t="shared" si="31"/>
        <v>1.5687965302916468E-2</v>
      </c>
      <c r="BH969" s="9">
        <f t="shared" si="30"/>
        <v>2.8165584415584421E-2</v>
      </c>
      <c r="BQ969" s="8">
        <v>6</v>
      </c>
      <c r="BR969" s="8" t="s">
        <v>1998</v>
      </c>
    </row>
    <row r="970" spans="1:70" x14ac:dyDescent="0.3">
      <c r="A970" s="11" t="s">
        <v>1999</v>
      </c>
      <c r="B970" s="12">
        <v>247500</v>
      </c>
      <c r="C970" s="12">
        <v>708500</v>
      </c>
      <c r="D970" s="12">
        <v>0.24</v>
      </c>
      <c r="E970" s="12">
        <v>0.59</v>
      </c>
      <c r="F970" s="12">
        <v>0.11</v>
      </c>
      <c r="G970" s="12">
        <v>0.31</v>
      </c>
      <c r="H970" s="12">
        <v>0.78</v>
      </c>
      <c r="I970" s="12">
        <v>0.15</v>
      </c>
      <c r="J970" s="12">
        <v>0.41</v>
      </c>
      <c r="K970" s="12">
        <v>1.06</v>
      </c>
      <c r="L970" s="12">
        <v>0.22</v>
      </c>
      <c r="M970" s="8">
        <v>5</v>
      </c>
      <c r="N970">
        <v>6</v>
      </c>
      <c r="O970" s="12">
        <v>6</v>
      </c>
      <c r="BF970" s="9">
        <v>9.69</v>
      </c>
      <c r="BG970" s="9">
        <f t="shared" si="31"/>
        <v>1.5655602309361093E-2</v>
      </c>
      <c r="BH970" s="9">
        <f t="shared" si="30"/>
        <v>2.8136517765000743E-2</v>
      </c>
      <c r="BQ970" s="8">
        <v>6</v>
      </c>
      <c r="BR970" s="8" t="s">
        <v>2000</v>
      </c>
    </row>
    <row r="971" spans="1:70" x14ac:dyDescent="0.3">
      <c r="A971" s="11" t="s">
        <v>2001</v>
      </c>
      <c r="B971" s="12">
        <v>208200</v>
      </c>
      <c r="C971" s="12">
        <v>726100</v>
      </c>
      <c r="D971" s="12">
        <v>0.12</v>
      </c>
      <c r="E971" s="12">
        <v>0.3</v>
      </c>
      <c r="F971" s="12">
        <v>7.0000000000000007E-2</v>
      </c>
      <c r="G971" s="12">
        <v>0.17</v>
      </c>
      <c r="H971" s="12">
        <v>0.42</v>
      </c>
      <c r="I971" s="12">
        <v>0.09</v>
      </c>
      <c r="J971" s="12">
        <v>0.25</v>
      </c>
      <c r="K971" s="12">
        <v>0.62</v>
      </c>
      <c r="L971" s="12">
        <v>0.12</v>
      </c>
      <c r="M971" s="8">
        <v>6</v>
      </c>
      <c r="N971">
        <v>7</v>
      </c>
      <c r="O971" s="12">
        <v>9</v>
      </c>
      <c r="BF971" s="9">
        <v>9.6999999999999993</v>
      </c>
      <c r="BG971" s="9">
        <f t="shared" si="31"/>
        <v>1.5623339355935807E-2</v>
      </c>
      <c r="BH971" s="9">
        <f t="shared" si="30"/>
        <v>2.810751104565538E-2</v>
      </c>
      <c r="BQ971" s="8">
        <v>9</v>
      </c>
      <c r="BR971" s="8" t="s">
        <v>2002</v>
      </c>
    </row>
    <row r="972" spans="1:70" x14ac:dyDescent="0.3">
      <c r="A972" s="11" t="s">
        <v>2003</v>
      </c>
      <c r="B972" s="12">
        <v>209600</v>
      </c>
      <c r="C972" s="12">
        <v>722400</v>
      </c>
      <c r="D972" s="12">
        <v>0.12</v>
      </c>
      <c r="E972" s="12">
        <v>0.3</v>
      </c>
      <c r="F972" s="12">
        <v>0.06</v>
      </c>
      <c r="G972" s="12">
        <v>0.17</v>
      </c>
      <c r="H972" s="12">
        <v>0.41</v>
      </c>
      <c r="I972" s="12">
        <v>0.09</v>
      </c>
      <c r="J972" s="12">
        <v>0.24</v>
      </c>
      <c r="K972" s="12">
        <v>0.6</v>
      </c>
      <c r="L972" s="12">
        <v>0.12</v>
      </c>
      <c r="M972" s="8">
        <v>6</v>
      </c>
      <c r="N972">
        <v>7</v>
      </c>
      <c r="O972" s="12">
        <v>9</v>
      </c>
      <c r="BF972" s="9">
        <v>9.7100000000000009</v>
      </c>
      <c r="BG972" s="9">
        <f t="shared" si="31"/>
        <v>1.5591176030741128E-2</v>
      </c>
      <c r="BH972" s="9">
        <f t="shared" si="30"/>
        <v>2.8078564072384876E-2</v>
      </c>
      <c r="BQ972" s="8">
        <v>8</v>
      </c>
      <c r="BR972" s="8" t="s">
        <v>2004</v>
      </c>
    </row>
    <row r="973" spans="1:70" x14ac:dyDescent="0.3">
      <c r="A973" s="11" t="s">
        <v>2005</v>
      </c>
      <c r="B973" s="12">
        <v>142900</v>
      </c>
      <c r="C973" s="12">
        <v>584500</v>
      </c>
      <c r="D973" s="12">
        <v>0.04</v>
      </c>
      <c r="E973" s="12">
        <v>0.09</v>
      </c>
      <c r="F973" s="12">
        <v>0.03</v>
      </c>
      <c r="G973" s="12">
        <v>0.05</v>
      </c>
      <c r="H973" s="12">
        <v>0.11</v>
      </c>
      <c r="I973" s="12">
        <v>0.04</v>
      </c>
      <c r="J973" s="12">
        <v>0.06</v>
      </c>
      <c r="K973" s="12">
        <v>0.15</v>
      </c>
      <c r="L973" s="12">
        <v>0.06</v>
      </c>
      <c r="M973" s="8">
        <v>9</v>
      </c>
      <c r="N973">
        <v>11</v>
      </c>
      <c r="O973" s="12">
        <v>13</v>
      </c>
      <c r="BF973" s="9">
        <v>9.7200000000000006</v>
      </c>
      <c r="BG973" s="9">
        <f t="shared" si="31"/>
        <v>1.5559111923995325E-2</v>
      </c>
      <c r="BH973" s="9">
        <f t="shared" si="30"/>
        <v>2.8049676660787774E-2</v>
      </c>
      <c r="BQ973" s="8">
        <v>6</v>
      </c>
      <c r="BR973" s="8" t="s">
        <v>2006</v>
      </c>
    </row>
    <row r="974" spans="1:70" x14ac:dyDescent="0.3">
      <c r="A974" s="11" t="s">
        <v>2007</v>
      </c>
      <c r="B974" s="12">
        <v>193700</v>
      </c>
      <c r="C974" s="12">
        <v>685500</v>
      </c>
      <c r="D974" s="12">
        <v>7.0000000000000007E-2</v>
      </c>
      <c r="E974" s="12">
        <v>0.17</v>
      </c>
      <c r="F974" s="12">
        <v>0.05</v>
      </c>
      <c r="G974" s="12">
        <v>0.08</v>
      </c>
      <c r="H974" s="12">
        <v>0.21</v>
      </c>
      <c r="I974" s="12">
        <v>0.06</v>
      </c>
      <c r="J974" s="12">
        <v>0.11</v>
      </c>
      <c r="K974" s="12">
        <v>0.27</v>
      </c>
      <c r="L974" s="12">
        <v>0.08</v>
      </c>
      <c r="M974" s="8">
        <v>8</v>
      </c>
      <c r="N974">
        <v>9</v>
      </c>
      <c r="O974" s="12">
        <v>12</v>
      </c>
      <c r="BF974" s="9">
        <v>9.73</v>
      </c>
      <c r="BG974" s="9">
        <f t="shared" si="31"/>
        <v>1.5527146628021321E-2</v>
      </c>
      <c r="BH974" s="9">
        <f t="shared" si="30"/>
        <v>2.8020848627220676E-2</v>
      </c>
      <c r="BQ974" s="8">
        <v>7</v>
      </c>
      <c r="BR974" s="8" t="s">
        <v>2008</v>
      </c>
    </row>
    <row r="975" spans="1:70" x14ac:dyDescent="0.3">
      <c r="A975" s="11" t="s">
        <v>2009</v>
      </c>
      <c r="B975" s="12">
        <v>274700</v>
      </c>
      <c r="C975" s="12">
        <v>778100</v>
      </c>
      <c r="D975" s="12">
        <v>0.16</v>
      </c>
      <c r="E975" s="12">
        <v>0.42</v>
      </c>
      <c r="F975" s="12">
        <v>0.09</v>
      </c>
      <c r="G975" s="12">
        <v>0.2</v>
      </c>
      <c r="H975" s="12">
        <v>0.54</v>
      </c>
      <c r="I975" s="12">
        <v>0.11</v>
      </c>
      <c r="J975" s="12">
        <v>0.27</v>
      </c>
      <c r="K975" s="12">
        <v>0.71</v>
      </c>
      <c r="L975" s="12">
        <v>0.16</v>
      </c>
      <c r="M975" s="8">
        <v>6</v>
      </c>
      <c r="N975">
        <v>7</v>
      </c>
      <c r="O975" s="12">
        <v>9</v>
      </c>
      <c r="BF975" s="9">
        <v>9.74</v>
      </c>
      <c r="BG975" s="9">
        <f t="shared" si="31"/>
        <v>1.5495279737233785E-2</v>
      </c>
      <c r="BH975" s="9">
        <f t="shared" si="30"/>
        <v>2.7992079788794373E-2</v>
      </c>
      <c r="BQ975" s="8">
        <v>5</v>
      </c>
      <c r="BR975" s="8" t="s">
        <v>2010</v>
      </c>
    </row>
    <row r="976" spans="1:70" x14ac:dyDescent="0.3">
      <c r="A976" s="11" t="s">
        <v>2011</v>
      </c>
      <c r="B976" s="12">
        <v>200300</v>
      </c>
      <c r="C976" s="12">
        <v>733100</v>
      </c>
      <c r="D976" s="12">
        <v>0.11</v>
      </c>
      <c r="E976" s="12">
        <v>0.28000000000000003</v>
      </c>
      <c r="F976" s="12">
        <v>0.06</v>
      </c>
      <c r="G976" s="12">
        <v>0.16</v>
      </c>
      <c r="H976" s="12">
        <v>0.39</v>
      </c>
      <c r="I976" s="12">
        <v>0.08</v>
      </c>
      <c r="J976" s="12">
        <v>0.23</v>
      </c>
      <c r="K976" s="12">
        <v>0.56999999999999995</v>
      </c>
      <c r="L976" s="12">
        <v>0.12</v>
      </c>
      <c r="M976" s="8">
        <v>7</v>
      </c>
      <c r="N976">
        <v>8</v>
      </c>
      <c r="O976" s="12">
        <v>9</v>
      </c>
      <c r="BF976" s="9">
        <v>9.75</v>
      </c>
      <c r="BG976" s="9">
        <f t="shared" si="31"/>
        <v>1.5463510848126232E-2</v>
      </c>
      <c r="BH976" s="9">
        <f t="shared" si="30"/>
        <v>2.7963369963369969E-2</v>
      </c>
      <c r="BQ976" s="8">
        <v>5</v>
      </c>
      <c r="BR976" s="8" t="s">
        <v>2012</v>
      </c>
    </row>
    <row r="977" spans="1:70" x14ac:dyDescent="0.3">
      <c r="A977" s="11" t="s">
        <v>2013</v>
      </c>
      <c r="B977" s="12">
        <v>223500</v>
      </c>
      <c r="C977" s="12">
        <v>523100</v>
      </c>
      <c r="D977" s="12">
        <v>0.16</v>
      </c>
      <c r="E977" s="12">
        <v>0.4</v>
      </c>
      <c r="F977" s="12">
        <v>0.08</v>
      </c>
      <c r="G977" s="12">
        <v>0.23</v>
      </c>
      <c r="H977" s="12">
        <v>0.56000000000000005</v>
      </c>
      <c r="I977" s="12">
        <v>0.11</v>
      </c>
      <c r="J977" s="12">
        <v>0.32</v>
      </c>
      <c r="K977" s="12">
        <v>0.81</v>
      </c>
      <c r="L977" s="12">
        <v>0.16</v>
      </c>
      <c r="M977" s="8">
        <v>5</v>
      </c>
      <c r="N977">
        <v>6</v>
      </c>
      <c r="O977" s="12">
        <v>7</v>
      </c>
      <c r="BF977" s="9">
        <v>9.76</v>
      </c>
      <c r="BG977" s="9">
        <f t="shared" si="31"/>
        <v>1.5431839559258264E-2</v>
      </c>
      <c r="BH977" s="9">
        <f t="shared" si="30"/>
        <v>2.7934718969555041E-2</v>
      </c>
      <c r="BQ977" s="8">
        <v>5</v>
      </c>
      <c r="BR977" s="8" t="s">
        <v>2014</v>
      </c>
    </row>
    <row r="978" spans="1:70" x14ac:dyDescent="0.3">
      <c r="A978" s="11" t="s">
        <v>2015</v>
      </c>
      <c r="B978" s="12">
        <v>236800</v>
      </c>
      <c r="C978" s="12">
        <v>719000</v>
      </c>
      <c r="D978" s="12">
        <v>0.18</v>
      </c>
      <c r="E978" s="12">
        <v>0.45</v>
      </c>
      <c r="F978" s="12">
        <v>0.09</v>
      </c>
      <c r="G978" s="12">
        <v>0.23</v>
      </c>
      <c r="H978" s="12">
        <v>0.57999999999999996</v>
      </c>
      <c r="I978" s="12">
        <v>0.12</v>
      </c>
      <c r="J978" s="12">
        <v>0.3</v>
      </c>
      <c r="K978" s="12">
        <v>0.79</v>
      </c>
      <c r="L978" s="12">
        <v>0.16</v>
      </c>
      <c r="M978" s="8">
        <v>5</v>
      </c>
      <c r="N978">
        <v>6</v>
      </c>
      <c r="O978" s="12">
        <v>8</v>
      </c>
      <c r="BF978" s="9">
        <v>9.77</v>
      </c>
      <c r="BG978" s="9">
        <f t="shared" si="31"/>
        <v>1.5400265471242887E-2</v>
      </c>
      <c r="BH978" s="9">
        <f t="shared" si="30"/>
        <v>2.7906126626699817E-2</v>
      </c>
      <c r="BQ978" s="8">
        <v>5</v>
      </c>
      <c r="BR978" s="8" t="s">
        <v>2016</v>
      </c>
    </row>
    <row r="979" spans="1:70" x14ac:dyDescent="0.3">
      <c r="A979" s="11" t="s">
        <v>2017</v>
      </c>
      <c r="B979" s="12">
        <v>237100</v>
      </c>
      <c r="C979" s="12">
        <v>718300</v>
      </c>
      <c r="D979" s="12">
        <v>0.18</v>
      </c>
      <c r="E979" s="12">
        <v>0.45</v>
      </c>
      <c r="F979" s="12">
        <v>0.09</v>
      </c>
      <c r="G979" s="12">
        <v>0.23</v>
      </c>
      <c r="H979" s="12">
        <v>0.59</v>
      </c>
      <c r="I979" s="12">
        <v>0.12</v>
      </c>
      <c r="J979" s="12">
        <v>0.31</v>
      </c>
      <c r="K979" s="12">
        <v>0.8</v>
      </c>
      <c r="L979" s="12">
        <v>0.16</v>
      </c>
      <c r="M979" s="8">
        <v>5</v>
      </c>
      <c r="N979">
        <v>6</v>
      </c>
      <c r="O979" s="12">
        <v>8</v>
      </c>
      <c r="BF979" s="9">
        <v>9.7799999999999994</v>
      </c>
      <c r="BG979" s="9">
        <f t="shared" si="31"/>
        <v>1.5368788186733916E-2</v>
      </c>
      <c r="BH979" s="9">
        <f t="shared" si="30"/>
        <v>2.7877592754893373E-2</v>
      </c>
      <c r="BQ979" s="8">
        <v>7</v>
      </c>
      <c r="BR979" s="8" t="s">
        <v>2018</v>
      </c>
    </row>
    <row r="980" spans="1:70" x14ac:dyDescent="0.3">
      <c r="A980" s="11" t="s">
        <v>2019</v>
      </c>
      <c r="B980" s="12">
        <v>222700</v>
      </c>
      <c r="C980" s="12">
        <v>507500</v>
      </c>
      <c r="D980" s="12">
        <v>0.17</v>
      </c>
      <c r="E980" s="12">
        <v>0.43</v>
      </c>
      <c r="F980" s="12">
        <v>0.08</v>
      </c>
      <c r="G980" s="12">
        <v>0.24</v>
      </c>
      <c r="H980" s="12">
        <v>0.59</v>
      </c>
      <c r="I980" s="12">
        <v>0.11</v>
      </c>
      <c r="J980" s="12">
        <v>0.34</v>
      </c>
      <c r="K980" s="12">
        <v>0.85</v>
      </c>
      <c r="L980" s="12">
        <v>0.17</v>
      </c>
      <c r="M980" s="8">
        <v>5</v>
      </c>
      <c r="N980">
        <v>6</v>
      </c>
      <c r="O980" s="12">
        <v>6</v>
      </c>
      <c r="BF980" s="9">
        <v>9.7899999999999991</v>
      </c>
      <c r="BG980" s="9">
        <f t="shared" si="31"/>
        <v>1.5337407310413475E-2</v>
      </c>
      <c r="BH980" s="9">
        <f t="shared" si="30"/>
        <v>2.784911717495988E-2</v>
      </c>
      <c r="BQ980" s="8">
        <v>7</v>
      </c>
      <c r="BR980" s="8" t="s">
        <v>2020</v>
      </c>
    </row>
    <row r="981" spans="1:70" x14ac:dyDescent="0.3">
      <c r="A981" s="11" t="s">
        <v>2021</v>
      </c>
      <c r="B981" s="12">
        <v>221700</v>
      </c>
      <c r="C981" s="12">
        <v>768200</v>
      </c>
      <c r="D981" s="12">
        <v>0.13</v>
      </c>
      <c r="E981" s="12">
        <v>0.31</v>
      </c>
      <c r="F981" s="12">
        <v>7.0000000000000007E-2</v>
      </c>
      <c r="G981" s="12">
        <v>0.16</v>
      </c>
      <c r="H981" s="12">
        <v>0.4</v>
      </c>
      <c r="I981" s="12">
        <v>0.08</v>
      </c>
      <c r="J981" s="12">
        <v>0.21</v>
      </c>
      <c r="K981" s="12">
        <v>0.53</v>
      </c>
      <c r="L981" s="12">
        <v>0.11</v>
      </c>
      <c r="M981" s="8">
        <v>7</v>
      </c>
      <c r="N981">
        <v>8</v>
      </c>
      <c r="O981" s="12">
        <v>10</v>
      </c>
      <c r="BF981" s="9">
        <v>9.8000000000000007</v>
      </c>
      <c r="BG981" s="9">
        <f t="shared" si="31"/>
        <v>1.5306122448979588E-2</v>
      </c>
      <c r="BH981" s="9">
        <f t="shared" si="30"/>
        <v>2.7820699708454813E-2</v>
      </c>
      <c r="BQ981" s="8">
        <v>7</v>
      </c>
      <c r="BR981" s="8" t="s">
        <v>2022</v>
      </c>
    </row>
    <row r="982" spans="1:70" x14ac:dyDescent="0.3">
      <c r="A982" s="11" t="s">
        <v>2023</v>
      </c>
      <c r="B982" s="12">
        <v>214600</v>
      </c>
      <c r="C982" s="12">
        <v>631700</v>
      </c>
      <c r="D982" s="12">
        <v>0.09</v>
      </c>
      <c r="E982" s="12">
        <v>0.22</v>
      </c>
      <c r="F982" s="12">
        <v>0.05</v>
      </c>
      <c r="G982" s="12">
        <v>0.11</v>
      </c>
      <c r="H982" s="12">
        <v>0.27</v>
      </c>
      <c r="I982" s="12">
        <v>7.0000000000000007E-2</v>
      </c>
      <c r="J982" s="12">
        <v>0.14000000000000001</v>
      </c>
      <c r="K982" s="12">
        <v>0.36</v>
      </c>
      <c r="L982" s="12">
        <v>0.1</v>
      </c>
      <c r="M982" s="8">
        <v>7</v>
      </c>
      <c r="N982">
        <v>8</v>
      </c>
      <c r="O982" s="12">
        <v>10</v>
      </c>
      <c r="BF982" s="9">
        <v>9.81</v>
      </c>
      <c r="BG982" s="9">
        <f t="shared" si="31"/>
        <v>1.5274933211133867E-2</v>
      </c>
      <c r="BH982" s="9">
        <f t="shared" si="30"/>
        <v>2.779234017766128E-2</v>
      </c>
      <c r="BQ982" s="8">
        <v>6</v>
      </c>
      <c r="BR982" s="8" t="s">
        <v>2024</v>
      </c>
    </row>
    <row r="983" spans="1:70" x14ac:dyDescent="0.3">
      <c r="A983" s="11" t="s">
        <v>2025</v>
      </c>
      <c r="B983" s="12">
        <v>195900</v>
      </c>
      <c r="C983" s="12">
        <v>731200</v>
      </c>
      <c r="D983" s="12">
        <v>0.1</v>
      </c>
      <c r="E983" s="12">
        <v>0.25</v>
      </c>
      <c r="F983" s="12">
        <v>0.06</v>
      </c>
      <c r="G983" s="12">
        <v>0.14000000000000001</v>
      </c>
      <c r="H983" s="12">
        <v>0.34</v>
      </c>
      <c r="I983" s="12">
        <v>0.08</v>
      </c>
      <c r="J983" s="12">
        <v>0.19</v>
      </c>
      <c r="K983" s="12">
        <v>0.49</v>
      </c>
      <c r="L983" s="12">
        <v>0.1</v>
      </c>
      <c r="M983" s="8">
        <v>7</v>
      </c>
      <c r="N983">
        <v>8</v>
      </c>
      <c r="O983" s="12">
        <v>10</v>
      </c>
      <c r="BF983" s="9">
        <v>9.82</v>
      </c>
      <c r="BG983" s="9">
        <f t="shared" si="31"/>
        <v>1.524383920756924E-2</v>
      </c>
      <c r="BH983" s="9">
        <f t="shared" si="30"/>
        <v>2.7764038405586271E-2</v>
      </c>
      <c r="BQ983" s="8">
        <v>7</v>
      </c>
      <c r="BR983" s="8" t="s">
        <v>2026</v>
      </c>
    </row>
    <row r="984" spans="1:70" x14ac:dyDescent="0.3">
      <c r="A984" s="11" t="s">
        <v>2027</v>
      </c>
      <c r="B984" s="12">
        <v>233300</v>
      </c>
      <c r="C984" s="12">
        <v>736500</v>
      </c>
      <c r="D984" s="12">
        <v>0.16</v>
      </c>
      <c r="E984" s="12">
        <v>0.39</v>
      </c>
      <c r="F984" s="12">
        <v>0.08</v>
      </c>
      <c r="G984" s="12">
        <v>0.2</v>
      </c>
      <c r="H984" s="12">
        <v>0.5</v>
      </c>
      <c r="I984" s="12">
        <v>0.1</v>
      </c>
      <c r="J984" s="12">
        <v>0.26</v>
      </c>
      <c r="K984" s="12">
        <v>0.67</v>
      </c>
      <c r="L984" s="12">
        <v>0.14000000000000001</v>
      </c>
      <c r="M984" s="8">
        <v>6</v>
      </c>
      <c r="N984">
        <v>7</v>
      </c>
      <c r="O984" s="12">
        <v>9</v>
      </c>
      <c r="BF984" s="9">
        <v>9.83</v>
      </c>
      <c r="BG984" s="9">
        <f t="shared" si="31"/>
        <v>1.5212840050957839E-2</v>
      </c>
      <c r="BH984" s="9">
        <f t="shared" si="30"/>
        <v>2.7735794215956986E-2</v>
      </c>
      <c r="BQ984" s="8">
        <v>7</v>
      </c>
      <c r="BR984" s="8" t="s">
        <v>2028</v>
      </c>
    </row>
    <row r="985" spans="1:70" x14ac:dyDescent="0.3">
      <c r="A985" s="11" t="s">
        <v>2029</v>
      </c>
      <c r="B985" s="12">
        <v>211300</v>
      </c>
      <c r="C985" s="12">
        <v>633400</v>
      </c>
      <c r="D985" s="12">
        <v>0.08</v>
      </c>
      <c r="E985" s="12">
        <v>0.2</v>
      </c>
      <c r="F985" s="12">
        <v>0.05</v>
      </c>
      <c r="G985" s="12">
        <v>0.1</v>
      </c>
      <c r="H985" s="12">
        <v>0.26</v>
      </c>
      <c r="I985" s="12">
        <v>7.0000000000000007E-2</v>
      </c>
      <c r="J985" s="12">
        <v>0.13</v>
      </c>
      <c r="K985" s="12">
        <v>0.34</v>
      </c>
      <c r="L985" s="12">
        <v>0.09</v>
      </c>
      <c r="M985" s="8">
        <v>7</v>
      </c>
      <c r="N985">
        <v>9</v>
      </c>
      <c r="O985" s="12">
        <v>10</v>
      </c>
      <c r="BF985" s="9">
        <v>9.84</v>
      </c>
      <c r="BG985" s="9">
        <f t="shared" si="31"/>
        <v>1.5181935355938926E-2</v>
      </c>
      <c r="BH985" s="9">
        <f t="shared" si="30"/>
        <v>2.7707607433217193E-2</v>
      </c>
      <c r="BQ985" s="8">
        <v>8</v>
      </c>
      <c r="BR985" s="8" t="s">
        <v>2030</v>
      </c>
    </row>
    <row r="986" spans="1:70" x14ac:dyDescent="0.3">
      <c r="A986" s="11" t="s">
        <v>2031</v>
      </c>
      <c r="B986" s="12">
        <v>201000</v>
      </c>
      <c r="C986" s="12">
        <v>709900</v>
      </c>
      <c r="D986" s="12">
        <v>0.09</v>
      </c>
      <c r="E986" s="12">
        <v>0.21</v>
      </c>
      <c r="F986" s="12">
        <v>0.05</v>
      </c>
      <c r="G986" s="12">
        <v>0.11</v>
      </c>
      <c r="H986" s="12">
        <v>0.28000000000000003</v>
      </c>
      <c r="I986" s="12">
        <v>7.0000000000000007E-2</v>
      </c>
      <c r="J986" s="12">
        <v>0.14000000000000001</v>
      </c>
      <c r="K986" s="12">
        <v>0.37</v>
      </c>
      <c r="L986" s="12">
        <v>0.09</v>
      </c>
      <c r="M986" s="8">
        <v>7</v>
      </c>
      <c r="N986">
        <v>9</v>
      </c>
      <c r="O986" s="12">
        <v>11</v>
      </c>
      <c r="BF986" s="9">
        <v>9.85</v>
      </c>
      <c r="BG986" s="9">
        <f t="shared" si="31"/>
        <v>1.515112473910691E-2</v>
      </c>
      <c r="BH986" s="9">
        <f t="shared" si="30"/>
        <v>2.7679477882523573E-2</v>
      </c>
      <c r="BQ986" s="8">
        <v>5</v>
      </c>
      <c r="BR986" s="8" t="s">
        <v>2032</v>
      </c>
    </row>
    <row r="987" spans="1:70" x14ac:dyDescent="0.3">
      <c r="A987" s="11" t="s">
        <v>2033</v>
      </c>
      <c r="B987" s="12">
        <v>173400</v>
      </c>
      <c r="C987" s="12">
        <v>622600</v>
      </c>
      <c r="D987" s="12">
        <v>7.0000000000000007E-2</v>
      </c>
      <c r="E987" s="12">
        <v>0.16</v>
      </c>
      <c r="F987" s="12">
        <v>0.04</v>
      </c>
      <c r="G987" s="12">
        <v>0.09</v>
      </c>
      <c r="H987" s="12">
        <v>0.21</v>
      </c>
      <c r="I987" s="12">
        <v>0.05</v>
      </c>
      <c r="J987" s="12">
        <v>0.12</v>
      </c>
      <c r="K987" s="12">
        <v>0.3</v>
      </c>
      <c r="L987" s="12">
        <v>7.0000000000000007E-2</v>
      </c>
      <c r="M987" s="8">
        <v>8</v>
      </c>
      <c r="N987">
        <v>10</v>
      </c>
      <c r="O987" s="12">
        <v>12</v>
      </c>
      <c r="BF987" s="9">
        <v>9.86</v>
      </c>
      <c r="BG987" s="9">
        <f t="shared" si="31"/>
        <v>1.5120407818999463E-2</v>
      </c>
      <c r="BH987" s="9">
        <f t="shared" si="30"/>
        <v>2.7651405389742111E-2</v>
      </c>
      <c r="BQ987" s="8">
        <v>7</v>
      </c>
      <c r="BR987" s="8" t="s">
        <v>2034</v>
      </c>
    </row>
    <row r="988" spans="1:70" x14ac:dyDescent="0.3">
      <c r="A988" s="11" t="s">
        <v>2035</v>
      </c>
      <c r="B988" s="12">
        <v>268500</v>
      </c>
      <c r="C988" s="12">
        <v>793600</v>
      </c>
      <c r="D988" s="12">
        <v>0.22</v>
      </c>
      <c r="E988" s="12">
        <v>0.56000000000000005</v>
      </c>
      <c r="F988" s="12">
        <v>0.11</v>
      </c>
      <c r="G988" s="12">
        <v>0.28999999999999998</v>
      </c>
      <c r="H988" s="12">
        <v>0.74</v>
      </c>
      <c r="I988" s="12">
        <v>0.15</v>
      </c>
      <c r="J988" s="12">
        <v>0.4</v>
      </c>
      <c r="K988" s="12">
        <v>1.02</v>
      </c>
      <c r="L988" s="12">
        <v>0.22</v>
      </c>
      <c r="M988" s="8">
        <v>5</v>
      </c>
      <c r="N988">
        <v>6</v>
      </c>
      <c r="O988" s="12">
        <v>7</v>
      </c>
      <c r="BF988" s="9">
        <v>9.8699999999999992</v>
      </c>
      <c r="BG988" s="9">
        <f t="shared" si="31"/>
        <v>1.5089784216085712E-2</v>
      </c>
      <c r="BH988" s="9">
        <f t="shared" si="30"/>
        <v>2.7623389781444501E-2</v>
      </c>
      <c r="BQ988" s="8">
        <v>7</v>
      </c>
      <c r="BR988" s="8" t="s">
        <v>2036</v>
      </c>
    </row>
    <row r="989" spans="1:70" x14ac:dyDescent="0.3">
      <c r="A989" s="11" t="s">
        <v>2037</v>
      </c>
      <c r="B989" s="12">
        <v>211100</v>
      </c>
      <c r="C989" s="12">
        <v>633100</v>
      </c>
      <c r="D989" s="12">
        <v>0.08</v>
      </c>
      <c r="E989" s="12">
        <v>0.2</v>
      </c>
      <c r="F989" s="12">
        <v>0.05</v>
      </c>
      <c r="G989" s="12">
        <v>0.1</v>
      </c>
      <c r="H989" s="12">
        <v>0.25</v>
      </c>
      <c r="I989" s="12">
        <v>7.0000000000000007E-2</v>
      </c>
      <c r="J989" s="12">
        <v>0.13</v>
      </c>
      <c r="K989" s="12">
        <v>0.33</v>
      </c>
      <c r="L989" s="12">
        <v>0.09</v>
      </c>
      <c r="M989" s="8">
        <v>7</v>
      </c>
      <c r="N989">
        <v>9</v>
      </c>
      <c r="O989" s="12">
        <v>10</v>
      </c>
      <c r="BF989" s="9">
        <v>9.8800000000000008</v>
      </c>
      <c r="BG989" s="9">
        <f t="shared" si="31"/>
        <v>1.5059253552754509E-2</v>
      </c>
      <c r="BH989" s="9">
        <f t="shared" si="30"/>
        <v>2.759543088490457E-2</v>
      </c>
      <c r="BQ989" s="8">
        <v>8</v>
      </c>
      <c r="BR989" s="8" t="s">
        <v>2038</v>
      </c>
    </row>
    <row r="990" spans="1:70" x14ac:dyDescent="0.3">
      <c r="A990" s="11" t="s">
        <v>2039</v>
      </c>
      <c r="B990" s="12">
        <v>200800</v>
      </c>
      <c r="C990" s="12">
        <v>707700</v>
      </c>
      <c r="D990" s="12">
        <v>0.09</v>
      </c>
      <c r="E990" s="12">
        <v>0.21</v>
      </c>
      <c r="F990" s="12">
        <v>0.05</v>
      </c>
      <c r="G990" s="12">
        <v>0.11</v>
      </c>
      <c r="H990" s="12">
        <v>0.27</v>
      </c>
      <c r="I990" s="12">
        <v>7.0000000000000007E-2</v>
      </c>
      <c r="J990" s="12">
        <v>0.14000000000000001</v>
      </c>
      <c r="K990" s="12">
        <v>0.36</v>
      </c>
      <c r="L990" s="12">
        <v>0.09</v>
      </c>
      <c r="M990" s="8">
        <v>7</v>
      </c>
      <c r="N990">
        <v>9</v>
      </c>
      <c r="O990" s="12">
        <v>11</v>
      </c>
      <c r="BF990" s="9">
        <v>9.89</v>
      </c>
      <c r="BG990" s="9">
        <f t="shared" si="31"/>
        <v>1.5028815453302809E-2</v>
      </c>
      <c r="BH990" s="9">
        <f t="shared" si="30"/>
        <v>2.756752852809476E-2</v>
      </c>
      <c r="BQ990" s="8">
        <v>5</v>
      </c>
      <c r="BR990" s="8" t="s">
        <v>2040</v>
      </c>
    </row>
    <row r="991" spans="1:70" x14ac:dyDescent="0.3">
      <c r="A991" s="11" t="s">
        <v>2041</v>
      </c>
      <c r="B991" s="12">
        <v>194100</v>
      </c>
      <c r="C991" s="12">
        <v>686600</v>
      </c>
      <c r="D991" s="12">
        <v>7.0000000000000007E-2</v>
      </c>
      <c r="E991" s="12">
        <v>0.17</v>
      </c>
      <c r="F991" s="12">
        <v>0.05</v>
      </c>
      <c r="G991" s="12">
        <v>0.09</v>
      </c>
      <c r="H991" s="12">
        <v>0.21</v>
      </c>
      <c r="I991" s="12">
        <v>0.06</v>
      </c>
      <c r="J991" s="12">
        <v>0.11</v>
      </c>
      <c r="K991" s="12">
        <v>0.28000000000000003</v>
      </c>
      <c r="L991" s="12">
        <v>0.08</v>
      </c>
      <c r="M991" s="8">
        <v>8</v>
      </c>
      <c r="N991">
        <v>9</v>
      </c>
      <c r="O991" s="12">
        <v>12</v>
      </c>
      <c r="BF991" s="9">
        <v>9.9</v>
      </c>
      <c r="BG991" s="9">
        <f t="shared" si="31"/>
        <v>1.4998469543924088E-2</v>
      </c>
      <c r="BH991" s="9">
        <f t="shared" si="30"/>
        <v>2.7539682539682545E-2</v>
      </c>
      <c r="BQ991" s="8">
        <v>8</v>
      </c>
      <c r="BR991" s="8" t="s">
        <v>2042</v>
      </c>
    </row>
    <row r="992" spans="1:70" x14ac:dyDescent="0.3">
      <c r="A992" s="11" t="s">
        <v>2043</v>
      </c>
      <c r="B992" s="12">
        <v>234900</v>
      </c>
      <c r="C992" s="12">
        <v>539200</v>
      </c>
      <c r="D992" s="12">
        <v>0.21</v>
      </c>
      <c r="E992" s="12">
        <v>0.51</v>
      </c>
      <c r="F992" s="12">
        <v>0.09</v>
      </c>
      <c r="G992" s="12">
        <v>0.28000000000000003</v>
      </c>
      <c r="H992" s="12">
        <v>0.71</v>
      </c>
      <c r="I992" s="12">
        <v>0.13</v>
      </c>
      <c r="J992" s="12">
        <v>0.39</v>
      </c>
      <c r="K992" s="12">
        <v>1</v>
      </c>
      <c r="L992" s="12">
        <v>0.2</v>
      </c>
      <c r="M992" s="8">
        <v>5</v>
      </c>
      <c r="N992">
        <v>5</v>
      </c>
      <c r="O992" s="12">
        <v>6</v>
      </c>
      <c r="BF992" s="9">
        <v>9.91</v>
      </c>
      <c r="BG992" s="9">
        <f t="shared" si="31"/>
        <v>1.4968215452696875E-2</v>
      </c>
      <c r="BH992" s="9">
        <f t="shared" si="30"/>
        <v>2.7511892749026962E-2</v>
      </c>
      <c r="BQ992" s="8">
        <v>5</v>
      </c>
      <c r="BR992" s="8" t="s">
        <v>2044</v>
      </c>
    </row>
    <row r="993" spans="1:70" x14ac:dyDescent="0.3">
      <c r="A993" s="11" t="s">
        <v>2045</v>
      </c>
      <c r="B993" s="12">
        <v>194400</v>
      </c>
      <c r="C993" s="12">
        <v>665500</v>
      </c>
      <c r="D993" s="12">
        <v>7.0000000000000007E-2</v>
      </c>
      <c r="E993" s="12">
        <v>0.16</v>
      </c>
      <c r="F993" s="12">
        <v>0.05</v>
      </c>
      <c r="G993" s="12">
        <v>0.08</v>
      </c>
      <c r="H993" s="12">
        <v>0.2</v>
      </c>
      <c r="I993" s="12">
        <v>0.06</v>
      </c>
      <c r="J993" s="12">
        <v>0.1</v>
      </c>
      <c r="K993" s="12">
        <v>0.26</v>
      </c>
      <c r="L993" s="12">
        <v>0.08</v>
      </c>
      <c r="M993" s="8">
        <v>8</v>
      </c>
      <c r="N993">
        <v>9</v>
      </c>
      <c r="O993" s="12">
        <v>12</v>
      </c>
      <c r="BF993" s="9">
        <v>9.92</v>
      </c>
      <c r="BG993" s="9">
        <f t="shared" si="31"/>
        <v>1.493805280957336E-2</v>
      </c>
      <c r="BH993" s="9">
        <f t="shared" si="30"/>
        <v>2.7484158986175119E-2</v>
      </c>
      <c r="BQ993" s="8">
        <v>6</v>
      </c>
      <c r="BR993" s="8" t="s">
        <v>2046</v>
      </c>
    </row>
    <row r="994" spans="1:70" x14ac:dyDescent="0.3">
      <c r="A994" s="11" t="s">
        <v>2047</v>
      </c>
      <c r="B994" s="12">
        <v>223300</v>
      </c>
      <c r="C994" s="12">
        <v>524200</v>
      </c>
      <c r="D994" s="12">
        <v>0.16</v>
      </c>
      <c r="E994" s="12">
        <v>0.4</v>
      </c>
      <c r="F994" s="12">
        <v>0.08</v>
      </c>
      <c r="G994" s="12">
        <v>0.22</v>
      </c>
      <c r="H994" s="12">
        <v>0.56000000000000005</v>
      </c>
      <c r="I994" s="12">
        <v>0.11</v>
      </c>
      <c r="J994" s="12">
        <v>0.32</v>
      </c>
      <c r="K994" s="12">
        <v>0.8</v>
      </c>
      <c r="L994" s="12">
        <v>0.16</v>
      </c>
      <c r="M994" s="8">
        <v>5</v>
      </c>
      <c r="N994">
        <v>6</v>
      </c>
      <c r="O994" s="12">
        <v>7</v>
      </c>
      <c r="BF994" s="9">
        <v>9.93</v>
      </c>
      <c r="BG994" s="9">
        <f t="shared" si="31"/>
        <v>1.4907981246368081E-2</v>
      </c>
      <c r="BH994" s="9">
        <f t="shared" si="30"/>
        <v>2.7456481081858729E-2</v>
      </c>
      <c r="BQ994" s="8">
        <v>9</v>
      </c>
      <c r="BR994" s="8" t="s">
        <v>2048</v>
      </c>
    </row>
    <row r="995" spans="1:70" x14ac:dyDescent="0.3">
      <c r="A995" s="11" t="s">
        <v>2049</v>
      </c>
      <c r="B995" s="12">
        <v>207000</v>
      </c>
      <c r="C995" s="12">
        <v>758900</v>
      </c>
      <c r="D995" s="12">
        <v>0.13</v>
      </c>
      <c r="E995" s="12">
        <v>0.32</v>
      </c>
      <c r="F995" s="12">
        <v>7.0000000000000007E-2</v>
      </c>
      <c r="G995" s="12">
        <v>0.18</v>
      </c>
      <c r="H995" s="12">
        <v>0.44</v>
      </c>
      <c r="I995" s="12">
        <v>0.09</v>
      </c>
      <c r="J995" s="12">
        <v>0.25</v>
      </c>
      <c r="K995" s="12">
        <v>0.63</v>
      </c>
      <c r="L995" s="12">
        <v>0.12</v>
      </c>
      <c r="M995" s="8">
        <v>6</v>
      </c>
      <c r="N995">
        <v>8</v>
      </c>
      <c r="O995" s="12">
        <v>9</v>
      </c>
      <c r="BF995" s="9">
        <v>9.94</v>
      </c>
      <c r="BG995" s="9">
        <f t="shared" si="31"/>
        <v>1.487800039674668E-2</v>
      </c>
      <c r="BH995" s="9">
        <f t="shared" si="30"/>
        <v>2.7428858867490663E-2</v>
      </c>
      <c r="BQ995" s="8">
        <v>6</v>
      </c>
      <c r="BR995" s="8" t="s">
        <v>2050</v>
      </c>
    </row>
    <row r="996" spans="1:70" x14ac:dyDescent="0.3">
      <c r="A996" s="11" t="s">
        <v>2051</v>
      </c>
      <c r="B996" s="12">
        <v>153800</v>
      </c>
      <c r="C996" s="12">
        <v>595800</v>
      </c>
      <c r="D996" s="12">
        <v>0.05</v>
      </c>
      <c r="E996" s="12">
        <v>0.11</v>
      </c>
      <c r="F996" s="12">
        <v>0.03</v>
      </c>
      <c r="G996" s="12">
        <v>0.06</v>
      </c>
      <c r="H996" s="12">
        <v>0.14000000000000001</v>
      </c>
      <c r="I996" s="12">
        <v>0.04</v>
      </c>
      <c r="J996" s="12">
        <v>0.08</v>
      </c>
      <c r="K996" s="12">
        <v>0.19</v>
      </c>
      <c r="L996" s="12">
        <v>0.06</v>
      </c>
      <c r="M996" s="8">
        <v>9</v>
      </c>
      <c r="N996">
        <v>11</v>
      </c>
      <c r="O996" s="12">
        <v>13</v>
      </c>
      <c r="BF996" s="9">
        <v>9.9499999999999993</v>
      </c>
      <c r="BG996" s="9">
        <f t="shared" si="31"/>
        <v>1.4848109896214745E-2</v>
      </c>
      <c r="BH996" s="9">
        <f t="shared" si="30"/>
        <v>2.7401292175161528E-2</v>
      </c>
      <c r="BQ996" s="8">
        <v>7</v>
      </c>
      <c r="BR996" s="8" t="s">
        <v>2052</v>
      </c>
    </row>
    <row r="997" spans="1:70" x14ac:dyDescent="0.3">
      <c r="A997" s="11" t="s">
        <v>2053</v>
      </c>
      <c r="B997" s="12">
        <v>225200</v>
      </c>
      <c r="C997" s="12">
        <v>664300</v>
      </c>
      <c r="D997" s="12">
        <v>0.13</v>
      </c>
      <c r="E997" s="12">
        <v>0.33</v>
      </c>
      <c r="F997" s="12">
        <v>7.0000000000000007E-2</v>
      </c>
      <c r="G997" s="12">
        <v>0.17</v>
      </c>
      <c r="H997" s="12">
        <v>0.43</v>
      </c>
      <c r="I997" s="12">
        <v>0.09</v>
      </c>
      <c r="J997" s="12">
        <v>0.22</v>
      </c>
      <c r="K997" s="12">
        <v>0.57999999999999996</v>
      </c>
      <c r="L997" s="12">
        <v>0.13</v>
      </c>
      <c r="M997" s="8">
        <v>6</v>
      </c>
      <c r="N997">
        <v>7</v>
      </c>
      <c r="O997" s="12">
        <v>9</v>
      </c>
      <c r="BF997" s="9">
        <v>9.9600000000000009</v>
      </c>
      <c r="BG997" s="9">
        <f t="shared" si="31"/>
        <v>1.4818309382106739E-2</v>
      </c>
      <c r="BH997" s="9">
        <f t="shared" si="30"/>
        <v>2.7373780837636263E-2</v>
      </c>
      <c r="BQ997" s="8">
        <v>5</v>
      </c>
      <c r="BR997" s="8" t="s">
        <v>2054</v>
      </c>
    </row>
    <row r="998" spans="1:70" x14ac:dyDescent="0.3">
      <c r="A998" s="11" t="s">
        <v>2055</v>
      </c>
      <c r="B998" s="12">
        <v>206400</v>
      </c>
      <c r="C998" s="12">
        <v>664600</v>
      </c>
      <c r="D998" s="12">
        <v>0.08</v>
      </c>
      <c r="E998" s="12">
        <v>0.19</v>
      </c>
      <c r="F998" s="12">
        <v>0.05</v>
      </c>
      <c r="G998" s="12">
        <v>0.1</v>
      </c>
      <c r="H998" s="12">
        <v>0.24</v>
      </c>
      <c r="I998" s="12">
        <v>7.0000000000000007E-2</v>
      </c>
      <c r="J998" s="12">
        <v>0.12</v>
      </c>
      <c r="K998" s="12">
        <v>0.32</v>
      </c>
      <c r="L998" s="12">
        <v>0.09</v>
      </c>
      <c r="M998" s="8">
        <v>7</v>
      </c>
      <c r="N998">
        <v>9</v>
      </c>
      <c r="O998" s="12">
        <v>11</v>
      </c>
      <c r="BF998" s="9">
        <v>9.9700000000000006</v>
      </c>
      <c r="BG998" s="9">
        <f t="shared" si="31"/>
        <v>1.4788598493575007E-2</v>
      </c>
      <c r="BH998" s="9">
        <f t="shared" si="30"/>
        <v>2.734632468835077E-2</v>
      </c>
      <c r="BQ998" s="8">
        <v>6</v>
      </c>
      <c r="BR998" s="8" t="s">
        <v>2056</v>
      </c>
    </row>
    <row r="999" spans="1:70" x14ac:dyDescent="0.3">
      <c r="A999" s="11" t="s">
        <v>2057</v>
      </c>
      <c r="B999" s="12">
        <v>247100</v>
      </c>
      <c r="C999" s="12">
        <v>773100</v>
      </c>
      <c r="D999" s="12">
        <v>0.22</v>
      </c>
      <c r="E999" s="12">
        <v>0.55000000000000004</v>
      </c>
      <c r="F999" s="12">
        <v>0.1</v>
      </c>
      <c r="G999" s="12">
        <v>0.28999999999999998</v>
      </c>
      <c r="H999" s="12">
        <v>0.73</v>
      </c>
      <c r="I999" s="12">
        <v>0.14000000000000001</v>
      </c>
      <c r="J999" s="12">
        <v>0.38</v>
      </c>
      <c r="K999" s="12">
        <v>0.99</v>
      </c>
      <c r="L999" s="12">
        <v>0.21</v>
      </c>
      <c r="M999" s="8">
        <v>5</v>
      </c>
      <c r="N999">
        <v>6</v>
      </c>
      <c r="O999" s="12">
        <v>7</v>
      </c>
      <c r="BF999" s="9">
        <v>9.98</v>
      </c>
      <c r="BG999" s="9">
        <f t="shared" si="31"/>
        <v>1.4758976871578828E-2</v>
      </c>
      <c r="BH999" s="9">
        <f t="shared" si="30"/>
        <v>2.7318923561408536E-2</v>
      </c>
      <c r="BQ999" s="8">
        <v>5</v>
      </c>
      <c r="BR999" s="8" t="s">
        <v>2058</v>
      </c>
    </row>
    <row r="1000" spans="1:70" x14ac:dyDescent="0.3">
      <c r="A1000" s="11" t="s">
        <v>2059</v>
      </c>
      <c r="B1000" s="12">
        <v>228000</v>
      </c>
      <c r="C1000" s="12">
        <v>637400</v>
      </c>
      <c r="D1000" s="12">
        <v>0.13</v>
      </c>
      <c r="E1000" s="12">
        <v>0.32</v>
      </c>
      <c r="F1000" s="12">
        <v>7.0000000000000007E-2</v>
      </c>
      <c r="G1000" s="12">
        <v>0.16</v>
      </c>
      <c r="H1000" s="12">
        <v>0.41</v>
      </c>
      <c r="I1000" s="12">
        <v>0.09</v>
      </c>
      <c r="J1000" s="12">
        <v>0.21</v>
      </c>
      <c r="K1000" s="12">
        <v>0.55000000000000004</v>
      </c>
      <c r="L1000" s="12">
        <v>0.13</v>
      </c>
      <c r="M1000" s="8">
        <v>6</v>
      </c>
      <c r="N1000">
        <v>7</v>
      </c>
      <c r="O1000" s="12">
        <v>9</v>
      </c>
      <c r="BF1000" s="9">
        <v>9.99</v>
      </c>
      <c r="BG1000" s="9">
        <f t="shared" si="31"/>
        <v>1.4729444158873587E-2</v>
      </c>
      <c r="BH1000" s="9">
        <f t="shared" si="30"/>
        <v>2.7291577291577294E-2</v>
      </c>
      <c r="BQ1000" s="8">
        <v>7</v>
      </c>
      <c r="BR1000" s="8" t="s">
        <v>2060</v>
      </c>
    </row>
    <row r="1001" spans="1:70" x14ac:dyDescent="0.3">
      <c r="A1001" s="11" t="s">
        <v>2061</v>
      </c>
      <c r="B1001" s="12">
        <v>249300</v>
      </c>
      <c r="C1001" s="12">
        <v>767000</v>
      </c>
      <c r="D1001" s="12">
        <v>0.24</v>
      </c>
      <c r="E1001" s="12">
        <v>0.61</v>
      </c>
      <c r="F1001" s="12">
        <v>0.11</v>
      </c>
      <c r="G1001" s="12">
        <v>0.32</v>
      </c>
      <c r="H1001" s="12">
        <v>0.8</v>
      </c>
      <c r="I1001" s="12">
        <v>0.16</v>
      </c>
      <c r="J1001" s="12">
        <v>0.43</v>
      </c>
      <c r="K1001" s="12">
        <v>1.1000000000000001</v>
      </c>
      <c r="L1001" s="12">
        <v>0.23</v>
      </c>
      <c r="M1001" s="8">
        <v>5</v>
      </c>
      <c r="N1001">
        <v>6</v>
      </c>
      <c r="O1001" s="12">
        <v>7</v>
      </c>
      <c r="BF1001" s="9">
        <v>10</v>
      </c>
      <c r="BG1001" s="9">
        <f t="shared" si="31"/>
        <v>1.47E-2</v>
      </c>
      <c r="BH1001" s="9">
        <f t="shared" si="30"/>
        <v>2.726428571428572E-2</v>
      </c>
      <c r="BQ1001" s="8">
        <v>5</v>
      </c>
      <c r="BR1001" s="8" t="s">
        <v>2062</v>
      </c>
    </row>
    <row r="1002" spans="1:70" x14ac:dyDescent="0.3">
      <c r="A1002" s="11" t="s">
        <v>2063</v>
      </c>
      <c r="B1002" s="12">
        <v>213300</v>
      </c>
      <c r="C1002" s="12">
        <v>628700</v>
      </c>
      <c r="D1002" s="12">
        <v>0.08</v>
      </c>
      <c r="E1002" s="12">
        <v>0.21</v>
      </c>
      <c r="F1002" s="12">
        <v>0.05</v>
      </c>
      <c r="G1002" s="12">
        <v>0.1</v>
      </c>
      <c r="H1002" s="12">
        <v>0.27</v>
      </c>
      <c r="I1002" s="12">
        <v>7.0000000000000007E-2</v>
      </c>
      <c r="J1002" s="12">
        <v>0.13</v>
      </c>
      <c r="K1002" s="12">
        <v>0.35</v>
      </c>
      <c r="L1002" s="12">
        <v>0.09</v>
      </c>
      <c r="M1002" s="8">
        <v>7</v>
      </c>
      <c r="N1002">
        <v>8</v>
      </c>
      <c r="O1002" s="12">
        <v>10</v>
      </c>
      <c r="BQ1002" s="8">
        <v>9</v>
      </c>
      <c r="BR1002" s="8" t="s">
        <v>2064</v>
      </c>
    </row>
    <row r="1003" spans="1:70" x14ac:dyDescent="0.3">
      <c r="A1003" s="11" t="s">
        <v>2065</v>
      </c>
      <c r="B1003" s="12">
        <v>250900</v>
      </c>
      <c r="C1003" s="12">
        <v>759300</v>
      </c>
      <c r="D1003" s="12">
        <v>0.26</v>
      </c>
      <c r="E1003" s="12">
        <v>0.64</v>
      </c>
      <c r="F1003" s="12">
        <v>0.12</v>
      </c>
      <c r="G1003" s="12">
        <v>0.34</v>
      </c>
      <c r="H1003" s="12">
        <v>0.85</v>
      </c>
      <c r="I1003" s="12">
        <v>0.17</v>
      </c>
      <c r="J1003" s="12">
        <v>0.45</v>
      </c>
      <c r="K1003" s="12">
        <v>1.1499999999999999</v>
      </c>
      <c r="L1003" s="12">
        <v>0.24</v>
      </c>
      <c r="M1003" s="8">
        <v>5</v>
      </c>
      <c r="N1003">
        <v>6</v>
      </c>
      <c r="O1003" s="12">
        <v>7</v>
      </c>
      <c r="BQ1003" s="8">
        <v>7</v>
      </c>
      <c r="BR1003" s="8" t="s">
        <v>2066</v>
      </c>
    </row>
    <row r="1004" spans="1:70" x14ac:dyDescent="0.3">
      <c r="A1004" s="11" t="s">
        <v>2067</v>
      </c>
      <c r="B1004" s="12">
        <v>143900</v>
      </c>
      <c r="C1004" s="12">
        <v>573000</v>
      </c>
      <c r="D1004" s="12">
        <v>0.04</v>
      </c>
      <c r="E1004" s="12">
        <v>0.09</v>
      </c>
      <c r="F1004" s="12">
        <v>0.03</v>
      </c>
      <c r="G1004" s="12">
        <v>0.05</v>
      </c>
      <c r="H1004" s="12">
        <v>0.11</v>
      </c>
      <c r="I1004" s="12">
        <v>0.04</v>
      </c>
      <c r="J1004" s="12">
        <v>0.06</v>
      </c>
      <c r="K1004" s="12">
        <v>0.14000000000000001</v>
      </c>
      <c r="L1004" s="12">
        <v>0.06</v>
      </c>
      <c r="M1004" s="8">
        <v>9</v>
      </c>
      <c r="N1004">
        <v>11</v>
      </c>
      <c r="O1004" s="12">
        <v>13</v>
      </c>
      <c r="BQ1004" s="8">
        <v>5</v>
      </c>
      <c r="BR1004" s="8" t="s">
        <v>2068</v>
      </c>
    </row>
    <row r="1005" spans="1:70" x14ac:dyDescent="0.3">
      <c r="A1005" s="11" t="s">
        <v>2069</v>
      </c>
      <c r="B1005" s="12">
        <v>202300</v>
      </c>
      <c r="C1005" s="12">
        <v>718800</v>
      </c>
      <c r="D1005" s="12">
        <v>0.1</v>
      </c>
      <c r="E1005" s="12">
        <v>0.24</v>
      </c>
      <c r="F1005" s="12">
        <v>0.06</v>
      </c>
      <c r="G1005" s="12">
        <v>0.13</v>
      </c>
      <c r="H1005" s="12">
        <v>0.32</v>
      </c>
      <c r="I1005" s="12">
        <v>7.0000000000000007E-2</v>
      </c>
      <c r="J1005" s="12">
        <v>0.17</v>
      </c>
      <c r="K1005" s="12">
        <v>0.45</v>
      </c>
      <c r="L1005" s="12">
        <v>0.1</v>
      </c>
      <c r="M1005" s="8">
        <v>7</v>
      </c>
      <c r="N1005">
        <v>8</v>
      </c>
      <c r="O1005" s="12">
        <v>10</v>
      </c>
      <c r="BQ1005" s="8">
        <v>7</v>
      </c>
      <c r="BR1005" s="8" t="s">
        <v>2070</v>
      </c>
    </row>
    <row r="1006" spans="1:70" x14ac:dyDescent="0.3">
      <c r="A1006" s="11" t="s">
        <v>2071</v>
      </c>
      <c r="B1006" s="12">
        <v>258300</v>
      </c>
      <c r="C1006" s="12">
        <v>787000</v>
      </c>
      <c r="D1006" s="12">
        <v>0.27</v>
      </c>
      <c r="E1006" s="12">
        <v>0.65</v>
      </c>
      <c r="F1006" s="12">
        <v>0.12</v>
      </c>
      <c r="G1006" s="12">
        <v>0.35</v>
      </c>
      <c r="H1006" s="12">
        <v>0.87</v>
      </c>
      <c r="I1006" s="12">
        <v>0.17</v>
      </c>
      <c r="J1006" s="12">
        <v>0.47</v>
      </c>
      <c r="K1006" s="12">
        <v>1.2</v>
      </c>
      <c r="L1006" s="12">
        <v>0.25</v>
      </c>
      <c r="M1006" s="8">
        <v>5</v>
      </c>
      <c r="N1006">
        <v>6</v>
      </c>
      <c r="O1006" s="12">
        <v>7</v>
      </c>
      <c r="BQ1006" s="8">
        <v>7</v>
      </c>
      <c r="BR1006" s="8" t="s">
        <v>2072</v>
      </c>
    </row>
    <row r="1007" spans="1:70" x14ac:dyDescent="0.3">
      <c r="A1007" s="11" t="s">
        <v>2073</v>
      </c>
      <c r="B1007" s="12">
        <v>213000</v>
      </c>
      <c r="C1007" s="12">
        <v>674400</v>
      </c>
      <c r="D1007" s="12">
        <v>0.09</v>
      </c>
      <c r="E1007" s="12">
        <v>0.23</v>
      </c>
      <c r="F1007" s="12">
        <v>0.06</v>
      </c>
      <c r="G1007" s="12">
        <v>0.11</v>
      </c>
      <c r="H1007" s="12">
        <v>0.28999999999999998</v>
      </c>
      <c r="I1007" s="12">
        <v>7.0000000000000007E-2</v>
      </c>
      <c r="J1007" s="12">
        <v>0.15</v>
      </c>
      <c r="K1007" s="12">
        <v>0.38</v>
      </c>
      <c r="L1007" s="12">
        <v>0.1</v>
      </c>
      <c r="M1007" s="8">
        <v>7</v>
      </c>
      <c r="N1007">
        <v>8</v>
      </c>
      <c r="O1007" s="12">
        <v>10</v>
      </c>
      <c r="BQ1007" s="8">
        <v>7</v>
      </c>
      <c r="BR1007" s="8" t="s">
        <v>2074</v>
      </c>
    </row>
    <row r="1008" spans="1:70" x14ac:dyDescent="0.3">
      <c r="A1008" s="11" t="s">
        <v>2075</v>
      </c>
      <c r="B1008" s="12">
        <v>215500</v>
      </c>
      <c r="C1008" s="12">
        <v>764700</v>
      </c>
      <c r="D1008" s="12">
        <v>0.12</v>
      </c>
      <c r="E1008" s="12">
        <v>0.31</v>
      </c>
      <c r="F1008" s="12">
        <v>0.06</v>
      </c>
      <c r="G1008" s="12">
        <v>0.16</v>
      </c>
      <c r="H1008" s="12">
        <v>0.4</v>
      </c>
      <c r="I1008" s="12">
        <v>0.08</v>
      </c>
      <c r="J1008" s="12">
        <v>0.21</v>
      </c>
      <c r="K1008" s="12">
        <v>0.53</v>
      </c>
      <c r="L1008" s="12">
        <v>0.11</v>
      </c>
      <c r="M1008" s="8">
        <v>7</v>
      </c>
      <c r="N1008">
        <v>8</v>
      </c>
      <c r="O1008" s="12">
        <v>10</v>
      </c>
      <c r="BQ1008" s="8">
        <v>6</v>
      </c>
      <c r="BR1008" s="8" t="s">
        <v>2076</v>
      </c>
    </row>
    <row r="1009" spans="1:70" x14ac:dyDescent="0.3">
      <c r="A1009" s="11" t="s">
        <v>2077</v>
      </c>
      <c r="B1009" s="12">
        <v>212200</v>
      </c>
      <c r="C1009" s="12">
        <v>687900</v>
      </c>
      <c r="D1009" s="12">
        <v>0.09</v>
      </c>
      <c r="E1009" s="12">
        <v>0.23</v>
      </c>
      <c r="F1009" s="12">
        <v>0.06</v>
      </c>
      <c r="G1009" s="12">
        <v>0.11</v>
      </c>
      <c r="H1009" s="12">
        <v>0.28999999999999998</v>
      </c>
      <c r="I1009" s="12">
        <v>7.0000000000000007E-2</v>
      </c>
      <c r="J1009" s="12">
        <v>0.15</v>
      </c>
      <c r="K1009" s="12">
        <v>0.38</v>
      </c>
      <c r="L1009" s="12">
        <v>0.1</v>
      </c>
      <c r="M1009" s="8">
        <v>7</v>
      </c>
      <c r="N1009">
        <v>8</v>
      </c>
      <c r="O1009" s="12">
        <v>10</v>
      </c>
      <c r="BQ1009" s="8">
        <v>6</v>
      </c>
      <c r="BR1009" s="8" t="s">
        <v>2078</v>
      </c>
    </row>
    <row r="1010" spans="1:70" x14ac:dyDescent="0.3">
      <c r="A1010" s="11" t="s">
        <v>2079</v>
      </c>
      <c r="B1010" s="12">
        <v>206700</v>
      </c>
      <c r="C1010" s="12">
        <v>735900</v>
      </c>
      <c r="D1010" s="12">
        <v>0.13</v>
      </c>
      <c r="E1010" s="12">
        <v>0.32</v>
      </c>
      <c r="F1010" s="12">
        <v>7.0000000000000007E-2</v>
      </c>
      <c r="G1010" s="12">
        <v>0.19</v>
      </c>
      <c r="H1010" s="12">
        <v>0.46</v>
      </c>
      <c r="I1010" s="12">
        <v>0.09</v>
      </c>
      <c r="J1010" s="12">
        <v>0.27</v>
      </c>
      <c r="K1010" s="12">
        <v>0.67</v>
      </c>
      <c r="L1010" s="12">
        <v>0.13</v>
      </c>
      <c r="M1010" s="8">
        <v>6</v>
      </c>
      <c r="N1010">
        <v>7</v>
      </c>
      <c r="O1010" s="12">
        <v>8</v>
      </c>
      <c r="BQ1010" s="8">
        <v>6</v>
      </c>
      <c r="BR1010" s="8" t="s">
        <v>2080</v>
      </c>
    </row>
    <row r="1011" spans="1:70" x14ac:dyDescent="0.3">
      <c r="A1011" s="11" t="s">
        <v>2081</v>
      </c>
      <c r="B1011" s="12">
        <v>227500</v>
      </c>
      <c r="C1011" s="12">
        <v>723900</v>
      </c>
      <c r="D1011" s="12">
        <v>0.16</v>
      </c>
      <c r="E1011" s="12">
        <v>0.39</v>
      </c>
      <c r="F1011" s="12">
        <v>0.08</v>
      </c>
      <c r="G1011" s="12">
        <v>0.21</v>
      </c>
      <c r="H1011" s="12">
        <v>0.52</v>
      </c>
      <c r="I1011" s="12">
        <v>0.11</v>
      </c>
      <c r="J1011" s="12">
        <v>0.28999999999999998</v>
      </c>
      <c r="K1011" s="12">
        <v>0.73</v>
      </c>
      <c r="L1011" s="12">
        <v>0.15</v>
      </c>
      <c r="M1011" s="8">
        <v>6</v>
      </c>
      <c r="N1011">
        <v>7</v>
      </c>
      <c r="O1011" s="12">
        <v>8</v>
      </c>
      <c r="BQ1011" s="8">
        <v>7</v>
      </c>
      <c r="BR1011" s="8" t="s">
        <v>2082</v>
      </c>
    </row>
    <row r="1012" spans="1:70" x14ac:dyDescent="0.3">
      <c r="A1012" s="11" t="s">
        <v>2083</v>
      </c>
      <c r="B1012" s="12">
        <v>224600</v>
      </c>
      <c r="C1012" s="12">
        <v>651500</v>
      </c>
      <c r="D1012" s="12">
        <v>0.12</v>
      </c>
      <c r="E1012" s="12">
        <v>0.31</v>
      </c>
      <c r="F1012" s="12">
        <v>7.0000000000000007E-2</v>
      </c>
      <c r="G1012" s="12">
        <v>0.16</v>
      </c>
      <c r="H1012" s="12">
        <v>0.4</v>
      </c>
      <c r="I1012" s="12">
        <v>0.09</v>
      </c>
      <c r="J1012" s="12">
        <v>0.21</v>
      </c>
      <c r="K1012" s="12">
        <v>0.55000000000000004</v>
      </c>
      <c r="L1012" s="12">
        <v>0.12</v>
      </c>
      <c r="M1012" s="8">
        <v>6</v>
      </c>
      <c r="N1012">
        <v>7</v>
      </c>
      <c r="O1012" s="12">
        <v>9</v>
      </c>
      <c r="BQ1012" s="8">
        <v>6</v>
      </c>
      <c r="BR1012" s="8" t="s">
        <v>2084</v>
      </c>
    </row>
    <row r="1013" spans="1:70" x14ac:dyDescent="0.3">
      <c r="A1013" s="11" t="s">
        <v>2085</v>
      </c>
      <c r="B1013" s="12">
        <v>204700</v>
      </c>
      <c r="C1013" s="12">
        <v>669600</v>
      </c>
      <c r="D1013" s="12">
        <v>0.08</v>
      </c>
      <c r="E1013" s="12">
        <v>0.19</v>
      </c>
      <c r="F1013" s="12">
        <v>0.05</v>
      </c>
      <c r="G1013" s="12">
        <v>0.09</v>
      </c>
      <c r="H1013" s="12">
        <v>0.24</v>
      </c>
      <c r="I1013" s="12">
        <v>0.06</v>
      </c>
      <c r="J1013" s="12">
        <v>0.12</v>
      </c>
      <c r="K1013" s="12">
        <v>0.31</v>
      </c>
      <c r="L1013" s="12">
        <v>0.09</v>
      </c>
      <c r="M1013" s="8">
        <v>7</v>
      </c>
      <c r="N1013">
        <v>9</v>
      </c>
      <c r="O1013" s="12">
        <v>11</v>
      </c>
      <c r="BQ1013" s="8">
        <v>6</v>
      </c>
      <c r="BR1013" s="8" t="s">
        <v>2086</v>
      </c>
    </row>
    <row r="1014" spans="1:70" x14ac:dyDescent="0.3">
      <c r="A1014" s="11" t="s">
        <v>2087</v>
      </c>
      <c r="B1014" s="12">
        <v>224200</v>
      </c>
      <c r="C1014" s="12">
        <v>752300</v>
      </c>
      <c r="D1014" s="12">
        <v>0.14000000000000001</v>
      </c>
      <c r="E1014" s="12">
        <v>0.34</v>
      </c>
      <c r="F1014" s="12">
        <v>7.0000000000000007E-2</v>
      </c>
      <c r="G1014" s="12">
        <v>0.17</v>
      </c>
      <c r="H1014" s="12">
        <v>0.43</v>
      </c>
      <c r="I1014" s="12">
        <v>0.09</v>
      </c>
      <c r="J1014" s="12">
        <v>0.22</v>
      </c>
      <c r="K1014" s="12">
        <v>0.56999999999999995</v>
      </c>
      <c r="L1014" s="12">
        <v>0.12</v>
      </c>
      <c r="M1014" s="8">
        <v>6</v>
      </c>
      <c r="N1014">
        <v>8</v>
      </c>
      <c r="O1014" s="12">
        <v>10</v>
      </c>
      <c r="BQ1014" s="8">
        <v>7</v>
      </c>
      <c r="BR1014" s="8" t="s">
        <v>2088</v>
      </c>
    </row>
    <row r="1015" spans="1:70" x14ac:dyDescent="0.3">
      <c r="A1015" s="11" t="s">
        <v>2089</v>
      </c>
      <c r="B1015" s="12">
        <v>232000</v>
      </c>
      <c r="C1015" s="12">
        <v>750700</v>
      </c>
      <c r="D1015" s="12">
        <v>0.15</v>
      </c>
      <c r="E1015" s="12">
        <v>0.37</v>
      </c>
      <c r="F1015" s="12">
        <v>7.0000000000000007E-2</v>
      </c>
      <c r="G1015" s="12">
        <v>0.18</v>
      </c>
      <c r="H1015" s="12">
        <v>0.47</v>
      </c>
      <c r="I1015" s="12">
        <v>0.1</v>
      </c>
      <c r="J1015" s="12">
        <v>0.23</v>
      </c>
      <c r="K1015" s="12">
        <v>0.61</v>
      </c>
      <c r="L1015" s="12">
        <v>0.13</v>
      </c>
      <c r="M1015" s="8">
        <v>6</v>
      </c>
      <c r="N1015">
        <v>8</v>
      </c>
      <c r="O1015" s="12">
        <v>9</v>
      </c>
      <c r="BQ1015" s="8">
        <v>6</v>
      </c>
      <c r="BR1015" s="8" t="s">
        <v>2090</v>
      </c>
    </row>
    <row r="1016" spans="1:70" x14ac:dyDescent="0.3">
      <c r="A1016" s="11" t="s">
        <v>2091</v>
      </c>
      <c r="B1016" s="12">
        <v>220400</v>
      </c>
      <c r="C1016" s="12">
        <v>777400</v>
      </c>
      <c r="D1016" s="12">
        <v>0.12</v>
      </c>
      <c r="E1016" s="12">
        <v>0.28999999999999998</v>
      </c>
      <c r="F1016" s="12">
        <v>0.06</v>
      </c>
      <c r="G1016" s="12">
        <v>0.14000000000000001</v>
      </c>
      <c r="H1016" s="12">
        <v>0.37</v>
      </c>
      <c r="I1016" s="12">
        <v>0.08</v>
      </c>
      <c r="J1016" s="12">
        <v>0.19</v>
      </c>
      <c r="K1016" s="12">
        <v>0.49</v>
      </c>
      <c r="L1016" s="12">
        <v>0.11</v>
      </c>
      <c r="M1016" s="8">
        <v>7</v>
      </c>
      <c r="N1016">
        <v>8</v>
      </c>
      <c r="O1016" s="12">
        <v>10</v>
      </c>
      <c r="BQ1016" s="8">
        <v>6</v>
      </c>
      <c r="BR1016" s="8" t="s">
        <v>2092</v>
      </c>
    </row>
    <row r="1017" spans="1:70" x14ac:dyDescent="0.3">
      <c r="A1017" s="11" t="s">
        <v>2093</v>
      </c>
      <c r="B1017" s="12">
        <v>227700</v>
      </c>
      <c r="C1017" s="12">
        <v>754700</v>
      </c>
      <c r="D1017" s="12">
        <v>0.14000000000000001</v>
      </c>
      <c r="E1017" s="12">
        <v>0.35</v>
      </c>
      <c r="F1017" s="12">
        <v>7.0000000000000007E-2</v>
      </c>
      <c r="G1017" s="12">
        <v>0.17</v>
      </c>
      <c r="H1017" s="12">
        <v>0.44</v>
      </c>
      <c r="I1017" s="12">
        <v>0.09</v>
      </c>
      <c r="J1017" s="12">
        <v>0.22</v>
      </c>
      <c r="K1017" s="12">
        <v>0.57999999999999996</v>
      </c>
      <c r="L1017" s="12">
        <v>0.12</v>
      </c>
      <c r="M1017" s="8">
        <v>6</v>
      </c>
      <c r="N1017">
        <v>8</v>
      </c>
      <c r="O1017" s="12">
        <v>10</v>
      </c>
      <c r="BQ1017" s="8">
        <v>8</v>
      </c>
      <c r="BR1017" s="8" t="s">
        <v>2094</v>
      </c>
    </row>
    <row r="1018" spans="1:70" x14ac:dyDescent="0.3">
      <c r="A1018" s="11" t="s">
        <v>2095</v>
      </c>
      <c r="B1018" s="12">
        <v>220200</v>
      </c>
      <c r="C1018" s="12">
        <v>573800</v>
      </c>
      <c r="D1018" s="12">
        <v>0.12</v>
      </c>
      <c r="E1018" s="12">
        <v>0.31</v>
      </c>
      <c r="F1018" s="12">
        <v>0.06</v>
      </c>
      <c r="G1018" s="12">
        <v>0.16</v>
      </c>
      <c r="H1018" s="12">
        <v>0.41</v>
      </c>
      <c r="I1018" s="12">
        <v>0.09</v>
      </c>
      <c r="J1018" s="12">
        <v>0.21</v>
      </c>
      <c r="K1018" s="12">
        <v>0.56000000000000005</v>
      </c>
      <c r="L1018" s="12">
        <v>0.12</v>
      </c>
      <c r="M1018" s="8">
        <v>6</v>
      </c>
      <c r="N1018">
        <v>7</v>
      </c>
      <c r="O1018" s="12">
        <v>8</v>
      </c>
      <c r="BQ1018" s="8">
        <v>7</v>
      </c>
      <c r="BR1018" s="8" t="s">
        <v>2096</v>
      </c>
    </row>
    <row r="1019" spans="1:70" x14ac:dyDescent="0.3">
      <c r="A1019" s="11" t="s">
        <v>2097</v>
      </c>
      <c r="B1019" s="12">
        <v>178700</v>
      </c>
      <c r="C1019" s="12">
        <v>627000</v>
      </c>
      <c r="D1019" s="12">
        <v>0.06</v>
      </c>
      <c r="E1019" s="12">
        <v>0.16</v>
      </c>
      <c r="F1019" s="12">
        <v>0.04</v>
      </c>
      <c r="G1019" s="12">
        <v>0.08</v>
      </c>
      <c r="H1019" s="12">
        <v>0.2</v>
      </c>
      <c r="I1019" s="12">
        <v>0.05</v>
      </c>
      <c r="J1019" s="12">
        <v>0.11</v>
      </c>
      <c r="K1019" s="12">
        <v>0.28000000000000003</v>
      </c>
      <c r="L1019" s="12">
        <v>7.0000000000000007E-2</v>
      </c>
      <c r="M1019" s="8">
        <v>8</v>
      </c>
      <c r="N1019">
        <v>10</v>
      </c>
      <c r="O1019" s="12">
        <v>12</v>
      </c>
      <c r="BQ1019" s="8">
        <v>7</v>
      </c>
      <c r="BR1019" s="8" t="s">
        <v>2098</v>
      </c>
    </row>
    <row r="1020" spans="1:70" x14ac:dyDescent="0.3">
      <c r="A1020" s="11" t="s">
        <v>2099</v>
      </c>
      <c r="B1020" s="12">
        <v>209400</v>
      </c>
      <c r="C1020" s="12">
        <v>711000</v>
      </c>
      <c r="D1020" s="12">
        <v>0.1</v>
      </c>
      <c r="E1020" s="12">
        <v>0.26</v>
      </c>
      <c r="F1020" s="12">
        <v>0.06</v>
      </c>
      <c r="G1020" s="12">
        <v>0.14000000000000001</v>
      </c>
      <c r="H1020" s="12">
        <v>0.34</v>
      </c>
      <c r="I1020" s="12">
        <v>0.08</v>
      </c>
      <c r="J1020" s="12">
        <v>0.18</v>
      </c>
      <c r="K1020" s="12">
        <v>0.47</v>
      </c>
      <c r="L1020" s="12">
        <v>0.11</v>
      </c>
      <c r="M1020" s="8">
        <v>7</v>
      </c>
      <c r="N1020">
        <v>8</v>
      </c>
      <c r="O1020" s="12">
        <v>10</v>
      </c>
      <c r="BQ1020" s="8">
        <v>8</v>
      </c>
      <c r="BR1020" s="8" t="s">
        <v>2100</v>
      </c>
    </row>
    <row r="1021" spans="1:70" x14ac:dyDescent="0.3">
      <c r="A1021" s="11" t="s">
        <v>2101</v>
      </c>
      <c r="B1021" s="12">
        <v>202000</v>
      </c>
      <c r="C1021" s="12">
        <v>563000</v>
      </c>
      <c r="D1021" s="12">
        <v>0.08</v>
      </c>
      <c r="E1021" s="12">
        <v>0.19</v>
      </c>
      <c r="F1021" s="12">
        <v>0.05</v>
      </c>
      <c r="G1021" s="12">
        <v>0.1</v>
      </c>
      <c r="H1021" s="12">
        <v>0.24</v>
      </c>
      <c r="I1021" s="12">
        <v>0.06</v>
      </c>
      <c r="J1021" s="12">
        <v>0.13</v>
      </c>
      <c r="K1021" s="12">
        <v>0.33</v>
      </c>
      <c r="L1021" s="12">
        <v>0.09</v>
      </c>
      <c r="M1021" s="8">
        <v>7</v>
      </c>
      <c r="N1021">
        <v>9</v>
      </c>
      <c r="O1021" s="12">
        <v>10</v>
      </c>
      <c r="BQ1021" s="8">
        <v>7</v>
      </c>
      <c r="BR1021" s="8" t="s">
        <v>2102</v>
      </c>
    </row>
    <row r="1022" spans="1:70" x14ac:dyDescent="0.3">
      <c r="A1022" s="11" t="s">
        <v>2103</v>
      </c>
      <c r="B1022" s="12">
        <v>176100</v>
      </c>
      <c r="C1022" s="12">
        <v>637100</v>
      </c>
      <c r="D1022" s="12">
        <v>0.06</v>
      </c>
      <c r="E1022" s="12">
        <v>0.14000000000000001</v>
      </c>
      <c r="F1022" s="12">
        <v>0.04</v>
      </c>
      <c r="G1022" s="12">
        <v>0.08</v>
      </c>
      <c r="H1022" s="12">
        <v>0.19</v>
      </c>
      <c r="I1022" s="12">
        <v>0.05</v>
      </c>
      <c r="J1022" s="12">
        <v>0.1</v>
      </c>
      <c r="K1022" s="12">
        <v>0.25</v>
      </c>
      <c r="L1022" s="12">
        <v>7.0000000000000007E-2</v>
      </c>
      <c r="M1022" s="8">
        <v>8</v>
      </c>
      <c r="N1022">
        <v>10</v>
      </c>
      <c r="O1022" s="12">
        <v>12</v>
      </c>
      <c r="BQ1022" s="8">
        <v>7</v>
      </c>
      <c r="BR1022" s="8" t="s">
        <v>2104</v>
      </c>
    </row>
    <row r="1023" spans="1:70" x14ac:dyDescent="0.3">
      <c r="A1023" s="11" t="s">
        <v>2105</v>
      </c>
      <c r="B1023" s="12">
        <v>194900</v>
      </c>
      <c r="C1023" s="12">
        <v>732500</v>
      </c>
      <c r="D1023" s="12">
        <v>0.1</v>
      </c>
      <c r="E1023" s="12">
        <v>0.25</v>
      </c>
      <c r="F1023" s="12">
        <v>0.06</v>
      </c>
      <c r="G1023" s="12">
        <v>0.14000000000000001</v>
      </c>
      <c r="H1023" s="12">
        <v>0.34</v>
      </c>
      <c r="I1023" s="12">
        <v>7.0000000000000007E-2</v>
      </c>
      <c r="J1023" s="12">
        <v>0.19</v>
      </c>
      <c r="K1023" s="12">
        <v>0.49</v>
      </c>
      <c r="L1023" s="12">
        <v>0.1</v>
      </c>
      <c r="M1023" s="8">
        <v>7</v>
      </c>
      <c r="N1023">
        <v>8</v>
      </c>
      <c r="O1023" s="12">
        <v>10</v>
      </c>
      <c r="BQ1023" s="8">
        <v>5</v>
      </c>
      <c r="BR1023" s="8" t="s">
        <v>2106</v>
      </c>
    </row>
    <row r="1024" spans="1:70" x14ac:dyDescent="0.3">
      <c r="A1024" s="11" t="s">
        <v>2107</v>
      </c>
      <c r="B1024" s="12">
        <v>202500</v>
      </c>
      <c r="C1024" s="12">
        <v>593900</v>
      </c>
      <c r="D1024" s="12">
        <v>0.08</v>
      </c>
      <c r="E1024" s="12">
        <v>0.21</v>
      </c>
      <c r="F1024" s="12">
        <v>0.05</v>
      </c>
      <c r="G1024" s="12">
        <v>0.11</v>
      </c>
      <c r="H1024" s="12">
        <v>0.27</v>
      </c>
      <c r="I1024" s="12">
        <v>0.06</v>
      </c>
      <c r="J1024" s="12">
        <v>0.14000000000000001</v>
      </c>
      <c r="K1024" s="12">
        <v>0.36</v>
      </c>
      <c r="L1024" s="12">
        <v>0.09</v>
      </c>
      <c r="M1024" s="8">
        <v>7</v>
      </c>
      <c r="N1024">
        <v>9</v>
      </c>
      <c r="O1024" s="12">
        <v>10</v>
      </c>
      <c r="BQ1024" s="8">
        <v>8</v>
      </c>
      <c r="BR1024" s="8" t="s">
        <v>2108</v>
      </c>
    </row>
    <row r="1025" spans="1:70" x14ac:dyDescent="0.3">
      <c r="A1025" s="11" t="s">
        <v>2109</v>
      </c>
      <c r="B1025" s="12">
        <v>214500</v>
      </c>
      <c r="C1025" s="12">
        <v>474700</v>
      </c>
      <c r="D1025" s="12">
        <v>0.17</v>
      </c>
      <c r="E1025" s="12">
        <v>0.43</v>
      </c>
      <c r="F1025" s="12">
        <v>7.0000000000000007E-2</v>
      </c>
      <c r="G1025" s="12">
        <v>0.23</v>
      </c>
      <c r="H1025" s="12">
        <v>0.57999999999999996</v>
      </c>
      <c r="I1025" s="12">
        <v>0.1</v>
      </c>
      <c r="J1025" s="12">
        <v>0.32</v>
      </c>
      <c r="K1025" s="12">
        <v>0.82</v>
      </c>
      <c r="L1025" s="12">
        <v>0.16</v>
      </c>
      <c r="M1025" s="8">
        <v>5</v>
      </c>
      <c r="N1025">
        <v>6</v>
      </c>
      <c r="O1025" s="12">
        <v>6</v>
      </c>
      <c r="BQ1025" s="8">
        <v>8</v>
      </c>
      <c r="BR1025" s="8" t="s">
        <v>2110</v>
      </c>
    </row>
    <row r="1026" spans="1:70" x14ac:dyDescent="0.3">
      <c r="A1026" s="11" t="s">
        <v>2111</v>
      </c>
      <c r="B1026" s="12">
        <v>196400</v>
      </c>
      <c r="C1026" s="12">
        <v>657200</v>
      </c>
      <c r="D1026" s="12">
        <v>7.0000000000000007E-2</v>
      </c>
      <c r="E1026" s="12">
        <v>0.16</v>
      </c>
      <c r="F1026" s="12">
        <v>0.05</v>
      </c>
      <c r="G1026" s="12">
        <v>0.08</v>
      </c>
      <c r="H1026" s="12">
        <v>0.2</v>
      </c>
      <c r="I1026" s="12">
        <v>0.06</v>
      </c>
      <c r="J1026" s="12">
        <v>0.1</v>
      </c>
      <c r="K1026" s="12">
        <v>0.26</v>
      </c>
      <c r="L1026" s="12">
        <v>0.08</v>
      </c>
      <c r="M1026" s="8">
        <v>8</v>
      </c>
      <c r="N1026">
        <v>9</v>
      </c>
      <c r="O1026" s="12">
        <v>12</v>
      </c>
      <c r="BQ1026" s="8">
        <v>7</v>
      </c>
      <c r="BR1026" s="8" t="s">
        <v>2112</v>
      </c>
    </row>
    <row r="1027" spans="1:70" x14ac:dyDescent="0.3">
      <c r="A1027" s="11" t="s">
        <v>2113</v>
      </c>
      <c r="B1027" s="12">
        <v>190900</v>
      </c>
      <c r="C1027" s="12">
        <v>701100</v>
      </c>
      <c r="D1027" s="12">
        <v>7.0000000000000007E-2</v>
      </c>
      <c r="E1027" s="12">
        <v>0.17</v>
      </c>
      <c r="F1027" s="12">
        <v>0.05</v>
      </c>
      <c r="G1027" s="12">
        <v>0.09</v>
      </c>
      <c r="H1027" s="12">
        <v>0.22</v>
      </c>
      <c r="I1027" s="12">
        <v>0.06</v>
      </c>
      <c r="J1027" s="12">
        <v>0.12</v>
      </c>
      <c r="K1027" s="12">
        <v>0.3</v>
      </c>
      <c r="L1027" s="12">
        <v>0.08</v>
      </c>
      <c r="M1027" s="8">
        <v>8</v>
      </c>
      <c r="N1027">
        <v>9</v>
      </c>
      <c r="O1027" s="12">
        <v>12</v>
      </c>
      <c r="BQ1027" s="8">
        <v>8</v>
      </c>
      <c r="BR1027" s="8" t="s">
        <v>2114</v>
      </c>
    </row>
    <row r="1028" spans="1:70" x14ac:dyDescent="0.3">
      <c r="A1028" s="11" t="s">
        <v>2115</v>
      </c>
      <c r="B1028" s="12">
        <v>205000</v>
      </c>
      <c r="C1028" s="12">
        <v>663200</v>
      </c>
      <c r="D1028" s="12">
        <v>0.08</v>
      </c>
      <c r="E1028" s="12">
        <v>0.19</v>
      </c>
      <c r="F1028" s="12">
        <v>0.05</v>
      </c>
      <c r="G1028" s="12">
        <v>0.09</v>
      </c>
      <c r="H1028" s="12">
        <v>0.24</v>
      </c>
      <c r="I1028" s="12">
        <v>0.06</v>
      </c>
      <c r="J1028" s="12">
        <v>0.12</v>
      </c>
      <c r="K1028" s="12">
        <v>0.31</v>
      </c>
      <c r="L1028" s="12">
        <v>0.09</v>
      </c>
      <c r="M1028" s="8">
        <v>7</v>
      </c>
      <c r="N1028">
        <v>9</v>
      </c>
      <c r="O1028" s="12">
        <v>11</v>
      </c>
      <c r="BQ1028" s="8">
        <v>8</v>
      </c>
      <c r="BR1028" s="8" t="s">
        <v>2116</v>
      </c>
    </row>
    <row r="1029" spans="1:70" x14ac:dyDescent="0.3">
      <c r="A1029" s="11" t="s">
        <v>2117</v>
      </c>
      <c r="B1029" s="12">
        <v>163000</v>
      </c>
      <c r="C1029" s="12">
        <v>581800</v>
      </c>
      <c r="D1029" s="12">
        <v>0.05</v>
      </c>
      <c r="E1029" s="12">
        <v>0.11</v>
      </c>
      <c r="F1029" s="12">
        <v>0.04</v>
      </c>
      <c r="G1029" s="12">
        <v>0.06</v>
      </c>
      <c r="H1029" s="12">
        <v>0.14000000000000001</v>
      </c>
      <c r="I1029" s="12">
        <v>0.05</v>
      </c>
      <c r="J1029" s="12">
        <v>0.08</v>
      </c>
      <c r="K1029" s="12">
        <v>0.19</v>
      </c>
      <c r="L1029" s="12">
        <v>0.06</v>
      </c>
      <c r="M1029" s="8">
        <v>8</v>
      </c>
      <c r="N1029">
        <v>10</v>
      </c>
      <c r="O1029" s="12">
        <v>13</v>
      </c>
      <c r="BQ1029" s="8">
        <v>7</v>
      </c>
      <c r="BR1029" s="8" t="s">
        <v>2118</v>
      </c>
    </row>
    <row r="1030" spans="1:70" x14ac:dyDescent="0.3">
      <c r="A1030" s="11" t="s">
        <v>2119</v>
      </c>
      <c r="B1030" s="12">
        <v>188900</v>
      </c>
      <c r="C1030" s="12">
        <v>640700</v>
      </c>
      <c r="D1030" s="12">
        <v>0.06</v>
      </c>
      <c r="E1030" s="12">
        <v>0.15</v>
      </c>
      <c r="F1030" s="12">
        <v>0.04</v>
      </c>
      <c r="G1030" s="12">
        <v>7.0000000000000007E-2</v>
      </c>
      <c r="H1030" s="12">
        <v>0.18</v>
      </c>
      <c r="I1030" s="12">
        <v>0.05</v>
      </c>
      <c r="J1030" s="12">
        <v>0.09</v>
      </c>
      <c r="K1030" s="12">
        <v>0.24</v>
      </c>
      <c r="L1030" s="12">
        <v>7.0000000000000007E-2</v>
      </c>
      <c r="M1030" s="8">
        <v>8</v>
      </c>
      <c r="N1030">
        <v>10</v>
      </c>
      <c r="O1030" s="12">
        <v>12</v>
      </c>
      <c r="BQ1030" s="8">
        <v>5</v>
      </c>
      <c r="BR1030" s="8" t="s">
        <v>2120</v>
      </c>
    </row>
    <row r="1031" spans="1:70" x14ac:dyDescent="0.3">
      <c r="A1031" s="11" t="s">
        <v>2121</v>
      </c>
      <c r="B1031" s="12">
        <v>195700</v>
      </c>
      <c r="C1031" s="12">
        <v>722800</v>
      </c>
      <c r="D1031" s="12">
        <v>0.09</v>
      </c>
      <c r="E1031" s="12">
        <v>0.22</v>
      </c>
      <c r="F1031" s="12">
        <v>0.05</v>
      </c>
      <c r="G1031" s="12">
        <v>0.12</v>
      </c>
      <c r="H1031" s="12">
        <v>0.3</v>
      </c>
      <c r="I1031" s="12">
        <v>7.0000000000000007E-2</v>
      </c>
      <c r="J1031" s="12">
        <v>0.16</v>
      </c>
      <c r="K1031" s="12">
        <v>0.41</v>
      </c>
      <c r="L1031" s="12">
        <v>0.1</v>
      </c>
      <c r="M1031" s="8">
        <v>7</v>
      </c>
      <c r="N1031">
        <v>9</v>
      </c>
      <c r="O1031" s="12">
        <v>10</v>
      </c>
      <c r="BQ1031" s="8">
        <v>5</v>
      </c>
      <c r="BR1031" s="8" t="s">
        <v>2122</v>
      </c>
    </row>
    <row r="1032" spans="1:70" x14ac:dyDescent="0.3">
      <c r="A1032" s="11" t="s">
        <v>2123</v>
      </c>
      <c r="B1032" s="12">
        <v>251500</v>
      </c>
      <c r="C1032" s="12">
        <v>736200</v>
      </c>
      <c r="D1032" s="12">
        <v>0.25</v>
      </c>
      <c r="E1032" s="12">
        <v>0.63</v>
      </c>
      <c r="F1032" s="12">
        <v>0.12</v>
      </c>
      <c r="G1032" s="12">
        <v>0.33</v>
      </c>
      <c r="H1032" s="12">
        <v>0.84</v>
      </c>
      <c r="I1032" s="12">
        <v>0.16</v>
      </c>
      <c r="J1032" s="12">
        <v>0.45</v>
      </c>
      <c r="K1032" s="12">
        <v>1.1399999999999999</v>
      </c>
      <c r="L1032" s="12">
        <v>0.24</v>
      </c>
      <c r="M1032" s="8">
        <v>5</v>
      </c>
      <c r="N1032">
        <v>5</v>
      </c>
      <c r="O1032" s="12">
        <v>6</v>
      </c>
      <c r="BQ1032" s="8">
        <v>5</v>
      </c>
      <c r="BR1032" s="8" t="s">
        <v>2124</v>
      </c>
    </row>
    <row r="1033" spans="1:70" x14ac:dyDescent="0.3">
      <c r="A1033" s="11" t="s">
        <v>2125</v>
      </c>
      <c r="B1033" s="12">
        <v>250800</v>
      </c>
      <c r="C1033" s="12">
        <v>738900</v>
      </c>
      <c r="D1033" s="12">
        <v>0.25</v>
      </c>
      <c r="E1033" s="12">
        <v>0.63</v>
      </c>
      <c r="F1033" s="12">
        <v>0.12</v>
      </c>
      <c r="G1033" s="12">
        <v>0.33</v>
      </c>
      <c r="H1033" s="12">
        <v>0.83</v>
      </c>
      <c r="I1033" s="12">
        <v>0.16</v>
      </c>
      <c r="J1033" s="12">
        <v>0.44</v>
      </c>
      <c r="K1033" s="12">
        <v>1.1399999999999999</v>
      </c>
      <c r="L1033" s="12">
        <v>0.24</v>
      </c>
      <c r="M1033" s="8">
        <v>5</v>
      </c>
      <c r="N1033">
        <v>5</v>
      </c>
      <c r="O1033" s="12">
        <v>6</v>
      </c>
      <c r="BQ1033" s="8">
        <v>8</v>
      </c>
      <c r="BR1033" s="8" t="s">
        <v>2126</v>
      </c>
    </row>
    <row r="1034" spans="1:70" x14ac:dyDescent="0.3">
      <c r="A1034" s="11" t="s">
        <v>2127</v>
      </c>
      <c r="B1034" s="12">
        <v>251500</v>
      </c>
      <c r="C1034" s="12">
        <v>737500</v>
      </c>
      <c r="D1034" s="12">
        <v>0.26</v>
      </c>
      <c r="E1034" s="12">
        <v>0.63</v>
      </c>
      <c r="F1034" s="12">
        <v>0.12</v>
      </c>
      <c r="G1034" s="12">
        <v>0.33</v>
      </c>
      <c r="H1034" s="12">
        <v>0.84</v>
      </c>
      <c r="I1034" s="12">
        <v>0.16</v>
      </c>
      <c r="J1034" s="12">
        <v>0.45</v>
      </c>
      <c r="K1034" s="12">
        <v>1.1499999999999999</v>
      </c>
      <c r="L1034" s="12">
        <v>0.24</v>
      </c>
      <c r="M1034" s="8">
        <v>5</v>
      </c>
      <c r="N1034">
        <v>5</v>
      </c>
      <c r="O1034" s="12">
        <v>6</v>
      </c>
      <c r="BQ1034" s="8">
        <v>8</v>
      </c>
      <c r="BR1034" s="8" t="s">
        <v>2128</v>
      </c>
    </row>
    <row r="1035" spans="1:70" x14ac:dyDescent="0.3">
      <c r="A1035" s="11" t="s">
        <v>2129</v>
      </c>
      <c r="B1035" s="12">
        <v>195300</v>
      </c>
      <c r="C1035" s="12">
        <v>686300</v>
      </c>
      <c r="D1035" s="12">
        <v>7.0000000000000007E-2</v>
      </c>
      <c r="E1035" s="12">
        <v>0.17</v>
      </c>
      <c r="F1035" s="12">
        <v>0.05</v>
      </c>
      <c r="G1035" s="12">
        <v>0.09</v>
      </c>
      <c r="H1035" s="12">
        <v>0.21</v>
      </c>
      <c r="I1035" s="12">
        <v>0.06</v>
      </c>
      <c r="J1035" s="12">
        <v>0.11</v>
      </c>
      <c r="K1035" s="12">
        <v>0.28000000000000003</v>
      </c>
      <c r="L1035" s="12">
        <v>0.08</v>
      </c>
      <c r="M1035" s="8">
        <v>8</v>
      </c>
      <c r="N1035">
        <v>9</v>
      </c>
      <c r="O1035" s="12">
        <v>12</v>
      </c>
      <c r="BQ1035" s="8">
        <v>7</v>
      </c>
      <c r="BR1035" s="8" t="s">
        <v>2130</v>
      </c>
    </row>
    <row r="1036" spans="1:70" x14ac:dyDescent="0.3">
      <c r="A1036" s="11" t="s">
        <v>2131</v>
      </c>
      <c r="B1036" s="12">
        <v>158000</v>
      </c>
      <c r="C1036" s="12">
        <v>582000</v>
      </c>
      <c r="D1036" s="12">
        <v>0.05</v>
      </c>
      <c r="E1036" s="12">
        <v>0.11</v>
      </c>
      <c r="F1036" s="12">
        <v>0.03</v>
      </c>
      <c r="G1036" s="12">
        <v>0.06</v>
      </c>
      <c r="H1036" s="12">
        <v>0.13</v>
      </c>
      <c r="I1036" s="12">
        <v>0.04</v>
      </c>
      <c r="J1036" s="12">
        <v>7.0000000000000007E-2</v>
      </c>
      <c r="K1036" s="12">
        <v>0.18</v>
      </c>
      <c r="L1036" s="12">
        <v>0.06</v>
      </c>
      <c r="M1036" s="8">
        <v>8</v>
      </c>
      <c r="N1036">
        <v>10</v>
      </c>
      <c r="O1036" s="12">
        <v>13</v>
      </c>
      <c r="BQ1036" s="8">
        <v>8</v>
      </c>
      <c r="BR1036" s="8" t="s">
        <v>2132</v>
      </c>
    </row>
    <row r="1037" spans="1:70" x14ac:dyDescent="0.3">
      <c r="A1037" s="11" t="s">
        <v>2133</v>
      </c>
      <c r="B1037" s="12">
        <v>222100</v>
      </c>
      <c r="C1037" s="12">
        <v>759900</v>
      </c>
      <c r="D1037" s="12">
        <v>0.13</v>
      </c>
      <c r="E1037" s="12">
        <v>0.33</v>
      </c>
      <c r="F1037" s="12">
        <v>7.0000000000000007E-2</v>
      </c>
      <c r="G1037" s="12">
        <v>0.16</v>
      </c>
      <c r="H1037" s="12">
        <v>0.41</v>
      </c>
      <c r="I1037" s="12">
        <v>0.09</v>
      </c>
      <c r="J1037" s="12">
        <v>0.21</v>
      </c>
      <c r="K1037" s="12">
        <v>0.55000000000000004</v>
      </c>
      <c r="L1037" s="12">
        <v>0.12</v>
      </c>
      <c r="M1037" s="8">
        <v>7</v>
      </c>
      <c r="N1037">
        <v>8</v>
      </c>
      <c r="O1037" s="12">
        <v>10</v>
      </c>
      <c r="BQ1037" s="8">
        <v>7</v>
      </c>
      <c r="BR1037" s="8" t="s">
        <v>2134</v>
      </c>
    </row>
    <row r="1038" spans="1:70" x14ac:dyDescent="0.3">
      <c r="A1038" s="11" t="s">
        <v>2135</v>
      </c>
      <c r="B1038" s="12">
        <v>172400</v>
      </c>
      <c r="C1038" s="12">
        <v>649000</v>
      </c>
      <c r="D1038" s="12">
        <v>0.06</v>
      </c>
      <c r="E1038" s="12">
        <v>0.13</v>
      </c>
      <c r="F1038" s="12">
        <v>0.04</v>
      </c>
      <c r="G1038" s="12">
        <v>7.0000000000000007E-2</v>
      </c>
      <c r="H1038" s="12">
        <v>0.17</v>
      </c>
      <c r="I1038" s="12">
        <v>0.05</v>
      </c>
      <c r="J1038" s="12">
        <v>0.09</v>
      </c>
      <c r="K1038" s="12">
        <v>0.23</v>
      </c>
      <c r="L1038" s="12">
        <v>7.0000000000000007E-2</v>
      </c>
      <c r="M1038" s="8">
        <v>8</v>
      </c>
      <c r="N1038">
        <v>10</v>
      </c>
      <c r="O1038" s="12">
        <v>13</v>
      </c>
      <c r="BQ1038" s="8">
        <v>6</v>
      </c>
      <c r="BR1038" s="8" t="s">
        <v>2136</v>
      </c>
    </row>
    <row r="1039" spans="1:70" x14ac:dyDescent="0.3">
      <c r="A1039" s="11" t="s">
        <v>2137</v>
      </c>
      <c r="B1039" s="12">
        <v>216100</v>
      </c>
      <c r="C1039" s="12">
        <v>599800</v>
      </c>
      <c r="D1039" s="12">
        <v>0.1</v>
      </c>
      <c r="E1039" s="12">
        <v>0.25</v>
      </c>
      <c r="F1039" s="12">
        <v>0.05</v>
      </c>
      <c r="G1039" s="12">
        <v>0.12</v>
      </c>
      <c r="H1039" s="12">
        <v>0.32</v>
      </c>
      <c r="I1039" s="12">
        <v>7.0000000000000007E-2</v>
      </c>
      <c r="J1039" s="12">
        <v>0.16</v>
      </c>
      <c r="K1039" s="12">
        <v>0.42</v>
      </c>
      <c r="L1039" s="12">
        <v>0.1</v>
      </c>
      <c r="M1039" s="8">
        <v>7</v>
      </c>
      <c r="N1039">
        <v>8</v>
      </c>
      <c r="O1039" s="12">
        <v>10</v>
      </c>
      <c r="BQ1039" s="8">
        <v>7</v>
      </c>
      <c r="BR1039" s="8" t="s">
        <v>2138</v>
      </c>
    </row>
    <row r="1040" spans="1:70" x14ac:dyDescent="0.3">
      <c r="A1040" s="11" t="s">
        <v>2139</v>
      </c>
      <c r="B1040" s="12">
        <v>221500</v>
      </c>
      <c r="C1040" s="12">
        <v>644900</v>
      </c>
      <c r="D1040" s="12">
        <v>0.11</v>
      </c>
      <c r="E1040" s="12">
        <v>0.27</v>
      </c>
      <c r="F1040" s="12">
        <v>0.06</v>
      </c>
      <c r="G1040" s="12">
        <v>0.14000000000000001</v>
      </c>
      <c r="H1040" s="12">
        <v>0.35</v>
      </c>
      <c r="I1040" s="12">
        <v>0.08</v>
      </c>
      <c r="J1040" s="12">
        <v>0.18</v>
      </c>
      <c r="K1040" s="12">
        <v>0.47</v>
      </c>
      <c r="L1040" s="12">
        <v>0.11</v>
      </c>
      <c r="M1040" s="8">
        <v>6</v>
      </c>
      <c r="N1040">
        <v>8</v>
      </c>
      <c r="O1040" s="12">
        <v>9</v>
      </c>
      <c r="BQ1040" s="8">
        <v>8</v>
      </c>
      <c r="BR1040" s="8" t="s">
        <v>2140</v>
      </c>
    </row>
    <row r="1041" spans="1:70" x14ac:dyDescent="0.3">
      <c r="A1041" s="11" t="s">
        <v>2141</v>
      </c>
      <c r="B1041" s="12">
        <v>229200</v>
      </c>
      <c r="C1041" s="12">
        <v>772800</v>
      </c>
      <c r="D1041" s="12">
        <v>0.13</v>
      </c>
      <c r="E1041" s="12">
        <v>0.33</v>
      </c>
      <c r="F1041" s="12">
        <v>7.0000000000000007E-2</v>
      </c>
      <c r="G1041" s="12">
        <v>0.16</v>
      </c>
      <c r="H1041" s="12">
        <v>0.42</v>
      </c>
      <c r="I1041" s="12">
        <v>0.09</v>
      </c>
      <c r="J1041" s="12">
        <v>0.21</v>
      </c>
      <c r="K1041" s="12">
        <v>0.55000000000000004</v>
      </c>
      <c r="L1041" s="12">
        <v>0.12</v>
      </c>
      <c r="M1041" s="8">
        <v>7</v>
      </c>
      <c r="N1041">
        <v>8</v>
      </c>
      <c r="O1041" s="12">
        <v>10</v>
      </c>
      <c r="BQ1041" s="8">
        <v>5</v>
      </c>
      <c r="BR1041" s="8" t="s">
        <v>2142</v>
      </c>
    </row>
    <row r="1042" spans="1:70" x14ac:dyDescent="0.3">
      <c r="A1042" s="11" t="s">
        <v>2143</v>
      </c>
      <c r="B1042" s="12">
        <v>170800</v>
      </c>
      <c r="C1042" s="12">
        <v>594100</v>
      </c>
      <c r="D1042" s="12">
        <v>0.06</v>
      </c>
      <c r="E1042" s="12">
        <v>0.14000000000000001</v>
      </c>
      <c r="F1042" s="12">
        <v>0.04</v>
      </c>
      <c r="G1042" s="12">
        <v>0.08</v>
      </c>
      <c r="H1042" s="12">
        <v>0.19</v>
      </c>
      <c r="I1042" s="12">
        <v>0.05</v>
      </c>
      <c r="J1042" s="12">
        <v>0.11</v>
      </c>
      <c r="K1042" s="12">
        <v>0.26</v>
      </c>
      <c r="L1042" s="12">
        <v>7.0000000000000007E-2</v>
      </c>
      <c r="M1042" s="8">
        <v>8</v>
      </c>
      <c r="N1042">
        <v>10</v>
      </c>
      <c r="O1042" s="12">
        <v>12</v>
      </c>
      <c r="BQ1042" s="8">
        <v>6</v>
      </c>
      <c r="BR1042" s="8" t="s">
        <v>2144</v>
      </c>
    </row>
    <row r="1043" spans="1:70" x14ac:dyDescent="0.3">
      <c r="A1043" s="11" t="s">
        <v>2145</v>
      </c>
      <c r="B1043" s="12">
        <v>241900</v>
      </c>
      <c r="C1043" s="12">
        <v>661200</v>
      </c>
      <c r="D1043" s="12">
        <v>0.22</v>
      </c>
      <c r="E1043" s="12">
        <v>0.56000000000000005</v>
      </c>
      <c r="F1043" s="12">
        <v>0.11</v>
      </c>
      <c r="G1043" s="12">
        <v>0.28999999999999998</v>
      </c>
      <c r="H1043" s="12">
        <v>0.74</v>
      </c>
      <c r="I1043" s="12">
        <v>0.14000000000000001</v>
      </c>
      <c r="J1043" s="12">
        <v>0.39</v>
      </c>
      <c r="K1043" s="12">
        <v>1.02</v>
      </c>
      <c r="L1043" s="12">
        <v>0.21</v>
      </c>
      <c r="M1043" s="8">
        <v>5</v>
      </c>
      <c r="N1043">
        <v>5</v>
      </c>
      <c r="O1043" s="12">
        <v>6</v>
      </c>
      <c r="BQ1043" s="8">
        <v>6</v>
      </c>
      <c r="BR1043" s="8" t="s">
        <v>2146</v>
      </c>
    </row>
    <row r="1044" spans="1:70" x14ac:dyDescent="0.3">
      <c r="A1044" s="11" t="s">
        <v>2147</v>
      </c>
      <c r="B1044" s="12">
        <v>231800</v>
      </c>
      <c r="C1044" s="12">
        <v>764400</v>
      </c>
      <c r="D1044" s="12">
        <v>0.14000000000000001</v>
      </c>
      <c r="E1044" s="12">
        <v>0.36</v>
      </c>
      <c r="F1044" s="12">
        <v>7.0000000000000007E-2</v>
      </c>
      <c r="G1044" s="12">
        <v>0.18</v>
      </c>
      <c r="H1044" s="12">
        <v>0.45</v>
      </c>
      <c r="I1044" s="12">
        <v>0.09</v>
      </c>
      <c r="J1044" s="12">
        <v>0.23</v>
      </c>
      <c r="K1044" s="12">
        <v>0.59</v>
      </c>
      <c r="L1044" s="12">
        <v>0.13</v>
      </c>
      <c r="M1044" s="8">
        <v>6</v>
      </c>
      <c r="N1044">
        <v>8</v>
      </c>
      <c r="O1044" s="12">
        <v>10</v>
      </c>
      <c r="BQ1044" s="8">
        <v>7</v>
      </c>
      <c r="BR1044" s="8" t="s">
        <v>2148</v>
      </c>
    </row>
    <row r="1045" spans="1:70" x14ac:dyDescent="0.3">
      <c r="A1045" s="11" t="s">
        <v>2149</v>
      </c>
      <c r="B1045" s="12">
        <v>230900</v>
      </c>
      <c r="C1045" s="12">
        <v>765300</v>
      </c>
      <c r="D1045" s="12">
        <v>0.14000000000000001</v>
      </c>
      <c r="E1045" s="12">
        <v>0.35</v>
      </c>
      <c r="F1045" s="12">
        <v>7.0000000000000007E-2</v>
      </c>
      <c r="G1045" s="12">
        <v>0.17</v>
      </c>
      <c r="H1045" s="12">
        <v>0.44</v>
      </c>
      <c r="I1045" s="12">
        <v>0.09</v>
      </c>
      <c r="J1045" s="12">
        <v>0.22</v>
      </c>
      <c r="K1045" s="12">
        <v>0.57999999999999996</v>
      </c>
      <c r="L1045" s="12">
        <v>0.13</v>
      </c>
      <c r="M1045" s="8">
        <v>6</v>
      </c>
      <c r="N1045">
        <v>8</v>
      </c>
      <c r="O1045" s="12">
        <v>10</v>
      </c>
      <c r="BQ1045" s="8">
        <v>8</v>
      </c>
      <c r="BR1045" s="8" t="s">
        <v>2150</v>
      </c>
    </row>
    <row r="1046" spans="1:70" x14ac:dyDescent="0.3">
      <c r="A1046" s="11" t="s">
        <v>2151</v>
      </c>
      <c r="B1046" s="12">
        <v>197600</v>
      </c>
      <c r="C1046" s="12">
        <v>709200</v>
      </c>
      <c r="D1046" s="12">
        <v>0.08</v>
      </c>
      <c r="E1046" s="12">
        <v>0.2</v>
      </c>
      <c r="F1046" s="12">
        <v>0.05</v>
      </c>
      <c r="G1046" s="12">
        <v>0.1</v>
      </c>
      <c r="H1046" s="12">
        <v>0.26</v>
      </c>
      <c r="I1046" s="12">
        <v>7.0000000000000007E-2</v>
      </c>
      <c r="J1046" s="12">
        <v>0.13</v>
      </c>
      <c r="K1046" s="12">
        <v>0.34</v>
      </c>
      <c r="L1046" s="12">
        <v>0.09</v>
      </c>
      <c r="M1046" s="8">
        <v>7</v>
      </c>
      <c r="N1046">
        <v>9</v>
      </c>
      <c r="O1046" s="12">
        <v>11</v>
      </c>
      <c r="BQ1046" s="8">
        <v>6</v>
      </c>
      <c r="BR1046" s="8" t="s">
        <v>2152</v>
      </c>
    </row>
    <row r="1047" spans="1:70" x14ac:dyDescent="0.3">
      <c r="A1047" s="11" t="s">
        <v>2153</v>
      </c>
      <c r="B1047" s="12">
        <v>191900</v>
      </c>
      <c r="C1047" s="12">
        <v>689600</v>
      </c>
      <c r="D1047" s="12">
        <v>7.0000000000000007E-2</v>
      </c>
      <c r="E1047" s="12">
        <v>0.17</v>
      </c>
      <c r="F1047" s="12">
        <v>0.05</v>
      </c>
      <c r="G1047" s="12">
        <v>0.08</v>
      </c>
      <c r="H1047" s="12">
        <v>0.21</v>
      </c>
      <c r="I1047" s="12">
        <v>0.06</v>
      </c>
      <c r="J1047" s="12">
        <v>0.11</v>
      </c>
      <c r="K1047" s="12">
        <v>0.27</v>
      </c>
      <c r="L1047" s="12">
        <v>0.08</v>
      </c>
      <c r="M1047" s="8">
        <v>8</v>
      </c>
      <c r="N1047">
        <v>9</v>
      </c>
      <c r="O1047" s="12">
        <v>12</v>
      </c>
      <c r="BQ1047" s="8">
        <v>6</v>
      </c>
      <c r="BR1047" s="8" t="s">
        <v>2154</v>
      </c>
    </row>
    <row r="1048" spans="1:70" x14ac:dyDescent="0.3">
      <c r="A1048" s="11" t="s">
        <v>2155</v>
      </c>
      <c r="B1048" s="12">
        <v>240900</v>
      </c>
      <c r="C1048" s="12">
        <v>759700</v>
      </c>
      <c r="D1048" s="12">
        <v>0.18</v>
      </c>
      <c r="E1048" s="12">
        <v>0.45</v>
      </c>
      <c r="F1048" s="12">
        <v>0.09</v>
      </c>
      <c r="G1048" s="12">
        <v>0.22</v>
      </c>
      <c r="H1048" s="12">
        <v>0.57999999999999996</v>
      </c>
      <c r="I1048" s="12">
        <v>0.12</v>
      </c>
      <c r="J1048" s="12">
        <v>0.28999999999999998</v>
      </c>
      <c r="K1048" s="12">
        <v>0.77</v>
      </c>
      <c r="L1048" s="12">
        <v>0.16</v>
      </c>
      <c r="M1048" s="8">
        <v>6</v>
      </c>
      <c r="N1048">
        <v>7</v>
      </c>
      <c r="O1048" s="12">
        <v>8</v>
      </c>
      <c r="BQ1048" s="8">
        <v>9</v>
      </c>
      <c r="BR1048" s="8" t="s">
        <v>2156</v>
      </c>
    </row>
    <row r="1049" spans="1:70" x14ac:dyDescent="0.3">
      <c r="A1049" s="11" t="s">
        <v>2157</v>
      </c>
      <c r="B1049" s="12">
        <v>229500</v>
      </c>
      <c r="C1049" s="12">
        <v>716700</v>
      </c>
      <c r="D1049" s="12">
        <v>0.16</v>
      </c>
      <c r="E1049" s="12">
        <v>0.41</v>
      </c>
      <c r="F1049" s="12">
        <v>0.08</v>
      </c>
      <c r="G1049" s="12">
        <v>0.22</v>
      </c>
      <c r="H1049" s="12">
        <v>0.55000000000000004</v>
      </c>
      <c r="I1049" s="12">
        <v>0.11</v>
      </c>
      <c r="J1049" s="12">
        <v>0.3</v>
      </c>
      <c r="K1049" s="12">
        <v>0.77</v>
      </c>
      <c r="L1049" s="12">
        <v>0.16</v>
      </c>
      <c r="M1049" s="8">
        <v>6</v>
      </c>
      <c r="N1049">
        <v>7</v>
      </c>
      <c r="O1049" s="12">
        <v>8</v>
      </c>
      <c r="BQ1049" s="8">
        <v>8</v>
      </c>
      <c r="BR1049" s="8" t="s">
        <v>2158</v>
      </c>
    </row>
    <row r="1050" spans="1:70" x14ac:dyDescent="0.3">
      <c r="A1050" s="11" t="s">
        <v>2159</v>
      </c>
      <c r="B1050" s="12">
        <v>138500</v>
      </c>
      <c r="C1050" s="12">
        <v>570300</v>
      </c>
      <c r="D1050" s="12">
        <v>0.04</v>
      </c>
      <c r="E1050" s="12">
        <v>0.09</v>
      </c>
      <c r="F1050" s="12">
        <v>0.03</v>
      </c>
      <c r="G1050" s="12">
        <v>0.05</v>
      </c>
      <c r="H1050" s="12">
        <v>0.11</v>
      </c>
      <c r="I1050" s="12">
        <v>0.04</v>
      </c>
      <c r="J1050" s="12">
        <v>0.06</v>
      </c>
      <c r="K1050" s="12">
        <v>0.14000000000000001</v>
      </c>
      <c r="L1050" s="12">
        <v>0.05</v>
      </c>
      <c r="M1050" s="8">
        <v>9</v>
      </c>
      <c r="N1050">
        <v>11</v>
      </c>
      <c r="O1050" s="12">
        <v>14</v>
      </c>
      <c r="BQ1050" s="8">
        <v>8</v>
      </c>
      <c r="BR1050" s="8" t="s">
        <v>2160</v>
      </c>
    </row>
    <row r="1051" spans="1:70" x14ac:dyDescent="0.3">
      <c r="A1051" s="11" t="s">
        <v>2161</v>
      </c>
      <c r="B1051" s="12">
        <v>189600</v>
      </c>
      <c r="C1051" s="12">
        <v>666000</v>
      </c>
      <c r="D1051" s="12">
        <v>0.06</v>
      </c>
      <c r="E1051" s="12">
        <v>0.15</v>
      </c>
      <c r="F1051" s="12">
        <v>0.04</v>
      </c>
      <c r="G1051" s="12">
        <v>0.08</v>
      </c>
      <c r="H1051" s="12">
        <v>0.19</v>
      </c>
      <c r="I1051" s="12">
        <v>0.06</v>
      </c>
      <c r="J1051" s="12">
        <v>0.1</v>
      </c>
      <c r="K1051" s="12">
        <v>0.25</v>
      </c>
      <c r="L1051" s="12">
        <v>0.08</v>
      </c>
      <c r="M1051" s="8">
        <v>8</v>
      </c>
      <c r="N1051">
        <v>10</v>
      </c>
      <c r="O1051" s="12">
        <v>12</v>
      </c>
      <c r="BQ1051" s="8">
        <v>9</v>
      </c>
      <c r="BR1051" s="8" t="s">
        <v>2162</v>
      </c>
    </row>
    <row r="1052" spans="1:70" x14ac:dyDescent="0.3">
      <c r="A1052" s="11" t="s">
        <v>2163</v>
      </c>
      <c r="B1052" s="12">
        <v>189200</v>
      </c>
      <c r="C1052" s="12">
        <v>641400</v>
      </c>
      <c r="D1052" s="12">
        <v>0.06</v>
      </c>
      <c r="E1052" s="12">
        <v>0.15</v>
      </c>
      <c r="F1052" s="12">
        <v>0.04</v>
      </c>
      <c r="G1052" s="12">
        <v>7.0000000000000007E-2</v>
      </c>
      <c r="H1052" s="12">
        <v>0.18</v>
      </c>
      <c r="I1052" s="12">
        <v>0.05</v>
      </c>
      <c r="J1052" s="12">
        <v>0.09</v>
      </c>
      <c r="K1052" s="12">
        <v>0.24</v>
      </c>
      <c r="L1052" s="12">
        <v>7.0000000000000007E-2</v>
      </c>
      <c r="M1052" s="8">
        <v>8</v>
      </c>
      <c r="N1052">
        <v>10</v>
      </c>
      <c r="O1052" s="12">
        <v>12</v>
      </c>
      <c r="BQ1052" s="8">
        <v>6</v>
      </c>
      <c r="BR1052" s="8" t="s">
        <v>2164</v>
      </c>
    </row>
    <row r="1053" spans="1:70" x14ac:dyDescent="0.3">
      <c r="A1053" s="11" t="s">
        <v>2165</v>
      </c>
      <c r="B1053" s="12">
        <v>155700</v>
      </c>
      <c r="C1053" s="12">
        <v>568200</v>
      </c>
      <c r="D1053" s="12">
        <v>0.04</v>
      </c>
      <c r="E1053" s="12">
        <v>0.1</v>
      </c>
      <c r="F1053" s="12">
        <v>0.03</v>
      </c>
      <c r="G1053" s="12">
        <v>0.05</v>
      </c>
      <c r="H1053" s="12">
        <v>0.12</v>
      </c>
      <c r="I1053" s="12">
        <v>0.04</v>
      </c>
      <c r="J1053" s="12">
        <v>7.0000000000000007E-2</v>
      </c>
      <c r="K1053" s="12">
        <v>0.16</v>
      </c>
      <c r="L1053" s="12">
        <v>0.06</v>
      </c>
      <c r="M1053" s="8">
        <v>9</v>
      </c>
      <c r="N1053">
        <v>10</v>
      </c>
      <c r="O1053" s="12">
        <v>13</v>
      </c>
      <c r="BQ1053" s="8">
        <v>6</v>
      </c>
      <c r="BR1053" s="8" t="s">
        <v>2166</v>
      </c>
    </row>
    <row r="1054" spans="1:70" x14ac:dyDescent="0.3">
      <c r="A1054" s="11" t="s">
        <v>2167</v>
      </c>
      <c r="B1054" s="12">
        <v>231400</v>
      </c>
      <c r="C1054" s="12">
        <v>755100</v>
      </c>
      <c r="D1054" s="12">
        <v>0.14000000000000001</v>
      </c>
      <c r="E1054" s="12">
        <v>0.36</v>
      </c>
      <c r="F1054" s="12">
        <v>7.0000000000000007E-2</v>
      </c>
      <c r="G1054" s="12">
        <v>0.18</v>
      </c>
      <c r="H1054" s="12">
        <v>0.46</v>
      </c>
      <c r="I1054" s="12">
        <v>0.1</v>
      </c>
      <c r="J1054" s="12">
        <v>0.23</v>
      </c>
      <c r="K1054" s="12">
        <v>0.6</v>
      </c>
      <c r="L1054" s="12">
        <v>0.13</v>
      </c>
      <c r="M1054" s="8">
        <v>6</v>
      </c>
      <c r="N1054">
        <v>8</v>
      </c>
      <c r="O1054" s="12">
        <v>9</v>
      </c>
      <c r="BQ1054" s="8">
        <v>7</v>
      </c>
      <c r="BR1054" s="8" t="s">
        <v>2168</v>
      </c>
    </row>
    <row r="1055" spans="1:70" x14ac:dyDescent="0.3">
      <c r="A1055" s="11" t="s">
        <v>2169</v>
      </c>
      <c r="B1055" s="12">
        <v>239400</v>
      </c>
      <c r="C1055" s="12">
        <v>770100</v>
      </c>
      <c r="D1055" s="12">
        <v>0.17</v>
      </c>
      <c r="E1055" s="12">
        <v>0.43</v>
      </c>
      <c r="F1055" s="12">
        <v>0.08</v>
      </c>
      <c r="G1055" s="12">
        <v>0.21</v>
      </c>
      <c r="H1055" s="12">
        <v>0.54</v>
      </c>
      <c r="I1055" s="12">
        <v>0.11</v>
      </c>
      <c r="J1055" s="12">
        <v>0.27</v>
      </c>
      <c r="K1055" s="12">
        <v>0.72</v>
      </c>
      <c r="L1055" s="12">
        <v>0.15</v>
      </c>
      <c r="M1055" s="8">
        <v>6</v>
      </c>
      <c r="N1055">
        <v>7</v>
      </c>
      <c r="O1055" s="12">
        <v>9</v>
      </c>
      <c r="BQ1055" s="8">
        <v>9</v>
      </c>
      <c r="BR1055" s="8" t="s">
        <v>2170</v>
      </c>
    </row>
    <row r="1056" spans="1:70" x14ac:dyDescent="0.3">
      <c r="A1056" s="11" t="s">
        <v>2171</v>
      </c>
      <c r="B1056" s="12">
        <v>211400</v>
      </c>
      <c r="C1056" s="12">
        <v>632400</v>
      </c>
      <c r="D1056" s="12">
        <v>0.08</v>
      </c>
      <c r="E1056" s="12">
        <v>0.2</v>
      </c>
      <c r="F1056" s="12">
        <v>0.05</v>
      </c>
      <c r="G1056" s="12">
        <v>0.1</v>
      </c>
      <c r="H1056" s="12">
        <v>0.26</v>
      </c>
      <c r="I1056" s="12">
        <v>7.0000000000000007E-2</v>
      </c>
      <c r="J1056" s="12">
        <v>0.13</v>
      </c>
      <c r="K1056" s="12">
        <v>0.34</v>
      </c>
      <c r="L1056" s="12">
        <v>0.09</v>
      </c>
      <c r="M1056" s="8">
        <v>7</v>
      </c>
      <c r="N1056">
        <v>9</v>
      </c>
      <c r="O1056" s="12">
        <v>10</v>
      </c>
      <c r="BQ1056" s="8">
        <v>8</v>
      </c>
      <c r="BR1056" s="8" t="s">
        <v>2172</v>
      </c>
    </row>
    <row r="1057" spans="1:70" x14ac:dyDescent="0.3">
      <c r="A1057" s="11" t="s">
        <v>2173</v>
      </c>
      <c r="B1057" s="12">
        <v>144900</v>
      </c>
      <c r="C1057" s="12">
        <v>572200</v>
      </c>
      <c r="D1057" s="12">
        <v>0.04</v>
      </c>
      <c r="E1057" s="12">
        <v>0.09</v>
      </c>
      <c r="F1057" s="12">
        <v>0.03</v>
      </c>
      <c r="G1057" s="12">
        <v>0.05</v>
      </c>
      <c r="H1057" s="12">
        <v>0.11</v>
      </c>
      <c r="I1057" s="12">
        <v>0.04</v>
      </c>
      <c r="J1057" s="12">
        <v>0.06</v>
      </c>
      <c r="K1057" s="12">
        <v>0.15</v>
      </c>
      <c r="L1057" s="12">
        <v>0.06</v>
      </c>
      <c r="M1057" s="8">
        <v>9</v>
      </c>
      <c r="N1057">
        <v>11</v>
      </c>
      <c r="O1057" s="12">
        <v>13</v>
      </c>
      <c r="BQ1057" s="8">
        <v>7</v>
      </c>
      <c r="BR1057" s="8" t="s">
        <v>2174</v>
      </c>
    </row>
    <row r="1058" spans="1:70" x14ac:dyDescent="0.3">
      <c r="A1058" s="11" t="s">
        <v>2175</v>
      </c>
      <c r="B1058" s="12">
        <v>175300</v>
      </c>
      <c r="C1058" s="12">
        <v>640300</v>
      </c>
      <c r="D1058" s="12">
        <v>0.06</v>
      </c>
      <c r="E1058" s="12">
        <v>0.14000000000000001</v>
      </c>
      <c r="F1058" s="12">
        <v>0.04</v>
      </c>
      <c r="G1058" s="12">
        <v>7.0000000000000007E-2</v>
      </c>
      <c r="H1058" s="12">
        <v>0.18</v>
      </c>
      <c r="I1058" s="12">
        <v>0.05</v>
      </c>
      <c r="J1058" s="12">
        <v>0.1</v>
      </c>
      <c r="K1058" s="12">
        <v>0.24</v>
      </c>
      <c r="L1058" s="12">
        <v>7.0000000000000007E-2</v>
      </c>
      <c r="M1058" s="8">
        <v>8</v>
      </c>
      <c r="N1058">
        <v>10</v>
      </c>
      <c r="O1058" s="12">
        <v>12</v>
      </c>
      <c r="BQ1058" s="8">
        <v>8</v>
      </c>
      <c r="BR1058" s="8" t="s">
        <v>2176</v>
      </c>
    </row>
    <row r="1059" spans="1:70" x14ac:dyDescent="0.3">
      <c r="A1059" s="11" t="s">
        <v>2177</v>
      </c>
      <c r="B1059" s="12">
        <v>201000</v>
      </c>
      <c r="C1059" s="12">
        <v>678100</v>
      </c>
      <c r="D1059" s="12">
        <v>7.0000000000000007E-2</v>
      </c>
      <c r="E1059" s="12">
        <v>0.18</v>
      </c>
      <c r="F1059" s="12">
        <v>0.05</v>
      </c>
      <c r="G1059" s="12">
        <v>0.09</v>
      </c>
      <c r="H1059" s="12">
        <v>0.23</v>
      </c>
      <c r="I1059" s="12">
        <v>0.06</v>
      </c>
      <c r="J1059" s="12">
        <v>0.11</v>
      </c>
      <c r="K1059" s="12">
        <v>0.28999999999999998</v>
      </c>
      <c r="L1059" s="12">
        <v>0.08</v>
      </c>
      <c r="M1059" s="8">
        <v>7</v>
      </c>
      <c r="N1059">
        <v>9</v>
      </c>
      <c r="O1059" s="12">
        <v>11</v>
      </c>
      <c r="BQ1059" s="8">
        <v>5</v>
      </c>
      <c r="BR1059" s="8" t="s">
        <v>2178</v>
      </c>
    </row>
    <row r="1060" spans="1:70" x14ac:dyDescent="0.3">
      <c r="A1060" s="11" t="s">
        <v>2179</v>
      </c>
      <c r="B1060" s="12">
        <v>192400</v>
      </c>
      <c r="C1060" s="12">
        <v>678000</v>
      </c>
      <c r="D1060" s="12">
        <v>7.0000000000000007E-2</v>
      </c>
      <c r="E1060" s="12">
        <v>0.16</v>
      </c>
      <c r="F1060" s="12">
        <v>0.05</v>
      </c>
      <c r="G1060" s="12">
        <v>0.08</v>
      </c>
      <c r="H1060" s="12">
        <v>0.2</v>
      </c>
      <c r="I1060" s="12">
        <v>0.06</v>
      </c>
      <c r="J1060" s="12">
        <v>0.1</v>
      </c>
      <c r="K1060" s="12">
        <v>0.26</v>
      </c>
      <c r="L1060" s="12">
        <v>0.08</v>
      </c>
      <c r="M1060" s="8">
        <v>8</v>
      </c>
      <c r="N1060">
        <v>9</v>
      </c>
      <c r="O1060" s="12">
        <v>12</v>
      </c>
      <c r="BQ1060" s="8">
        <v>8</v>
      </c>
      <c r="BR1060" s="8" t="s">
        <v>2180</v>
      </c>
    </row>
    <row r="1061" spans="1:70" x14ac:dyDescent="0.3">
      <c r="A1061" s="11" t="s">
        <v>2181</v>
      </c>
      <c r="B1061" s="12">
        <v>217200</v>
      </c>
      <c r="C1061" s="12">
        <v>496600</v>
      </c>
      <c r="D1061" s="12">
        <v>0.18</v>
      </c>
      <c r="E1061" s="12">
        <v>0.43</v>
      </c>
      <c r="F1061" s="12">
        <v>7.0000000000000007E-2</v>
      </c>
      <c r="G1061" s="12">
        <v>0.23</v>
      </c>
      <c r="H1061" s="12">
        <v>0.57999999999999996</v>
      </c>
      <c r="I1061" s="12">
        <v>0.1</v>
      </c>
      <c r="J1061" s="12">
        <v>0.32</v>
      </c>
      <c r="K1061" s="12">
        <v>0.81</v>
      </c>
      <c r="L1061" s="12">
        <v>0.15</v>
      </c>
      <c r="M1061" s="8">
        <v>5</v>
      </c>
      <c r="N1061">
        <v>6</v>
      </c>
      <c r="O1061" s="12">
        <v>6</v>
      </c>
      <c r="BQ1061" s="8">
        <v>5</v>
      </c>
      <c r="BR1061" s="8" t="s">
        <v>2182</v>
      </c>
    </row>
    <row r="1062" spans="1:70" x14ac:dyDescent="0.3">
      <c r="A1062" s="11" t="s">
        <v>2183</v>
      </c>
      <c r="B1062" s="12">
        <v>186800</v>
      </c>
      <c r="C1062" s="12">
        <v>696400</v>
      </c>
      <c r="D1062" s="12">
        <v>7.0000000000000007E-2</v>
      </c>
      <c r="E1062" s="12">
        <v>0.16</v>
      </c>
      <c r="F1062" s="12">
        <v>0.05</v>
      </c>
      <c r="G1062" s="12">
        <v>0.08</v>
      </c>
      <c r="H1062" s="12">
        <v>0.21</v>
      </c>
      <c r="I1062" s="12">
        <v>0.06</v>
      </c>
      <c r="J1062" s="12">
        <v>0.11</v>
      </c>
      <c r="K1062" s="12">
        <v>0.28000000000000003</v>
      </c>
      <c r="L1062" s="12">
        <v>0.08</v>
      </c>
      <c r="M1062" s="8">
        <v>8</v>
      </c>
      <c r="N1062">
        <v>9</v>
      </c>
      <c r="O1062" s="12">
        <v>12</v>
      </c>
      <c r="BQ1062" s="8">
        <v>7</v>
      </c>
      <c r="BR1062" s="8" t="s">
        <v>2184</v>
      </c>
    </row>
    <row r="1063" spans="1:70" x14ac:dyDescent="0.3">
      <c r="A1063" s="11" t="s">
        <v>2185</v>
      </c>
      <c r="B1063" s="12">
        <v>216000</v>
      </c>
      <c r="C1063" s="12">
        <v>489000</v>
      </c>
      <c r="D1063" s="12">
        <v>0.18</v>
      </c>
      <c r="E1063" s="12">
        <v>0.45</v>
      </c>
      <c r="F1063" s="12">
        <v>7.0000000000000007E-2</v>
      </c>
      <c r="G1063" s="12">
        <v>0.24</v>
      </c>
      <c r="H1063" s="12">
        <v>0.6</v>
      </c>
      <c r="I1063" s="12">
        <v>0.1</v>
      </c>
      <c r="J1063" s="12">
        <v>0.32</v>
      </c>
      <c r="K1063" s="12">
        <v>0.83</v>
      </c>
      <c r="L1063" s="12">
        <v>0.15</v>
      </c>
      <c r="M1063" s="8">
        <v>5</v>
      </c>
      <c r="N1063">
        <v>6</v>
      </c>
      <c r="O1063" s="12">
        <v>6</v>
      </c>
      <c r="BQ1063" s="8">
        <v>7</v>
      </c>
      <c r="BR1063" s="8" t="s">
        <v>2186</v>
      </c>
    </row>
    <row r="1064" spans="1:70" x14ac:dyDescent="0.3">
      <c r="A1064" s="11" t="s">
        <v>2187</v>
      </c>
      <c r="B1064" s="12">
        <v>209200</v>
      </c>
      <c r="C1064" s="12">
        <v>625200</v>
      </c>
      <c r="D1064" s="12">
        <v>0.08</v>
      </c>
      <c r="E1064" s="12">
        <v>0.19</v>
      </c>
      <c r="F1064" s="12">
        <v>0.05</v>
      </c>
      <c r="G1064" s="12">
        <v>0.1</v>
      </c>
      <c r="H1064" s="12">
        <v>0.25</v>
      </c>
      <c r="I1064" s="12">
        <v>0.06</v>
      </c>
      <c r="J1064" s="12">
        <v>0.12</v>
      </c>
      <c r="K1064" s="12">
        <v>0.32</v>
      </c>
      <c r="L1064" s="12">
        <v>0.09</v>
      </c>
      <c r="M1064" s="8">
        <v>7</v>
      </c>
      <c r="N1064">
        <v>9</v>
      </c>
      <c r="O1064" s="12">
        <v>11</v>
      </c>
      <c r="BQ1064" s="8">
        <v>8</v>
      </c>
      <c r="BR1064" s="8" t="s">
        <v>2188</v>
      </c>
    </row>
    <row r="1065" spans="1:70" x14ac:dyDescent="0.3">
      <c r="A1065" s="11" t="s">
        <v>2189</v>
      </c>
      <c r="B1065" s="12">
        <v>203000</v>
      </c>
      <c r="C1065" s="12">
        <v>684500</v>
      </c>
      <c r="D1065" s="12">
        <v>0.08</v>
      </c>
      <c r="E1065" s="12">
        <v>0.19</v>
      </c>
      <c r="F1065" s="12">
        <v>0.05</v>
      </c>
      <c r="G1065" s="12">
        <v>0.1</v>
      </c>
      <c r="H1065" s="12">
        <v>0.24</v>
      </c>
      <c r="I1065" s="12">
        <v>0.06</v>
      </c>
      <c r="J1065" s="12">
        <v>0.12</v>
      </c>
      <c r="K1065" s="12">
        <v>0.31</v>
      </c>
      <c r="L1065" s="12">
        <v>0.09</v>
      </c>
      <c r="M1065" s="8">
        <v>7</v>
      </c>
      <c r="N1065">
        <v>9</v>
      </c>
      <c r="O1065" s="12">
        <v>11</v>
      </c>
      <c r="BQ1065" s="8">
        <v>7</v>
      </c>
      <c r="BR1065" s="8" t="s">
        <v>2190</v>
      </c>
    </row>
    <row r="1066" spans="1:70" x14ac:dyDescent="0.3">
      <c r="A1066" s="11" t="s">
        <v>2191</v>
      </c>
      <c r="B1066" s="12">
        <v>192100</v>
      </c>
      <c r="C1066" s="12">
        <v>689300</v>
      </c>
      <c r="D1066" s="12">
        <v>7.0000000000000007E-2</v>
      </c>
      <c r="E1066" s="12">
        <v>0.17</v>
      </c>
      <c r="F1066" s="12">
        <v>0.05</v>
      </c>
      <c r="G1066" s="12">
        <v>0.08</v>
      </c>
      <c r="H1066" s="12">
        <v>0.21</v>
      </c>
      <c r="I1066" s="12">
        <v>0.06</v>
      </c>
      <c r="J1066" s="12">
        <v>0.11</v>
      </c>
      <c r="K1066" s="12">
        <v>0.27</v>
      </c>
      <c r="L1066" s="12">
        <v>0.08</v>
      </c>
      <c r="M1066" s="8">
        <v>8</v>
      </c>
      <c r="N1066">
        <v>9</v>
      </c>
      <c r="O1066" s="12">
        <v>12</v>
      </c>
      <c r="BQ1066" s="8">
        <v>6</v>
      </c>
      <c r="BR1066" s="8" t="s">
        <v>2192</v>
      </c>
    </row>
    <row r="1067" spans="1:70" x14ac:dyDescent="0.3">
      <c r="A1067" s="11" t="s">
        <v>2193</v>
      </c>
      <c r="B1067" s="12">
        <v>201400</v>
      </c>
      <c r="C1067" s="12">
        <v>682900</v>
      </c>
      <c r="D1067" s="12">
        <v>0.08</v>
      </c>
      <c r="E1067" s="12">
        <v>0.19</v>
      </c>
      <c r="F1067" s="12">
        <v>0.05</v>
      </c>
      <c r="G1067" s="12">
        <v>0.09</v>
      </c>
      <c r="H1067" s="12">
        <v>0.23</v>
      </c>
      <c r="I1067" s="12">
        <v>0.06</v>
      </c>
      <c r="J1067" s="12">
        <v>0.12</v>
      </c>
      <c r="K1067" s="12">
        <v>0.3</v>
      </c>
      <c r="L1067" s="12">
        <v>0.09</v>
      </c>
      <c r="M1067" s="8">
        <v>7</v>
      </c>
      <c r="N1067">
        <v>9</v>
      </c>
      <c r="O1067" s="12">
        <v>11</v>
      </c>
      <c r="BQ1067" s="8">
        <v>7</v>
      </c>
      <c r="BR1067" s="8" t="s">
        <v>2194</v>
      </c>
    </row>
    <row r="1068" spans="1:70" x14ac:dyDescent="0.3">
      <c r="A1068" s="11" t="s">
        <v>2195</v>
      </c>
      <c r="B1068" s="12">
        <v>229600</v>
      </c>
      <c r="C1068" s="12">
        <v>768000</v>
      </c>
      <c r="D1068" s="12">
        <v>0.14000000000000001</v>
      </c>
      <c r="E1068" s="12">
        <v>0.34</v>
      </c>
      <c r="F1068" s="12">
        <v>7.0000000000000007E-2</v>
      </c>
      <c r="G1068" s="12">
        <v>0.17</v>
      </c>
      <c r="H1068" s="12">
        <v>0.43</v>
      </c>
      <c r="I1068" s="12">
        <v>0.09</v>
      </c>
      <c r="J1068" s="12">
        <v>0.22</v>
      </c>
      <c r="K1068" s="12">
        <v>0.56999999999999995</v>
      </c>
      <c r="L1068" s="12">
        <v>0.12</v>
      </c>
      <c r="M1068" s="8">
        <v>6</v>
      </c>
      <c r="N1068">
        <v>8</v>
      </c>
      <c r="O1068" s="12">
        <v>10</v>
      </c>
      <c r="BQ1068" s="8">
        <v>6</v>
      </c>
      <c r="BR1068" s="8" t="s">
        <v>2196</v>
      </c>
    </row>
    <row r="1069" spans="1:70" x14ac:dyDescent="0.3">
      <c r="A1069" s="11" t="s">
        <v>2197</v>
      </c>
      <c r="B1069" s="12">
        <v>223800</v>
      </c>
      <c r="C1069" s="12">
        <v>756400</v>
      </c>
      <c r="D1069" s="12">
        <v>0.13</v>
      </c>
      <c r="E1069" s="12">
        <v>0.33</v>
      </c>
      <c r="F1069" s="12">
        <v>7.0000000000000007E-2</v>
      </c>
      <c r="G1069" s="12">
        <v>0.17</v>
      </c>
      <c r="H1069" s="12">
        <v>0.43</v>
      </c>
      <c r="I1069" s="12">
        <v>0.09</v>
      </c>
      <c r="J1069" s="12">
        <v>0.22</v>
      </c>
      <c r="K1069" s="12">
        <v>0.56000000000000005</v>
      </c>
      <c r="L1069" s="12">
        <v>0.12</v>
      </c>
      <c r="M1069" s="8">
        <v>7</v>
      </c>
      <c r="N1069">
        <v>8</v>
      </c>
      <c r="O1069" s="12">
        <v>10</v>
      </c>
      <c r="BQ1069" s="8">
        <v>8</v>
      </c>
      <c r="BR1069" s="8" t="s">
        <v>2198</v>
      </c>
    </row>
    <row r="1070" spans="1:70" x14ac:dyDescent="0.3">
      <c r="A1070" s="11" t="s">
        <v>2199</v>
      </c>
      <c r="B1070" s="12">
        <v>226400</v>
      </c>
      <c r="C1070" s="12">
        <v>739000</v>
      </c>
      <c r="D1070" s="12">
        <v>0.15</v>
      </c>
      <c r="E1070" s="12">
        <v>0.37</v>
      </c>
      <c r="F1070" s="12">
        <v>7.0000000000000007E-2</v>
      </c>
      <c r="G1070" s="12">
        <v>0.19</v>
      </c>
      <c r="H1070" s="12">
        <v>0.47</v>
      </c>
      <c r="I1070" s="12">
        <v>0.1</v>
      </c>
      <c r="J1070" s="12">
        <v>0.25</v>
      </c>
      <c r="K1070" s="12">
        <v>0.64</v>
      </c>
      <c r="L1070" s="12">
        <v>0.13</v>
      </c>
      <c r="M1070" s="8">
        <v>6</v>
      </c>
      <c r="N1070">
        <v>7</v>
      </c>
      <c r="O1070" s="12">
        <v>9</v>
      </c>
      <c r="BQ1070" s="8">
        <v>6</v>
      </c>
      <c r="BR1070" s="8" t="s">
        <v>2200</v>
      </c>
    </row>
    <row r="1071" spans="1:70" x14ac:dyDescent="0.3">
      <c r="A1071" s="11" t="s">
        <v>2201</v>
      </c>
      <c r="B1071" s="12">
        <v>193700</v>
      </c>
      <c r="C1071" s="12">
        <v>634700</v>
      </c>
      <c r="D1071" s="12">
        <v>0.06</v>
      </c>
      <c r="E1071" s="12">
        <v>0.16</v>
      </c>
      <c r="F1071" s="12">
        <v>0.04</v>
      </c>
      <c r="G1071" s="12">
        <v>0.08</v>
      </c>
      <c r="H1071" s="12">
        <v>0.2</v>
      </c>
      <c r="I1071" s="12">
        <v>0.06</v>
      </c>
      <c r="J1071" s="12">
        <v>0.1</v>
      </c>
      <c r="K1071" s="12">
        <v>0.26</v>
      </c>
      <c r="L1071" s="12">
        <v>0.08</v>
      </c>
      <c r="M1071" s="8">
        <v>8</v>
      </c>
      <c r="N1071">
        <v>9</v>
      </c>
      <c r="O1071" s="12">
        <v>12</v>
      </c>
      <c r="BQ1071" s="8">
        <v>8</v>
      </c>
      <c r="BR1071" s="8" t="s">
        <v>2202</v>
      </c>
    </row>
    <row r="1072" spans="1:70" x14ac:dyDescent="0.3">
      <c r="A1072" s="11" t="s">
        <v>2203</v>
      </c>
      <c r="B1072" s="12">
        <v>230500</v>
      </c>
      <c r="C1072" s="12">
        <v>714200</v>
      </c>
      <c r="D1072" s="12">
        <v>0.17</v>
      </c>
      <c r="E1072" s="12">
        <v>0.41</v>
      </c>
      <c r="F1072" s="12">
        <v>0.08</v>
      </c>
      <c r="G1072" s="12">
        <v>0.22</v>
      </c>
      <c r="H1072" s="12">
        <v>0.55000000000000004</v>
      </c>
      <c r="I1072" s="12">
        <v>0.11</v>
      </c>
      <c r="J1072" s="12">
        <v>0.31</v>
      </c>
      <c r="K1072" s="12">
        <v>0.78</v>
      </c>
      <c r="L1072" s="12">
        <v>0.16</v>
      </c>
      <c r="M1072" s="8">
        <v>6</v>
      </c>
      <c r="N1072">
        <v>6</v>
      </c>
      <c r="O1072" s="12">
        <v>8</v>
      </c>
      <c r="BQ1072" s="8">
        <v>8</v>
      </c>
      <c r="BR1072" s="8" t="s">
        <v>2204</v>
      </c>
    </row>
    <row r="1073" spans="1:70" x14ac:dyDescent="0.3">
      <c r="A1073" s="11" t="s">
        <v>2205</v>
      </c>
      <c r="B1073" s="12">
        <v>186500</v>
      </c>
      <c r="C1073" s="12">
        <v>656500</v>
      </c>
      <c r="D1073" s="12">
        <v>0.06</v>
      </c>
      <c r="E1073" s="12">
        <v>0.14000000000000001</v>
      </c>
      <c r="F1073" s="12">
        <v>0.04</v>
      </c>
      <c r="G1073" s="12">
        <v>7.0000000000000007E-2</v>
      </c>
      <c r="H1073" s="12">
        <v>0.18</v>
      </c>
      <c r="I1073" s="12">
        <v>0.05</v>
      </c>
      <c r="J1073" s="12">
        <v>0.09</v>
      </c>
      <c r="K1073" s="12">
        <v>0.23</v>
      </c>
      <c r="L1073" s="12">
        <v>7.0000000000000007E-2</v>
      </c>
      <c r="M1073" s="8">
        <v>8</v>
      </c>
      <c r="N1073">
        <v>10</v>
      </c>
      <c r="O1073" s="12">
        <v>12</v>
      </c>
      <c r="BQ1073" s="8">
        <v>5</v>
      </c>
      <c r="BR1073" s="8" t="s">
        <v>2206</v>
      </c>
    </row>
    <row r="1074" spans="1:70" x14ac:dyDescent="0.3">
      <c r="A1074" s="11" t="s">
        <v>2207</v>
      </c>
      <c r="B1074" s="12">
        <v>194800</v>
      </c>
      <c r="C1074" s="12">
        <v>618600</v>
      </c>
      <c r="D1074" s="12">
        <v>7.0000000000000007E-2</v>
      </c>
      <c r="E1074" s="12">
        <v>0.17</v>
      </c>
      <c r="F1074" s="12">
        <v>0.04</v>
      </c>
      <c r="G1074" s="12">
        <v>0.09</v>
      </c>
      <c r="H1074" s="12">
        <v>0.22</v>
      </c>
      <c r="I1074" s="12">
        <v>0.06</v>
      </c>
      <c r="J1074" s="12">
        <v>0.12</v>
      </c>
      <c r="K1074" s="12">
        <v>0.28999999999999998</v>
      </c>
      <c r="L1074" s="12">
        <v>0.08</v>
      </c>
      <c r="M1074" s="8">
        <v>8</v>
      </c>
      <c r="N1074">
        <v>9</v>
      </c>
      <c r="O1074" s="12">
        <v>11</v>
      </c>
      <c r="BQ1074" s="8">
        <v>7</v>
      </c>
      <c r="BR1074" s="8" t="s">
        <v>2208</v>
      </c>
    </row>
    <row r="1075" spans="1:70" x14ac:dyDescent="0.3">
      <c r="A1075" s="11" t="s">
        <v>2209</v>
      </c>
      <c r="B1075" s="12">
        <v>246700</v>
      </c>
      <c r="C1075" s="12">
        <v>764000</v>
      </c>
      <c r="D1075" s="12">
        <v>0.22</v>
      </c>
      <c r="E1075" s="12">
        <v>0.55000000000000004</v>
      </c>
      <c r="F1075" s="12">
        <v>0.1</v>
      </c>
      <c r="G1075" s="12">
        <v>0.28000000000000003</v>
      </c>
      <c r="H1075" s="12">
        <v>0.72</v>
      </c>
      <c r="I1075" s="12">
        <v>0.14000000000000001</v>
      </c>
      <c r="J1075" s="12">
        <v>0.37</v>
      </c>
      <c r="K1075" s="12">
        <v>0.98</v>
      </c>
      <c r="L1075" s="12">
        <v>0.2</v>
      </c>
      <c r="M1075" s="8">
        <v>5</v>
      </c>
      <c r="N1075">
        <v>6</v>
      </c>
      <c r="O1075" s="12">
        <v>7</v>
      </c>
      <c r="BQ1075" s="8">
        <v>8</v>
      </c>
      <c r="BR1075" s="8" t="s">
        <v>2210</v>
      </c>
    </row>
    <row r="1076" spans="1:70" x14ac:dyDescent="0.3">
      <c r="A1076" s="11" t="s">
        <v>2211</v>
      </c>
      <c r="B1076" s="12">
        <v>195500</v>
      </c>
      <c r="C1076" s="12">
        <v>728300</v>
      </c>
      <c r="D1076" s="12">
        <v>0.1</v>
      </c>
      <c r="E1076" s="12">
        <v>0.24</v>
      </c>
      <c r="F1076" s="12">
        <v>0.06</v>
      </c>
      <c r="G1076" s="12">
        <v>0.13</v>
      </c>
      <c r="H1076" s="12">
        <v>0.32</v>
      </c>
      <c r="I1076" s="12">
        <v>7.0000000000000007E-2</v>
      </c>
      <c r="J1076" s="12">
        <v>0.18</v>
      </c>
      <c r="K1076" s="12">
        <v>0.45</v>
      </c>
      <c r="L1076" s="12">
        <v>0.1</v>
      </c>
      <c r="M1076" s="8">
        <v>7</v>
      </c>
      <c r="N1076">
        <v>8</v>
      </c>
      <c r="O1076" s="12">
        <v>10</v>
      </c>
      <c r="BQ1076" s="8">
        <v>6</v>
      </c>
      <c r="BR1076" s="8" t="s">
        <v>2212</v>
      </c>
    </row>
    <row r="1077" spans="1:70" x14ac:dyDescent="0.3">
      <c r="A1077" s="11" t="s">
        <v>2213</v>
      </c>
      <c r="B1077" s="12">
        <v>197100</v>
      </c>
      <c r="C1077" s="12">
        <v>630000</v>
      </c>
      <c r="D1077" s="12">
        <v>7.0000000000000007E-2</v>
      </c>
      <c r="E1077" s="12">
        <v>0.16</v>
      </c>
      <c r="F1077" s="12">
        <v>0.04</v>
      </c>
      <c r="G1077" s="12">
        <v>0.08</v>
      </c>
      <c r="H1077" s="12">
        <v>0.2</v>
      </c>
      <c r="I1077" s="12">
        <v>0.06</v>
      </c>
      <c r="J1077" s="12">
        <v>0.1</v>
      </c>
      <c r="K1077" s="12">
        <v>0.27</v>
      </c>
      <c r="L1077" s="12">
        <v>0.08</v>
      </c>
      <c r="M1077" s="8">
        <v>8</v>
      </c>
      <c r="N1077">
        <v>9</v>
      </c>
      <c r="O1077" s="12">
        <v>11</v>
      </c>
      <c r="BQ1077" s="8">
        <v>8</v>
      </c>
      <c r="BR1077" s="8" t="s">
        <v>2214</v>
      </c>
    </row>
    <row r="1078" spans="1:70" x14ac:dyDescent="0.3">
      <c r="A1078" s="11" t="s">
        <v>2215</v>
      </c>
      <c r="B1078" s="12">
        <v>216000</v>
      </c>
      <c r="C1078" s="12">
        <v>572000</v>
      </c>
      <c r="D1078" s="12">
        <v>0.11</v>
      </c>
      <c r="E1078" s="12">
        <v>0.27</v>
      </c>
      <c r="F1078" s="12">
        <v>0.06</v>
      </c>
      <c r="G1078" s="12">
        <v>0.14000000000000001</v>
      </c>
      <c r="H1078" s="12">
        <v>0.36</v>
      </c>
      <c r="I1078" s="12">
        <v>0.08</v>
      </c>
      <c r="J1078" s="12">
        <v>0.18</v>
      </c>
      <c r="K1078" s="12">
        <v>0.48</v>
      </c>
      <c r="L1078" s="12">
        <v>0.11</v>
      </c>
      <c r="M1078" s="8">
        <v>6</v>
      </c>
      <c r="N1078">
        <v>7</v>
      </c>
      <c r="O1078" s="12">
        <v>9</v>
      </c>
      <c r="BQ1078" s="8">
        <v>7</v>
      </c>
      <c r="BR1078" s="8" t="s">
        <v>2216</v>
      </c>
    </row>
    <row r="1079" spans="1:70" x14ac:dyDescent="0.3">
      <c r="A1079" s="11" t="s">
        <v>2217</v>
      </c>
      <c r="B1079" s="12">
        <v>173600</v>
      </c>
      <c r="C1079" s="12">
        <v>635800</v>
      </c>
      <c r="D1079" s="12">
        <v>0.06</v>
      </c>
      <c r="E1079" s="12">
        <v>0.15</v>
      </c>
      <c r="F1079" s="12">
        <v>0.04</v>
      </c>
      <c r="G1079" s="12">
        <v>0.08</v>
      </c>
      <c r="H1079" s="12">
        <v>0.19</v>
      </c>
      <c r="I1079" s="12">
        <v>0.05</v>
      </c>
      <c r="J1079" s="12">
        <v>0.11</v>
      </c>
      <c r="K1079" s="12">
        <v>0.26</v>
      </c>
      <c r="L1079" s="12">
        <v>7.0000000000000007E-2</v>
      </c>
      <c r="M1079" s="8">
        <v>8</v>
      </c>
      <c r="N1079">
        <v>10</v>
      </c>
      <c r="O1079" s="12">
        <v>12</v>
      </c>
      <c r="BQ1079" s="8">
        <v>8</v>
      </c>
      <c r="BR1079" s="8" t="s">
        <v>2218</v>
      </c>
    </row>
    <row r="1080" spans="1:70" x14ac:dyDescent="0.3">
      <c r="A1080" s="11" t="s">
        <v>2219</v>
      </c>
      <c r="B1080" s="12">
        <v>215000</v>
      </c>
      <c r="C1080" s="12">
        <v>679700</v>
      </c>
      <c r="D1080" s="12">
        <v>0.1</v>
      </c>
      <c r="E1080" s="12">
        <v>0.24</v>
      </c>
      <c r="F1080" s="12">
        <v>0.06</v>
      </c>
      <c r="G1080" s="12">
        <v>0.12</v>
      </c>
      <c r="H1080" s="12">
        <v>0.31</v>
      </c>
      <c r="I1080" s="12">
        <v>7.0000000000000007E-2</v>
      </c>
      <c r="J1080" s="12">
        <v>0.15</v>
      </c>
      <c r="K1080" s="12">
        <v>0.4</v>
      </c>
      <c r="L1080" s="12">
        <v>0.1</v>
      </c>
      <c r="M1080" s="8">
        <v>7</v>
      </c>
      <c r="N1080">
        <v>8</v>
      </c>
      <c r="O1080" s="12">
        <v>10</v>
      </c>
      <c r="BQ1080" s="8">
        <v>8</v>
      </c>
      <c r="BR1080" s="8" t="s">
        <v>2220</v>
      </c>
    </row>
    <row r="1081" spans="1:70" x14ac:dyDescent="0.3">
      <c r="A1081" s="11" t="s">
        <v>2221</v>
      </c>
      <c r="B1081" s="12">
        <v>193200</v>
      </c>
      <c r="C1081" s="12">
        <v>687400</v>
      </c>
      <c r="D1081" s="12">
        <v>7.0000000000000007E-2</v>
      </c>
      <c r="E1081" s="12">
        <v>0.17</v>
      </c>
      <c r="F1081" s="12">
        <v>0.05</v>
      </c>
      <c r="G1081" s="12">
        <v>0.08</v>
      </c>
      <c r="H1081" s="12">
        <v>0.21</v>
      </c>
      <c r="I1081" s="12">
        <v>0.06</v>
      </c>
      <c r="J1081" s="12">
        <v>0.11</v>
      </c>
      <c r="K1081" s="12">
        <v>0.27</v>
      </c>
      <c r="L1081" s="12">
        <v>0.08</v>
      </c>
      <c r="M1081" s="8">
        <v>8</v>
      </c>
      <c r="N1081">
        <v>9</v>
      </c>
      <c r="O1081" s="12">
        <v>12</v>
      </c>
      <c r="BQ1081" s="8">
        <v>5</v>
      </c>
      <c r="BR1081" s="8" t="s">
        <v>2222</v>
      </c>
    </row>
    <row r="1082" spans="1:70" x14ac:dyDescent="0.3">
      <c r="A1082" s="11" t="s">
        <v>2223</v>
      </c>
      <c r="B1082" s="12">
        <v>178600</v>
      </c>
      <c r="C1082" s="12">
        <v>623200</v>
      </c>
      <c r="D1082" s="12">
        <v>7.0000000000000007E-2</v>
      </c>
      <c r="E1082" s="12">
        <v>0.16</v>
      </c>
      <c r="F1082" s="12">
        <v>0.04</v>
      </c>
      <c r="G1082" s="12">
        <v>0.09</v>
      </c>
      <c r="H1082" s="12">
        <v>0.21</v>
      </c>
      <c r="I1082" s="12">
        <v>0.05</v>
      </c>
      <c r="J1082" s="12">
        <v>0.12</v>
      </c>
      <c r="K1082" s="12">
        <v>0.28999999999999998</v>
      </c>
      <c r="L1082" s="12">
        <v>7.0000000000000007E-2</v>
      </c>
      <c r="M1082" s="8">
        <v>8</v>
      </c>
      <c r="N1082">
        <v>10</v>
      </c>
      <c r="O1082" s="12">
        <v>12</v>
      </c>
      <c r="BQ1082" s="8">
        <v>6</v>
      </c>
      <c r="BR1082" s="8" t="s">
        <v>2224</v>
      </c>
    </row>
    <row r="1083" spans="1:70" x14ac:dyDescent="0.3">
      <c r="A1083" s="11" t="s">
        <v>2225</v>
      </c>
      <c r="B1083" s="12">
        <v>265800</v>
      </c>
      <c r="C1083" s="12">
        <v>770800</v>
      </c>
      <c r="D1083" s="12">
        <v>0.24</v>
      </c>
      <c r="E1083" s="12">
        <v>0.59</v>
      </c>
      <c r="F1083" s="12">
        <v>0.11</v>
      </c>
      <c r="G1083" s="12">
        <v>0.31</v>
      </c>
      <c r="H1083" s="12">
        <v>0.78</v>
      </c>
      <c r="I1083" s="12">
        <v>0.15</v>
      </c>
      <c r="J1083" s="12">
        <v>0.41</v>
      </c>
      <c r="K1083" s="12">
        <v>1.06</v>
      </c>
      <c r="L1083" s="12">
        <v>0.22</v>
      </c>
      <c r="M1083" s="8">
        <v>5</v>
      </c>
      <c r="N1083">
        <v>6</v>
      </c>
      <c r="O1083" s="12">
        <v>7</v>
      </c>
      <c r="BQ1083" s="8">
        <v>8</v>
      </c>
      <c r="BR1083" s="8" t="s">
        <v>2226</v>
      </c>
    </row>
    <row r="1084" spans="1:70" x14ac:dyDescent="0.3">
      <c r="A1084" s="11" t="s">
        <v>2227</v>
      </c>
      <c r="B1084" s="12">
        <v>228300</v>
      </c>
      <c r="C1084" s="12">
        <v>628100</v>
      </c>
      <c r="D1084" s="12">
        <v>0.12</v>
      </c>
      <c r="E1084" s="12">
        <v>0.31</v>
      </c>
      <c r="F1084" s="12">
        <v>7.0000000000000007E-2</v>
      </c>
      <c r="G1084" s="12">
        <v>0.16</v>
      </c>
      <c r="H1084" s="12">
        <v>0.4</v>
      </c>
      <c r="I1084" s="12">
        <v>0.09</v>
      </c>
      <c r="J1084" s="12">
        <v>0.2</v>
      </c>
      <c r="K1084" s="12">
        <v>0.54</v>
      </c>
      <c r="L1084" s="12">
        <v>0.12</v>
      </c>
      <c r="M1084" s="8">
        <v>6</v>
      </c>
      <c r="N1084">
        <v>7</v>
      </c>
      <c r="O1084" s="12">
        <v>9</v>
      </c>
      <c r="BQ1084" s="8">
        <v>5</v>
      </c>
      <c r="BR1084" s="8" t="s">
        <v>2228</v>
      </c>
    </row>
    <row r="1085" spans="1:70" x14ac:dyDescent="0.3">
      <c r="A1085" s="11" t="s">
        <v>2229</v>
      </c>
      <c r="B1085" s="12">
        <v>181000</v>
      </c>
      <c r="C1085" s="12">
        <v>636000</v>
      </c>
      <c r="D1085" s="12">
        <v>0.06</v>
      </c>
      <c r="E1085" s="12">
        <v>0.15</v>
      </c>
      <c r="F1085" s="12">
        <v>0.04</v>
      </c>
      <c r="G1085" s="12">
        <v>0.08</v>
      </c>
      <c r="H1085" s="12">
        <v>0.19</v>
      </c>
      <c r="I1085" s="12">
        <v>0.05</v>
      </c>
      <c r="J1085" s="12">
        <v>0.1</v>
      </c>
      <c r="K1085" s="12">
        <v>0.25</v>
      </c>
      <c r="L1085" s="12">
        <v>7.0000000000000007E-2</v>
      </c>
      <c r="M1085" s="8">
        <v>8</v>
      </c>
      <c r="N1085">
        <v>10</v>
      </c>
      <c r="O1085" s="12">
        <v>12</v>
      </c>
      <c r="BQ1085" s="8">
        <v>7</v>
      </c>
      <c r="BR1085" s="8" t="s">
        <v>2230</v>
      </c>
    </row>
    <row r="1086" spans="1:70" x14ac:dyDescent="0.3">
      <c r="A1086" s="11" t="s">
        <v>2231</v>
      </c>
      <c r="B1086" s="12">
        <v>244500</v>
      </c>
      <c r="C1086" s="12">
        <v>756000</v>
      </c>
      <c r="D1086" s="12">
        <v>0.2</v>
      </c>
      <c r="E1086" s="12">
        <v>0.51</v>
      </c>
      <c r="F1086" s="12">
        <v>0.1</v>
      </c>
      <c r="G1086" s="12">
        <v>0.26</v>
      </c>
      <c r="H1086" s="12">
        <v>0.66</v>
      </c>
      <c r="I1086" s="12">
        <v>0.13</v>
      </c>
      <c r="J1086" s="12">
        <v>0.34</v>
      </c>
      <c r="K1086" s="12">
        <v>0.89</v>
      </c>
      <c r="L1086" s="12">
        <v>0.18</v>
      </c>
      <c r="M1086" s="8">
        <v>5</v>
      </c>
      <c r="N1086">
        <v>6</v>
      </c>
      <c r="O1086" s="12">
        <v>8</v>
      </c>
      <c r="BQ1086" s="8">
        <v>7</v>
      </c>
      <c r="BR1086" s="8" t="s">
        <v>2232</v>
      </c>
    </row>
    <row r="1087" spans="1:70" x14ac:dyDescent="0.3">
      <c r="A1087" s="11" t="s">
        <v>2233</v>
      </c>
      <c r="B1087" s="12">
        <v>211000</v>
      </c>
      <c r="C1087" s="12">
        <v>578000</v>
      </c>
      <c r="D1087" s="12">
        <v>0.1</v>
      </c>
      <c r="E1087" s="12">
        <v>0.24</v>
      </c>
      <c r="F1087" s="12">
        <v>0.05</v>
      </c>
      <c r="G1087" s="12">
        <v>0.12</v>
      </c>
      <c r="H1087" s="12">
        <v>0.31</v>
      </c>
      <c r="I1087" s="12">
        <v>7.0000000000000007E-2</v>
      </c>
      <c r="J1087" s="12">
        <v>0.16</v>
      </c>
      <c r="K1087" s="12">
        <v>0.42</v>
      </c>
      <c r="L1087" s="12">
        <v>0.1</v>
      </c>
      <c r="M1087" s="8">
        <v>7</v>
      </c>
      <c r="N1087">
        <v>8</v>
      </c>
      <c r="O1087" s="12">
        <v>9</v>
      </c>
      <c r="BQ1087" s="8">
        <v>8</v>
      </c>
      <c r="BR1087" s="8" t="s">
        <v>2234</v>
      </c>
    </row>
    <row r="1088" spans="1:70" x14ac:dyDescent="0.3">
      <c r="A1088" s="11" t="s">
        <v>2235</v>
      </c>
      <c r="B1088" s="12">
        <v>202000</v>
      </c>
      <c r="C1088" s="12">
        <v>581000</v>
      </c>
      <c r="D1088" s="12">
        <v>0.08</v>
      </c>
      <c r="E1088" s="12">
        <v>0.2</v>
      </c>
      <c r="F1088" s="12">
        <v>0.05</v>
      </c>
      <c r="G1088" s="12">
        <v>0.11</v>
      </c>
      <c r="H1088" s="12">
        <v>0.26</v>
      </c>
      <c r="I1088" s="12">
        <v>0.06</v>
      </c>
      <c r="J1088" s="12">
        <v>0.14000000000000001</v>
      </c>
      <c r="K1088" s="12">
        <v>0.36</v>
      </c>
      <c r="L1088" s="12">
        <v>0.09</v>
      </c>
      <c r="M1088" s="8">
        <v>7</v>
      </c>
      <c r="N1088">
        <v>9</v>
      </c>
      <c r="O1088" s="12">
        <v>10</v>
      </c>
      <c r="BQ1088" s="8">
        <v>6</v>
      </c>
      <c r="BR1088" s="8" t="s">
        <v>2236</v>
      </c>
    </row>
    <row r="1089" spans="1:70" x14ac:dyDescent="0.3">
      <c r="A1089" s="11" t="s">
        <v>2237</v>
      </c>
      <c r="B1089" s="12">
        <v>174200</v>
      </c>
      <c r="C1089" s="12">
        <v>619000</v>
      </c>
      <c r="D1089" s="12">
        <v>7.0000000000000007E-2</v>
      </c>
      <c r="E1089" s="12">
        <v>0.16</v>
      </c>
      <c r="F1089" s="12">
        <v>0.04</v>
      </c>
      <c r="G1089" s="12">
        <v>0.09</v>
      </c>
      <c r="H1089" s="12">
        <v>0.22</v>
      </c>
      <c r="I1089" s="12">
        <v>0.05</v>
      </c>
      <c r="J1089" s="12">
        <v>0.12</v>
      </c>
      <c r="K1089" s="12">
        <v>0.3</v>
      </c>
      <c r="L1089" s="12">
        <v>7.0000000000000007E-2</v>
      </c>
      <c r="M1089" s="8">
        <v>8</v>
      </c>
      <c r="N1089">
        <v>10</v>
      </c>
      <c r="O1089" s="12">
        <v>12</v>
      </c>
      <c r="BQ1089" s="8">
        <v>5</v>
      </c>
      <c r="BR1089" s="8" t="s">
        <v>2238</v>
      </c>
    </row>
    <row r="1090" spans="1:70" x14ac:dyDescent="0.3">
      <c r="A1090" s="11" t="s">
        <v>2239</v>
      </c>
      <c r="B1090" s="12">
        <v>224000</v>
      </c>
      <c r="C1090" s="12">
        <v>750000</v>
      </c>
      <c r="D1090" s="12">
        <v>0.14000000000000001</v>
      </c>
      <c r="E1090" s="12">
        <v>0.34</v>
      </c>
      <c r="F1090" s="12">
        <v>7.0000000000000007E-2</v>
      </c>
      <c r="G1090" s="12">
        <v>0.17</v>
      </c>
      <c r="H1090" s="12">
        <v>0.44</v>
      </c>
      <c r="I1090" s="12">
        <v>0.09</v>
      </c>
      <c r="J1090" s="12">
        <v>0.22</v>
      </c>
      <c r="K1090" s="12">
        <v>0.57999999999999996</v>
      </c>
      <c r="L1090" s="12">
        <v>0.12</v>
      </c>
      <c r="M1090" s="8">
        <v>6</v>
      </c>
      <c r="N1090">
        <v>8</v>
      </c>
      <c r="O1090" s="12">
        <v>9</v>
      </c>
      <c r="BQ1090" s="8">
        <v>7</v>
      </c>
      <c r="BR1090" s="8" t="s">
        <v>2240</v>
      </c>
    </row>
    <row r="1091" spans="1:70" x14ac:dyDescent="0.3">
      <c r="A1091" s="11" t="s">
        <v>2241</v>
      </c>
      <c r="B1091" s="12">
        <v>205400</v>
      </c>
      <c r="C1091" s="12">
        <v>431300</v>
      </c>
      <c r="D1091" s="12">
        <v>0.18</v>
      </c>
      <c r="E1091" s="12">
        <v>0.44</v>
      </c>
      <c r="F1091" s="12">
        <v>0.08</v>
      </c>
      <c r="G1091" s="12">
        <v>0.25</v>
      </c>
      <c r="H1091" s="12">
        <v>0.61</v>
      </c>
      <c r="I1091" s="12">
        <v>0.11</v>
      </c>
      <c r="J1091" s="12">
        <v>0.35</v>
      </c>
      <c r="K1091" s="12">
        <v>0.88</v>
      </c>
      <c r="L1091" s="12">
        <v>0.17</v>
      </c>
      <c r="M1091" s="8">
        <v>5</v>
      </c>
      <c r="N1091">
        <v>5</v>
      </c>
      <c r="O1091" s="12">
        <v>6</v>
      </c>
      <c r="BQ1091" s="8">
        <v>8</v>
      </c>
      <c r="BR1091" s="8" t="s">
        <v>2242</v>
      </c>
    </row>
    <row r="1092" spans="1:70" x14ac:dyDescent="0.3">
      <c r="A1092" s="11" t="s">
        <v>2243</v>
      </c>
      <c r="B1092" s="12">
        <v>191100</v>
      </c>
      <c r="C1092" s="12">
        <v>712800</v>
      </c>
      <c r="D1092" s="12">
        <v>0.08</v>
      </c>
      <c r="E1092" s="12">
        <v>0.19</v>
      </c>
      <c r="F1092" s="12">
        <v>0.05</v>
      </c>
      <c r="G1092" s="12">
        <v>0.1</v>
      </c>
      <c r="H1092" s="12">
        <v>0.25</v>
      </c>
      <c r="I1092" s="12">
        <v>0.06</v>
      </c>
      <c r="J1092" s="12">
        <v>0.13</v>
      </c>
      <c r="K1092" s="12">
        <v>0.34</v>
      </c>
      <c r="L1092" s="12">
        <v>0.09</v>
      </c>
      <c r="M1092" s="8">
        <v>7</v>
      </c>
      <c r="N1092">
        <v>9</v>
      </c>
      <c r="O1092" s="12">
        <v>11</v>
      </c>
      <c r="BQ1092" s="8">
        <v>5</v>
      </c>
      <c r="BR1092" s="8" t="s">
        <v>2244</v>
      </c>
    </row>
    <row r="1093" spans="1:70" x14ac:dyDescent="0.3">
      <c r="A1093" s="11" t="s">
        <v>2245</v>
      </c>
      <c r="B1093" s="12">
        <v>169500</v>
      </c>
      <c r="C1093" s="12">
        <v>595500</v>
      </c>
      <c r="D1093" s="12">
        <v>0.06</v>
      </c>
      <c r="E1093" s="12">
        <v>0.14000000000000001</v>
      </c>
      <c r="F1093" s="12">
        <v>0.04</v>
      </c>
      <c r="G1093" s="12">
        <v>0.08</v>
      </c>
      <c r="H1093" s="12">
        <v>0.19</v>
      </c>
      <c r="I1093" s="12">
        <v>0.05</v>
      </c>
      <c r="J1093" s="12">
        <v>0.11</v>
      </c>
      <c r="K1093" s="12">
        <v>0.26</v>
      </c>
      <c r="L1093" s="12">
        <v>7.0000000000000007E-2</v>
      </c>
      <c r="M1093" s="8">
        <v>8</v>
      </c>
      <c r="N1093">
        <v>10</v>
      </c>
      <c r="O1093" s="12">
        <v>12</v>
      </c>
      <c r="BQ1093" s="8">
        <v>7</v>
      </c>
      <c r="BR1093" s="8" t="s">
        <v>2246</v>
      </c>
    </row>
    <row r="1094" spans="1:70" x14ac:dyDescent="0.3">
      <c r="A1094" s="11" t="s">
        <v>2247</v>
      </c>
      <c r="B1094" s="12">
        <v>244400</v>
      </c>
      <c r="C1094" s="12">
        <v>628600</v>
      </c>
      <c r="D1094" s="12">
        <v>0.21</v>
      </c>
      <c r="E1094" s="12">
        <v>0.53</v>
      </c>
      <c r="F1094" s="12">
        <v>0.1</v>
      </c>
      <c r="G1094" s="12">
        <v>0.28000000000000003</v>
      </c>
      <c r="H1094" s="12">
        <v>0.71</v>
      </c>
      <c r="I1094" s="12">
        <v>0.14000000000000001</v>
      </c>
      <c r="J1094" s="12">
        <v>0.38</v>
      </c>
      <c r="K1094" s="12">
        <v>0.98</v>
      </c>
      <c r="L1094" s="12">
        <v>0.2</v>
      </c>
      <c r="M1094" s="8">
        <v>5</v>
      </c>
      <c r="N1094">
        <v>6</v>
      </c>
      <c r="O1094" s="12">
        <v>6</v>
      </c>
      <c r="BQ1094" s="8">
        <v>5</v>
      </c>
      <c r="BR1094" s="8" t="s">
        <v>2248</v>
      </c>
    </row>
    <row r="1095" spans="1:70" x14ac:dyDescent="0.3">
      <c r="A1095" s="11" t="s">
        <v>2249</v>
      </c>
      <c r="B1095" s="12">
        <v>198600</v>
      </c>
      <c r="C1095" s="12">
        <v>688000</v>
      </c>
      <c r="D1095" s="12">
        <v>7.0000000000000007E-2</v>
      </c>
      <c r="E1095" s="12">
        <v>0.18</v>
      </c>
      <c r="F1095" s="12">
        <v>0.05</v>
      </c>
      <c r="G1095" s="12">
        <v>0.09</v>
      </c>
      <c r="H1095" s="12">
        <v>0.23</v>
      </c>
      <c r="I1095" s="12">
        <v>0.06</v>
      </c>
      <c r="J1095" s="12">
        <v>0.11</v>
      </c>
      <c r="K1095" s="12">
        <v>0.28999999999999998</v>
      </c>
      <c r="L1095" s="12">
        <v>0.08</v>
      </c>
      <c r="M1095" s="8">
        <v>7</v>
      </c>
      <c r="N1095">
        <v>9</v>
      </c>
      <c r="O1095" s="12">
        <v>11</v>
      </c>
      <c r="BQ1095" s="8">
        <v>7</v>
      </c>
      <c r="BR1095" s="8" t="s">
        <v>2250</v>
      </c>
    </row>
    <row r="1096" spans="1:70" x14ac:dyDescent="0.3">
      <c r="A1096" s="11" t="s">
        <v>2251</v>
      </c>
      <c r="B1096" s="12">
        <v>264800</v>
      </c>
      <c r="C1096" s="12">
        <v>782000</v>
      </c>
      <c r="D1096" s="12">
        <v>0.24</v>
      </c>
      <c r="E1096" s="12">
        <v>0.59</v>
      </c>
      <c r="F1096" s="12">
        <v>0.11</v>
      </c>
      <c r="G1096" s="12">
        <v>0.31</v>
      </c>
      <c r="H1096" s="12">
        <v>0.79</v>
      </c>
      <c r="I1096" s="12">
        <v>0.16</v>
      </c>
      <c r="J1096" s="12">
        <v>0.42</v>
      </c>
      <c r="K1096" s="12">
        <v>1.08</v>
      </c>
      <c r="L1096" s="12">
        <v>0.23</v>
      </c>
      <c r="M1096" s="8">
        <v>5</v>
      </c>
      <c r="N1096">
        <v>6</v>
      </c>
      <c r="O1096" s="12">
        <v>7</v>
      </c>
      <c r="BQ1096" s="8">
        <v>7</v>
      </c>
      <c r="BR1096" s="8" t="s">
        <v>2252</v>
      </c>
    </row>
    <row r="1097" spans="1:70" x14ac:dyDescent="0.3">
      <c r="A1097" s="11" t="s">
        <v>2253</v>
      </c>
      <c r="B1097" s="12">
        <v>210300</v>
      </c>
      <c r="C1097" s="12">
        <v>710800</v>
      </c>
      <c r="D1097" s="12">
        <v>0.11</v>
      </c>
      <c r="E1097" s="12">
        <v>0.26</v>
      </c>
      <c r="F1097" s="12">
        <v>0.06</v>
      </c>
      <c r="G1097" s="12">
        <v>0.14000000000000001</v>
      </c>
      <c r="H1097" s="12">
        <v>0.35</v>
      </c>
      <c r="I1097" s="12">
        <v>0.08</v>
      </c>
      <c r="J1097" s="12">
        <v>0.19</v>
      </c>
      <c r="K1097" s="12">
        <v>0.49</v>
      </c>
      <c r="L1097" s="12">
        <v>0.11</v>
      </c>
      <c r="M1097" s="8">
        <v>7</v>
      </c>
      <c r="N1097">
        <v>8</v>
      </c>
      <c r="O1097" s="12">
        <v>10</v>
      </c>
      <c r="BQ1097" s="8">
        <v>5</v>
      </c>
      <c r="BR1097" s="8" t="s">
        <v>2254</v>
      </c>
    </row>
    <row r="1098" spans="1:70" x14ac:dyDescent="0.3">
      <c r="A1098" s="11" t="s">
        <v>2255</v>
      </c>
      <c r="B1098" s="12">
        <v>198600</v>
      </c>
      <c r="C1098" s="12">
        <v>554400</v>
      </c>
      <c r="D1098" s="12">
        <v>7.0000000000000007E-2</v>
      </c>
      <c r="E1098" s="12">
        <v>0.18</v>
      </c>
      <c r="F1098" s="12">
        <v>0.04</v>
      </c>
      <c r="G1098" s="12">
        <v>0.09</v>
      </c>
      <c r="H1098" s="12">
        <v>0.23</v>
      </c>
      <c r="I1098" s="12">
        <v>0.06</v>
      </c>
      <c r="J1098" s="12">
        <v>0.12</v>
      </c>
      <c r="K1098" s="12">
        <v>0.3</v>
      </c>
      <c r="L1098" s="12">
        <v>0.08</v>
      </c>
      <c r="M1098" s="8">
        <v>7</v>
      </c>
      <c r="N1098">
        <v>9</v>
      </c>
      <c r="O1098" s="12">
        <v>10</v>
      </c>
      <c r="BQ1098" s="8">
        <v>8</v>
      </c>
      <c r="BR1098" s="8" t="s">
        <v>2256</v>
      </c>
    </row>
    <row r="1099" spans="1:70" x14ac:dyDescent="0.3">
      <c r="A1099" s="11" t="s">
        <v>2257</v>
      </c>
      <c r="B1099" s="12">
        <v>264700</v>
      </c>
      <c r="C1099" s="12">
        <v>766500</v>
      </c>
      <c r="D1099" s="12">
        <v>0.25</v>
      </c>
      <c r="E1099" s="12">
        <v>0.62</v>
      </c>
      <c r="F1099" s="12">
        <v>0.12</v>
      </c>
      <c r="G1099" s="12">
        <v>0.33</v>
      </c>
      <c r="H1099" s="12">
        <v>0.82</v>
      </c>
      <c r="I1099" s="12">
        <v>0.16</v>
      </c>
      <c r="J1099" s="12">
        <v>0.44</v>
      </c>
      <c r="K1099" s="12">
        <v>1.1200000000000001</v>
      </c>
      <c r="L1099" s="12">
        <v>0.24</v>
      </c>
      <c r="M1099" s="8">
        <v>5</v>
      </c>
      <c r="N1099">
        <v>6</v>
      </c>
      <c r="O1099" s="12">
        <v>7</v>
      </c>
      <c r="BQ1099" s="8">
        <v>7</v>
      </c>
      <c r="BR1099" s="8" t="s">
        <v>2258</v>
      </c>
    </row>
    <row r="1100" spans="1:70" x14ac:dyDescent="0.3">
      <c r="A1100" s="11" t="s">
        <v>2259</v>
      </c>
      <c r="B1100" s="12">
        <v>186500</v>
      </c>
      <c r="C1100" s="12">
        <v>663000</v>
      </c>
      <c r="D1100" s="12">
        <v>0.06</v>
      </c>
      <c r="E1100" s="12">
        <v>0.15</v>
      </c>
      <c r="F1100" s="12">
        <v>0.04</v>
      </c>
      <c r="G1100" s="12">
        <v>7.0000000000000007E-2</v>
      </c>
      <c r="H1100" s="12">
        <v>0.18</v>
      </c>
      <c r="I1100" s="12">
        <v>0.06</v>
      </c>
      <c r="J1100" s="12">
        <v>0.09</v>
      </c>
      <c r="K1100" s="12">
        <v>0.24</v>
      </c>
      <c r="L1100" s="12">
        <v>7.0000000000000007E-2</v>
      </c>
      <c r="M1100" s="8">
        <v>8</v>
      </c>
      <c r="N1100">
        <v>10</v>
      </c>
      <c r="O1100" s="12">
        <v>12</v>
      </c>
      <c r="BQ1100" s="8">
        <v>6</v>
      </c>
      <c r="BR1100" s="8" t="s">
        <v>2260</v>
      </c>
    </row>
    <row r="1101" spans="1:70" x14ac:dyDescent="0.3">
      <c r="A1101" s="11" t="s">
        <v>2261</v>
      </c>
      <c r="B1101" s="12">
        <v>211200</v>
      </c>
      <c r="C1101" s="12">
        <v>604100</v>
      </c>
      <c r="D1101" s="12">
        <v>0.09</v>
      </c>
      <c r="E1101" s="12">
        <v>0.22</v>
      </c>
      <c r="F1101" s="12">
        <v>0.05</v>
      </c>
      <c r="G1101" s="12">
        <v>0.11</v>
      </c>
      <c r="H1101" s="12">
        <v>0.28000000000000003</v>
      </c>
      <c r="I1101" s="12">
        <v>7.0000000000000007E-2</v>
      </c>
      <c r="J1101" s="12">
        <v>0.15</v>
      </c>
      <c r="K1101" s="12">
        <v>0.38</v>
      </c>
      <c r="L1101" s="12">
        <v>0.09</v>
      </c>
      <c r="M1101" s="8">
        <v>7</v>
      </c>
      <c r="N1101">
        <v>8</v>
      </c>
      <c r="O1101" s="12">
        <v>10</v>
      </c>
      <c r="BQ1101" s="8">
        <v>6</v>
      </c>
      <c r="BR1101" s="8" t="s">
        <v>2262</v>
      </c>
    </row>
    <row r="1102" spans="1:70" x14ac:dyDescent="0.3">
      <c r="A1102" s="11" t="s">
        <v>2263</v>
      </c>
      <c r="B1102" s="12">
        <v>210200</v>
      </c>
      <c r="C1102" s="12">
        <v>745600</v>
      </c>
      <c r="D1102" s="12">
        <v>0.14000000000000001</v>
      </c>
      <c r="E1102" s="12">
        <v>0.34</v>
      </c>
      <c r="F1102" s="12">
        <v>7.0000000000000007E-2</v>
      </c>
      <c r="G1102" s="12">
        <v>0.2</v>
      </c>
      <c r="H1102" s="12">
        <v>0.48</v>
      </c>
      <c r="I1102" s="12">
        <v>0.09</v>
      </c>
      <c r="J1102" s="12">
        <v>0.28000000000000003</v>
      </c>
      <c r="K1102" s="12">
        <v>0.71</v>
      </c>
      <c r="L1102" s="12">
        <v>0.14000000000000001</v>
      </c>
      <c r="M1102" s="8">
        <v>6</v>
      </c>
      <c r="N1102">
        <v>7</v>
      </c>
      <c r="O1102" s="12">
        <v>8</v>
      </c>
      <c r="BQ1102" s="8">
        <v>8</v>
      </c>
      <c r="BR1102" s="8" t="s">
        <v>2264</v>
      </c>
    </row>
    <row r="1103" spans="1:70" x14ac:dyDescent="0.3">
      <c r="A1103" s="11" t="s">
        <v>2265</v>
      </c>
      <c r="B1103" s="12">
        <v>208000</v>
      </c>
      <c r="C1103" s="12">
        <v>748500</v>
      </c>
      <c r="D1103" s="12">
        <v>0.14000000000000001</v>
      </c>
      <c r="E1103" s="12">
        <v>0.34</v>
      </c>
      <c r="F1103" s="12">
        <v>7.0000000000000007E-2</v>
      </c>
      <c r="G1103" s="12">
        <v>0.19</v>
      </c>
      <c r="H1103" s="12">
        <v>0.47</v>
      </c>
      <c r="I1103" s="12">
        <v>0.09</v>
      </c>
      <c r="J1103" s="12">
        <v>0.28000000000000003</v>
      </c>
      <c r="K1103" s="12">
        <v>0.69</v>
      </c>
      <c r="L1103" s="12">
        <v>0.13</v>
      </c>
      <c r="M1103" s="8">
        <v>6</v>
      </c>
      <c r="N1103">
        <v>7</v>
      </c>
      <c r="O1103" s="12">
        <v>8</v>
      </c>
      <c r="BQ1103" s="8">
        <v>8</v>
      </c>
      <c r="BR1103" s="8" t="s">
        <v>2266</v>
      </c>
    </row>
    <row r="1104" spans="1:70" x14ac:dyDescent="0.3">
      <c r="A1104" s="11" t="s">
        <v>2267</v>
      </c>
      <c r="B1104" s="12">
        <v>178400</v>
      </c>
      <c r="C1104" s="12">
        <v>613000</v>
      </c>
      <c r="D1104" s="12">
        <v>7.0000000000000007E-2</v>
      </c>
      <c r="E1104" s="12">
        <v>0.17</v>
      </c>
      <c r="F1104" s="12">
        <v>0.04</v>
      </c>
      <c r="G1104" s="12">
        <v>0.09</v>
      </c>
      <c r="H1104" s="12">
        <v>0.22</v>
      </c>
      <c r="I1104" s="12">
        <v>0.05</v>
      </c>
      <c r="J1104" s="12">
        <v>0.13</v>
      </c>
      <c r="K1104" s="12">
        <v>0.31</v>
      </c>
      <c r="L1104" s="12">
        <v>7.0000000000000007E-2</v>
      </c>
      <c r="M1104" s="8">
        <v>8</v>
      </c>
      <c r="N1104">
        <v>10</v>
      </c>
      <c r="O1104" s="12">
        <v>12</v>
      </c>
      <c r="BQ1104" s="8">
        <v>6</v>
      </c>
      <c r="BR1104" s="8" t="s">
        <v>2268</v>
      </c>
    </row>
    <row r="1105" spans="1:70" x14ac:dyDescent="0.3">
      <c r="A1105" s="11" t="s">
        <v>2269</v>
      </c>
      <c r="B1105" s="12">
        <v>162000</v>
      </c>
      <c r="C1105" s="12">
        <v>580500</v>
      </c>
      <c r="D1105" s="12">
        <v>0.05</v>
      </c>
      <c r="E1105" s="12">
        <v>0.11</v>
      </c>
      <c r="F1105" s="12">
        <v>0.03</v>
      </c>
      <c r="G1105" s="12">
        <v>0.06</v>
      </c>
      <c r="H1105" s="12">
        <v>0.14000000000000001</v>
      </c>
      <c r="I1105" s="12">
        <v>0.05</v>
      </c>
      <c r="J1105" s="12">
        <v>7.0000000000000007E-2</v>
      </c>
      <c r="K1105" s="12">
        <v>0.18</v>
      </c>
      <c r="L1105" s="12">
        <v>0.06</v>
      </c>
      <c r="M1105" s="8">
        <v>8</v>
      </c>
      <c r="N1105">
        <v>10</v>
      </c>
      <c r="O1105" s="12">
        <v>13</v>
      </c>
      <c r="BQ1105" s="8">
        <v>6</v>
      </c>
      <c r="BR1105" s="8" t="s">
        <v>2270</v>
      </c>
    </row>
    <row r="1106" spans="1:70" x14ac:dyDescent="0.3">
      <c r="A1106" s="11" t="s">
        <v>2271</v>
      </c>
      <c r="B1106" s="12">
        <v>212600</v>
      </c>
      <c r="C1106" s="12">
        <v>736000</v>
      </c>
      <c r="D1106" s="12">
        <v>0.14000000000000001</v>
      </c>
      <c r="E1106" s="12">
        <v>0.34</v>
      </c>
      <c r="F1106" s="12">
        <v>7.0000000000000007E-2</v>
      </c>
      <c r="G1106" s="12">
        <v>0.19</v>
      </c>
      <c r="H1106" s="12">
        <v>0.48</v>
      </c>
      <c r="I1106" s="12">
        <v>0.1</v>
      </c>
      <c r="J1106" s="12">
        <v>0.28000000000000003</v>
      </c>
      <c r="K1106" s="12">
        <v>0.7</v>
      </c>
      <c r="L1106" s="12">
        <v>0.14000000000000001</v>
      </c>
      <c r="M1106" s="8">
        <v>6</v>
      </c>
      <c r="N1106">
        <v>7</v>
      </c>
      <c r="O1106" s="12">
        <v>8</v>
      </c>
      <c r="BQ1106" s="8">
        <v>7</v>
      </c>
      <c r="BR1106" s="8" t="s">
        <v>2272</v>
      </c>
    </row>
    <row r="1107" spans="1:70" x14ac:dyDescent="0.3">
      <c r="A1107" s="11" t="s">
        <v>2273</v>
      </c>
      <c r="B1107" s="12">
        <v>206600</v>
      </c>
      <c r="C1107" s="12">
        <v>749900</v>
      </c>
      <c r="D1107" s="12">
        <v>0.14000000000000001</v>
      </c>
      <c r="E1107" s="12">
        <v>0.34</v>
      </c>
      <c r="F1107" s="12">
        <v>7.0000000000000007E-2</v>
      </c>
      <c r="G1107" s="12">
        <v>0.19</v>
      </c>
      <c r="H1107" s="12">
        <v>0.48</v>
      </c>
      <c r="I1107" s="12">
        <v>0.09</v>
      </c>
      <c r="J1107" s="12">
        <v>0.28000000000000003</v>
      </c>
      <c r="K1107" s="12">
        <v>0.7</v>
      </c>
      <c r="L1107" s="12">
        <v>0.13</v>
      </c>
      <c r="M1107" s="8">
        <v>6</v>
      </c>
      <c r="N1107">
        <v>7</v>
      </c>
      <c r="O1107" s="12">
        <v>8</v>
      </c>
      <c r="BQ1107" s="8">
        <v>7</v>
      </c>
      <c r="BR1107" s="8" t="s">
        <v>2274</v>
      </c>
    </row>
    <row r="1108" spans="1:70" x14ac:dyDescent="0.3">
      <c r="A1108" s="11" t="s">
        <v>2275</v>
      </c>
      <c r="B1108" s="12">
        <v>209600</v>
      </c>
      <c r="C1108" s="12">
        <v>634500</v>
      </c>
      <c r="D1108" s="12">
        <v>0.08</v>
      </c>
      <c r="E1108" s="12">
        <v>0.2</v>
      </c>
      <c r="F1108" s="12">
        <v>0.05</v>
      </c>
      <c r="G1108" s="12">
        <v>0.1</v>
      </c>
      <c r="H1108" s="12">
        <v>0.25</v>
      </c>
      <c r="I1108" s="12">
        <v>7.0000000000000007E-2</v>
      </c>
      <c r="J1108" s="12">
        <v>0.13</v>
      </c>
      <c r="K1108" s="12">
        <v>0.32</v>
      </c>
      <c r="L1108" s="12">
        <v>0.09</v>
      </c>
      <c r="M1108" s="8">
        <v>7</v>
      </c>
      <c r="N1108">
        <v>9</v>
      </c>
      <c r="O1108" s="12">
        <v>11</v>
      </c>
      <c r="BQ1108" s="8">
        <v>6</v>
      </c>
      <c r="BR1108" s="8" t="s">
        <v>2276</v>
      </c>
    </row>
    <row r="1109" spans="1:70" x14ac:dyDescent="0.3">
      <c r="A1109" s="11" t="s">
        <v>2277</v>
      </c>
      <c r="B1109" s="12">
        <v>209900</v>
      </c>
      <c r="C1109" s="12">
        <v>635500</v>
      </c>
      <c r="D1109" s="12">
        <v>0.08</v>
      </c>
      <c r="E1109" s="12">
        <v>0.2</v>
      </c>
      <c r="F1109" s="12">
        <v>0.05</v>
      </c>
      <c r="G1109" s="12">
        <v>0.1</v>
      </c>
      <c r="H1109" s="12">
        <v>0.25</v>
      </c>
      <c r="I1109" s="12">
        <v>7.0000000000000007E-2</v>
      </c>
      <c r="J1109" s="12">
        <v>0.13</v>
      </c>
      <c r="K1109" s="12">
        <v>0.33</v>
      </c>
      <c r="L1109" s="12">
        <v>0.09</v>
      </c>
      <c r="M1109" s="8">
        <v>7</v>
      </c>
      <c r="N1109">
        <v>9</v>
      </c>
      <c r="O1109" s="12">
        <v>11</v>
      </c>
      <c r="BQ1109" s="8">
        <v>8</v>
      </c>
      <c r="BR1109" s="8" t="s">
        <v>2278</v>
      </c>
    </row>
    <row r="1110" spans="1:70" x14ac:dyDescent="0.3">
      <c r="A1110" s="11" t="s">
        <v>2279</v>
      </c>
      <c r="B1110" s="12">
        <v>207200</v>
      </c>
      <c r="C1110" s="12">
        <v>748600</v>
      </c>
      <c r="D1110" s="12">
        <v>0.14000000000000001</v>
      </c>
      <c r="E1110" s="12">
        <v>0.34</v>
      </c>
      <c r="F1110" s="12">
        <v>7.0000000000000007E-2</v>
      </c>
      <c r="G1110" s="12">
        <v>0.19</v>
      </c>
      <c r="H1110" s="12">
        <v>0.47</v>
      </c>
      <c r="I1110" s="12">
        <v>0.09</v>
      </c>
      <c r="J1110" s="12">
        <v>0.28000000000000003</v>
      </c>
      <c r="K1110" s="12">
        <v>0.7</v>
      </c>
      <c r="L1110" s="12">
        <v>0.13</v>
      </c>
      <c r="M1110" s="8">
        <v>6</v>
      </c>
      <c r="N1110">
        <v>7</v>
      </c>
      <c r="O1110" s="12">
        <v>8</v>
      </c>
      <c r="BQ1110" s="8">
        <v>7</v>
      </c>
      <c r="BR1110" s="8" t="s">
        <v>2280</v>
      </c>
    </row>
    <row r="1111" spans="1:70" x14ac:dyDescent="0.3">
      <c r="A1111" s="11" t="s">
        <v>2281</v>
      </c>
      <c r="B1111" s="12">
        <v>175500</v>
      </c>
      <c r="C1111" s="12">
        <v>626700</v>
      </c>
      <c r="D1111" s="12">
        <v>0.06</v>
      </c>
      <c r="E1111" s="12">
        <v>0.16</v>
      </c>
      <c r="F1111" s="12">
        <v>0.04</v>
      </c>
      <c r="G1111" s="12">
        <v>0.08</v>
      </c>
      <c r="H1111" s="12">
        <v>0.21</v>
      </c>
      <c r="I1111" s="12">
        <v>0.05</v>
      </c>
      <c r="J1111" s="12">
        <v>0.12</v>
      </c>
      <c r="K1111" s="12">
        <v>0.28999999999999998</v>
      </c>
      <c r="L1111" s="12">
        <v>7.0000000000000007E-2</v>
      </c>
      <c r="M1111" s="8">
        <v>8</v>
      </c>
      <c r="N1111">
        <v>10</v>
      </c>
      <c r="O1111" s="12">
        <v>12</v>
      </c>
      <c r="BQ1111" s="8">
        <v>7</v>
      </c>
      <c r="BR1111" s="8" t="s">
        <v>2282</v>
      </c>
    </row>
    <row r="1112" spans="1:70" x14ac:dyDescent="0.3">
      <c r="A1112" s="11" t="s">
        <v>2283</v>
      </c>
      <c r="B1112" s="12">
        <v>210800</v>
      </c>
      <c r="C1112" s="12">
        <v>669300</v>
      </c>
      <c r="D1112" s="12">
        <v>0.09</v>
      </c>
      <c r="E1112" s="12">
        <v>0.22</v>
      </c>
      <c r="F1112" s="12">
        <v>0.05</v>
      </c>
      <c r="G1112" s="12">
        <v>0.11</v>
      </c>
      <c r="H1112" s="12">
        <v>0.27</v>
      </c>
      <c r="I1112" s="12">
        <v>7.0000000000000007E-2</v>
      </c>
      <c r="J1112" s="12">
        <v>0.14000000000000001</v>
      </c>
      <c r="K1112" s="12">
        <v>0.36</v>
      </c>
      <c r="L1112" s="12">
        <v>0.09</v>
      </c>
      <c r="M1112" s="8">
        <v>7</v>
      </c>
      <c r="N1112">
        <v>9</v>
      </c>
      <c r="O1112" s="12">
        <v>10</v>
      </c>
      <c r="BQ1112" s="8">
        <v>8</v>
      </c>
      <c r="BR1112" s="8" t="s">
        <v>2284</v>
      </c>
    </row>
    <row r="1113" spans="1:70" x14ac:dyDescent="0.3">
      <c r="A1113" s="11" t="s">
        <v>2285</v>
      </c>
      <c r="B1113" s="12">
        <v>211500</v>
      </c>
      <c r="C1113" s="12">
        <v>635400</v>
      </c>
      <c r="D1113" s="12">
        <v>0.08</v>
      </c>
      <c r="E1113" s="12">
        <v>0.2</v>
      </c>
      <c r="F1113" s="12">
        <v>0.05</v>
      </c>
      <c r="G1113" s="12">
        <v>0.1</v>
      </c>
      <c r="H1113" s="12">
        <v>0.26</v>
      </c>
      <c r="I1113" s="12">
        <v>7.0000000000000007E-2</v>
      </c>
      <c r="J1113" s="12">
        <v>0.13</v>
      </c>
      <c r="K1113" s="12">
        <v>0.34</v>
      </c>
      <c r="L1113" s="12">
        <v>0.09</v>
      </c>
      <c r="M1113" s="8">
        <v>7</v>
      </c>
      <c r="N1113">
        <v>9</v>
      </c>
      <c r="O1113" s="12">
        <v>10</v>
      </c>
      <c r="BQ1113" s="8">
        <v>8</v>
      </c>
      <c r="BR1113" s="8" t="s">
        <v>2286</v>
      </c>
    </row>
    <row r="1114" spans="1:70" x14ac:dyDescent="0.3">
      <c r="A1114" s="11" t="s">
        <v>2287</v>
      </c>
      <c r="B1114" s="12">
        <v>183200</v>
      </c>
      <c r="C1114" s="12">
        <v>640900</v>
      </c>
      <c r="D1114" s="12">
        <v>0.06</v>
      </c>
      <c r="E1114" s="12">
        <v>0.14000000000000001</v>
      </c>
      <c r="F1114" s="12">
        <v>0.04</v>
      </c>
      <c r="G1114" s="12">
        <v>7.0000000000000007E-2</v>
      </c>
      <c r="H1114" s="12">
        <v>0.18</v>
      </c>
      <c r="I1114" s="12">
        <v>0.05</v>
      </c>
      <c r="J1114" s="12">
        <v>0.09</v>
      </c>
      <c r="K1114" s="12">
        <v>0.23</v>
      </c>
      <c r="L1114" s="12">
        <v>7.0000000000000007E-2</v>
      </c>
      <c r="M1114" s="8">
        <v>8</v>
      </c>
      <c r="N1114">
        <v>10</v>
      </c>
      <c r="O1114" s="12">
        <v>12</v>
      </c>
      <c r="BQ1114" s="8">
        <v>5</v>
      </c>
      <c r="BR1114" s="8" t="s">
        <v>2288</v>
      </c>
    </row>
    <row r="1115" spans="1:70" x14ac:dyDescent="0.3">
      <c r="A1115" s="11" t="s">
        <v>2289</v>
      </c>
      <c r="B1115" s="12">
        <v>187000</v>
      </c>
      <c r="C1115" s="12">
        <v>682400</v>
      </c>
      <c r="D1115" s="12">
        <v>0.06</v>
      </c>
      <c r="E1115" s="12">
        <v>0.15</v>
      </c>
      <c r="F1115" s="12">
        <v>0.04</v>
      </c>
      <c r="G1115" s="12">
        <v>0.08</v>
      </c>
      <c r="H1115" s="12">
        <v>0.2</v>
      </c>
      <c r="I1115" s="12">
        <v>0.06</v>
      </c>
      <c r="J1115" s="12">
        <v>0.1</v>
      </c>
      <c r="K1115" s="12">
        <v>0.26</v>
      </c>
      <c r="L1115" s="12">
        <v>0.08</v>
      </c>
      <c r="M1115" s="8">
        <v>8</v>
      </c>
      <c r="N1115">
        <v>10</v>
      </c>
      <c r="O1115" s="12">
        <v>12</v>
      </c>
      <c r="BQ1115" s="8">
        <v>8</v>
      </c>
      <c r="BR1115" s="8" t="s">
        <v>2290</v>
      </c>
    </row>
    <row r="1116" spans="1:70" x14ac:dyDescent="0.3">
      <c r="A1116" s="11" t="s">
        <v>2291</v>
      </c>
      <c r="B1116" s="12">
        <v>253500</v>
      </c>
      <c r="C1116" s="12">
        <v>790500</v>
      </c>
      <c r="D1116" s="12">
        <v>0.25</v>
      </c>
      <c r="E1116" s="12">
        <v>0.6</v>
      </c>
      <c r="F1116" s="12">
        <v>0.11</v>
      </c>
      <c r="G1116" s="12">
        <v>0.33</v>
      </c>
      <c r="H1116" s="12">
        <v>0.81</v>
      </c>
      <c r="I1116" s="12">
        <v>0.16</v>
      </c>
      <c r="J1116" s="12">
        <v>0.44</v>
      </c>
      <c r="K1116" s="12">
        <v>1.1200000000000001</v>
      </c>
      <c r="L1116" s="12">
        <v>0.24</v>
      </c>
      <c r="M1116" s="8">
        <v>5</v>
      </c>
      <c r="N1116">
        <v>6</v>
      </c>
      <c r="O1116" s="12">
        <v>7</v>
      </c>
      <c r="BQ1116" s="8">
        <v>8</v>
      </c>
      <c r="BR1116" s="8" t="s">
        <v>2292</v>
      </c>
    </row>
    <row r="1117" spans="1:70" x14ac:dyDescent="0.3">
      <c r="A1117" s="11" t="s">
        <v>2293</v>
      </c>
      <c r="B1117" s="12">
        <v>161400</v>
      </c>
      <c r="C1117" s="12">
        <v>593400</v>
      </c>
      <c r="D1117" s="12">
        <v>0.05</v>
      </c>
      <c r="E1117" s="12">
        <v>0.12</v>
      </c>
      <c r="F1117" s="12">
        <v>0.04</v>
      </c>
      <c r="G1117" s="12">
        <v>7.0000000000000007E-2</v>
      </c>
      <c r="H1117" s="12">
        <v>0.16</v>
      </c>
      <c r="I1117" s="12">
        <v>0.05</v>
      </c>
      <c r="J1117" s="12">
        <v>0.09</v>
      </c>
      <c r="K1117" s="12">
        <v>0.22</v>
      </c>
      <c r="L1117" s="12">
        <v>0.06</v>
      </c>
      <c r="M1117" s="8">
        <v>8</v>
      </c>
      <c r="N1117">
        <v>10</v>
      </c>
      <c r="O1117" s="12">
        <v>13</v>
      </c>
      <c r="BQ1117" s="8">
        <v>7</v>
      </c>
      <c r="BR1117" s="8" t="s">
        <v>2294</v>
      </c>
    </row>
    <row r="1118" spans="1:70" x14ac:dyDescent="0.3">
      <c r="A1118" s="11" t="s">
        <v>2295</v>
      </c>
      <c r="B1118" s="12">
        <v>191700</v>
      </c>
      <c r="C1118" s="12">
        <v>655200</v>
      </c>
      <c r="D1118" s="12">
        <v>0.06</v>
      </c>
      <c r="E1118" s="12">
        <v>0.15</v>
      </c>
      <c r="F1118" s="12">
        <v>0.04</v>
      </c>
      <c r="G1118" s="12">
        <v>0.08</v>
      </c>
      <c r="H1118" s="12">
        <v>0.19</v>
      </c>
      <c r="I1118" s="12">
        <v>0.06</v>
      </c>
      <c r="J1118" s="12">
        <v>0.1</v>
      </c>
      <c r="K1118" s="12">
        <v>0.25</v>
      </c>
      <c r="L1118" s="12">
        <v>0.08</v>
      </c>
      <c r="M1118" s="8">
        <v>8</v>
      </c>
      <c r="N1118">
        <v>10</v>
      </c>
      <c r="O1118" s="12">
        <v>12</v>
      </c>
      <c r="BQ1118" s="8">
        <v>6</v>
      </c>
      <c r="BR1118" s="8" t="s">
        <v>2296</v>
      </c>
    </row>
    <row r="1119" spans="1:70" x14ac:dyDescent="0.3">
      <c r="A1119" s="11" t="s">
        <v>2297</v>
      </c>
      <c r="B1119" s="12">
        <v>209600</v>
      </c>
      <c r="C1119" s="12">
        <v>675600</v>
      </c>
      <c r="D1119" s="12">
        <v>0.09</v>
      </c>
      <c r="E1119" s="12">
        <v>0.21</v>
      </c>
      <c r="F1119" s="12">
        <v>0.05</v>
      </c>
      <c r="G1119" s="12">
        <v>0.11</v>
      </c>
      <c r="H1119" s="12">
        <v>0.27</v>
      </c>
      <c r="I1119" s="12">
        <v>7.0000000000000007E-2</v>
      </c>
      <c r="J1119" s="12">
        <v>0.13</v>
      </c>
      <c r="K1119" s="12">
        <v>0.35</v>
      </c>
      <c r="L1119" s="12">
        <v>0.09</v>
      </c>
      <c r="M1119" s="8">
        <v>7</v>
      </c>
      <c r="N1119">
        <v>9</v>
      </c>
      <c r="O1119" s="12">
        <v>11</v>
      </c>
      <c r="BQ1119" s="8">
        <v>6</v>
      </c>
      <c r="BR1119" s="8" t="s">
        <v>2298</v>
      </c>
    </row>
    <row r="1120" spans="1:70" x14ac:dyDescent="0.3">
      <c r="A1120" s="11" t="s">
        <v>2299</v>
      </c>
      <c r="B1120" s="12">
        <v>275900</v>
      </c>
      <c r="C1120" s="12">
        <v>765200</v>
      </c>
      <c r="D1120" s="12">
        <v>0.16</v>
      </c>
      <c r="E1120" s="12">
        <v>0.41</v>
      </c>
      <c r="F1120" s="12">
        <v>0.08</v>
      </c>
      <c r="G1120" s="12">
        <v>0.2</v>
      </c>
      <c r="H1120" s="12">
        <v>0.53</v>
      </c>
      <c r="I1120" s="12">
        <v>0.11</v>
      </c>
      <c r="J1120" s="12">
        <v>0.26</v>
      </c>
      <c r="K1120" s="12">
        <v>0.7</v>
      </c>
      <c r="L1120" s="12">
        <v>0.15</v>
      </c>
      <c r="M1120" s="8">
        <v>6</v>
      </c>
      <c r="N1120">
        <v>7</v>
      </c>
      <c r="O1120" s="12">
        <v>9</v>
      </c>
      <c r="BQ1120" s="8">
        <v>6</v>
      </c>
      <c r="BR1120" s="8" t="s">
        <v>2300</v>
      </c>
    </row>
    <row r="1121" spans="1:70" x14ac:dyDescent="0.3">
      <c r="A1121" s="11" t="s">
        <v>2301</v>
      </c>
      <c r="B1121" s="12">
        <v>234800</v>
      </c>
      <c r="C1121" s="12">
        <v>760300</v>
      </c>
      <c r="D1121" s="12">
        <v>0.15</v>
      </c>
      <c r="E1121" s="12">
        <v>0.38</v>
      </c>
      <c r="F1121" s="12">
        <v>0.08</v>
      </c>
      <c r="G1121" s="12">
        <v>0.19</v>
      </c>
      <c r="H1121" s="12">
        <v>0.48</v>
      </c>
      <c r="I1121" s="12">
        <v>0.1</v>
      </c>
      <c r="J1121" s="12">
        <v>0.24</v>
      </c>
      <c r="K1121" s="12">
        <v>0.63</v>
      </c>
      <c r="L1121" s="12">
        <v>0.14000000000000001</v>
      </c>
      <c r="M1121" s="8">
        <v>6</v>
      </c>
      <c r="N1121">
        <v>7</v>
      </c>
      <c r="O1121" s="12">
        <v>9</v>
      </c>
      <c r="BQ1121" s="8">
        <v>6</v>
      </c>
      <c r="BR1121" s="8" t="s">
        <v>2302</v>
      </c>
    </row>
    <row r="1122" spans="1:70" x14ac:dyDescent="0.3">
      <c r="A1122" s="11" t="s">
        <v>2303</v>
      </c>
      <c r="B1122" s="12">
        <v>235200</v>
      </c>
      <c r="C1122" s="12">
        <v>758000</v>
      </c>
      <c r="D1122" s="12">
        <v>0.15</v>
      </c>
      <c r="E1122" s="12">
        <v>0.39</v>
      </c>
      <c r="F1122" s="12">
        <v>0.08</v>
      </c>
      <c r="G1122" s="12">
        <v>0.19</v>
      </c>
      <c r="H1122" s="12">
        <v>0.49</v>
      </c>
      <c r="I1122" s="12">
        <v>0.1</v>
      </c>
      <c r="J1122" s="12">
        <v>0.24</v>
      </c>
      <c r="K1122" s="12">
        <v>0.64</v>
      </c>
      <c r="L1122" s="12">
        <v>0.14000000000000001</v>
      </c>
      <c r="M1122" s="8">
        <v>6</v>
      </c>
      <c r="N1122">
        <v>7</v>
      </c>
      <c r="O1122" s="12">
        <v>9</v>
      </c>
      <c r="BQ1122" s="8">
        <v>8</v>
      </c>
      <c r="BR1122" s="8" t="s">
        <v>2304</v>
      </c>
    </row>
    <row r="1123" spans="1:70" x14ac:dyDescent="0.3">
      <c r="A1123" s="11" t="s">
        <v>2305</v>
      </c>
      <c r="B1123" s="12">
        <v>214900</v>
      </c>
      <c r="C1123" s="12">
        <v>741900</v>
      </c>
      <c r="D1123" s="12">
        <v>0.14000000000000001</v>
      </c>
      <c r="E1123" s="12">
        <v>0.35</v>
      </c>
      <c r="F1123" s="12">
        <v>7.0000000000000007E-2</v>
      </c>
      <c r="G1123" s="12">
        <v>0.19</v>
      </c>
      <c r="H1123" s="12">
        <v>0.48</v>
      </c>
      <c r="I1123" s="12">
        <v>0.1</v>
      </c>
      <c r="J1123" s="12">
        <v>0.28000000000000003</v>
      </c>
      <c r="K1123" s="12">
        <v>0.69</v>
      </c>
      <c r="L1123" s="12">
        <v>0.14000000000000001</v>
      </c>
      <c r="M1123" s="8">
        <v>6</v>
      </c>
      <c r="N1123">
        <v>7</v>
      </c>
      <c r="O1123" s="12">
        <v>8</v>
      </c>
      <c r="BQ1123" s="8">
        <v>5</v>
      </c>
      <c r="BR1123" s="8" t="s">
        <v>2306</v>
      </c>
    </row>
    <row r="1124" spans="1:70" x14ac:dyDescent="0.3">
      <c r="A1124" s="11" t="s">
        <v>2307</v>
      </c>
      <c r="B1124" s="12">
        <v>194900</v>
      </c>
      <c r="C1124" s="12">
        <v>667100</v>
      </c>
      <c r="D1124" s="12">
        <v>7.0000000000000007E-2</v>
      </c>
      <c r="E1124" s="12">
        <v>0.16</v>
      </c>
      <c r="F1124" s="12">
        <v>0.05</v>
      </c>
      <c r="G1124" s="12">
        <v>0.08</v>
      </c>
      <c r="H1124" s="12">
        <v>0.2</v>
      </c>
      <c r="I1124" s="12">
        <v>0.06</v>
      </c>
      <c r="J1124" s="12">
        <v>0.1</v>
      </c>
      <c r="K1124" s="12">
        <v>0.26</v>
      </c>
      <c r="L1124" s="12">
        <v>0.08</v>
      </c>
      <c r="M1124" s="8">
        <v>8</v>
      </c>
      <c r="N1124">
        <v>9</v>
      </c>
      <c r="O1124" s="12">
        <v>12</v>
      </c>
      <c r="BQ1124" s="8">
        <v>7</v>
      </c>
      <c r="BR1124" s="8" t="s">
        <v>2308</v>
      </c>
    </row>
    <row r="1125" spans="1:70" x14ac:dyDescent="0.3">
      <c r="A1125" s="11" t="s">
        <v>2309</v>
      </c>
      <c r="B1125" s="12">
        <v>251000</v>
      </c>
      <c r="C1125" s="12">
        <v>763700</v>
      </c>
      <c r="D1125" s="12">
        <v>0.26</v>
      </c>
      <c r="E1125" s="12">
        <v>0.64</v>
      </c>
      <c r="F1125" s="12">
        <v>0.12</v>
      </c>
      <c r="G1125" s="12">
        <v>0.34</v>
      </c>
      <c r="H1125" s="12">
        <v>0.84</v>
      </c>
      <c r="I1125" s="12">
        <v>0.17</v>
      </c>
      <c r="J1125" s="12">
        <v>0.45</v>
      </c>
      <c r="K1125" s="12">
        <v>1.1499999999999999</v>
      </c>
      <c r="L1125" s="12">
        <v>0.24</v>
      </c>
      <c r="M1125" s="8">
        <v>5</v>
      </c>
      <c r="N1125">
        <v>6</v>
      </c>
      <c r="O1125" s="12">
        <v>7</v>
      </c>
      <c r="BQ1125" s="8">
        <v>8</v>
      </c>
      <c r="BR1125" s="8" t="s">
        <v>2310</v>
      </c>
    </row>
    <row r="1126" spans="1:70" x14ac:dyDescent="0.3">
      <c r="A1126" s="11" t="s">
        <v>2311</v>
      </c>
      <c r="B1126" s="12">
        <v>212000</v>
      </c>
      <c r="C1126" s="12">
        <v>619500</v>
      </c>
      <c r="D1126" s="12">
        <v>0.08</v>
      </c>
      <c r="E1126" s="12">
        <v>0.21</v>
      </c>
      <c r="F1126" s="12">
        <v>0.05</v>
      </c>
      <c r="G1126" s="12">
        <v>0.1</v>
      </c>
      <c r="H1126" s="12">
        <v>0.26</v>
      </c>
      <c r="I1126" s="12">
        <v>7.0000000000000007E-2</v>
      </c>
      <c r="J1126" s="12">
        <v>0.13</v>
      </c>
      <c r="K1126" s="12">
        <v>0.34</v>
      </c>
      <c r="L1126" s="12">
        <v>0.09</v>
      </c>
      <c r="M1126" s="8">
        <v>7</v>
      </c>
      <c r="N1126">
        <v>9</v>
      </c>
      <c r="O1126" s="12">
        <v>10</v>
      </c>
      <c r="BQ1126" s="8">
        <v>7</v>
      </c>
      <c r="BR1126" s="8" t="s">
        <v>2312</v>
      </c>
    </row>
    <row r="1127" spans="1:70" x14ac:dyDescent="0.3">
      <c r="A1127" s="11" t="s">
        <v>2313</v>
      </c>
      <c r="B1127" s="12">
        <v>181600</v>
      </c>
      <c r="C1127" s="12">
        <v>652400</v>
      </c>
      <c r="D1127" s="12">
        <v>0.06</v>
      </c>
      <c r="E1127" s="12">
        <v>0.14000000000000001</v>
      </c>
      <c r="F1127" s="12">
        <v>0.04</v>
      </c>
      <c r="G1127" s="12">
        <v>7.0000000000000007E-2</v>
      </c>
      <c r="H1127" s="12">
        <v>0.17</v>
      </c>
      <c r="I1127" s="12">
        <v>0.05</v>
      </c>
      <c r="J1127" s="12">
        <v>0.09</v>
      </c>
      <c r="K1127" s="12">
        <v>0.23</v>
      </c>
      <c r="L1127" s="12">
        <v>7.0000000000000007E-2</v>
      </c>
      <c r="M1127" s="8">
        <v>8</v>
      </c>
      <c r="N1127">
        <v>10</v>
      </c>
      <c r="O1127" s="12">
        <v>12</v>
      </c>
      <c r="BQ1127" s="8">
        <v>8</v>
      </c>
      <c r="BR1127" s="8" t="s">
        <v>2314</v>
      </c>
    </row>
    <row r="1128" spans="1:70" x14ac:dyDescent="0.3">
      <c r="A1128" s="11" t="s">
        <v>2315</v>
      </c>
      <c r="B1128" s="12">
        <v>212300</v>
      </c>
      <c r="C1128" s="12">
        <v>669300</v>
      </c>
      <c r="D1128" s="12">
        <v>0.09</v>
      </c>
      <c r="E1128" s="12">
        <v>0.22</v>
      </c>
      <c r="F1128" s="12">
        <v>0.05</v>
      </c>
      <c r="G1128" s="12">
        <v>0.11</v>
      </c>
      <c r="H1128" s="12">
        <v>0.28000000000000003</v>
      </c>
      <c r="I1128" s="12">
        <v>7.0000000000000007E-2</v>
      </c>
      <c r="J1128" s="12">
        <v>0.14000000000000001</v>
      </c>
      <c r="K1128" s="12">
        <v>0.37</v>
      </c>
      <c r="L1128" s="12">
        <v>0.1</v>
      </c>
      <c r="M1128" s="8">
        <v>7</v>
      </c>
      <c r="N1128">
        <v>8</v>
      </c>
      <c r="O1128" s="12">
        <v>10</v>
      </c>
      <c r="BQ1128" s="8">
        <v>8</v>
      </c>
      <c r="BR1128" s="8" t="s">
        <v>2316</v>
      </c>
    </row>
    <row r="1129" spans="1:70" x14ac:dyDescent="0.3">
      <c r="A1129" s="11" t="s">
        <v>2317</v>
      </c>
      <c r="B1129" s="12">
        <v>182800</v>
      </c>
      <c r="C1129" s="12">
        <v>631300</v>
      </c>
      <c r="D1129" s="12">
        <v>0.06</v>
      </c>
      <c r="E1129" s="12">
        <v>0.15</v>
      </c>
      <c r="F1129" s="12">
        <v>0.04</v>
      </c>
      <c r="G1129" s="12">
        <v>0.08</v>
      </c>
      <c r="H1129" s="12">
        <v>0.19</v>
      </c>
      <c r="I1129" s="12">
        <v>0.05</v>
      </c>
      <c r="J1129" s="12">
        <v>0.1</v>
      </c>
      <c r="K1129" s="12">
        <v>0.26</v>
      </c>
      <c r="L1129" s="12">
        <v>7.0000000000000007E-2</v>
      </c>
      <c r="M1129" s="8">
        <v>8</v>
      </c>
      <c r="N1129">
        <v>10</v>
      </c>
      <c r="O1129" s="12">
        <v>12</v>
      </c>
      <c r="BQ1129" s="8">
        <v>5</v>
      </c>
      <c r="BR1129" s="8" t="s">
        <v>2318</v>
      </c>
    </row>
    <row r="1130" spans="1:70" x14ac:dyDescent="0.3">
      <c r="A1130" s="11" t="s">
        <v>2319</v>
      </c>
      <c r="B1130" s="12">
        <v>173300</v>
      </c>
      <c r="C1130" s="12">
        <v>550300</v>
      </c>
      <c r="D1130" s="12">
        <v>0.05</v>
      </c>
      <c r="E1130" s="12">
        <v>0.12</v>
      </c>
      <c r="F1130" s="12">
        <v>0.04</v>
      </c>
      <c r="G1130" s="12">
        <v>0.06</v>
      </c>
      <c r="H1130" s="12">
        <v>0.15</v>
      </c>
      <c r="I1130" s="12">
        <v>0.05</v>
      </c>
      <c r="J1130" s="12">
        <v>0.08</v>
      </c>
      <c r="K1130" s="12">
        <v>0.2</v>
      </c>
      <c r="L1130" s="12">
        <v>0.06</v>
      </c>
      <c r="M1130" s="8">
        <v>8</v>
      </c>
      <c r="N1130">
        <v>10</v>
      </c>
      <c r="O1130" s="12">
        <v>12</v>
      </c>
      <c r="BQ1130" s="8">
        <v>7</v>
      </c>
      <c r="BR1130" s="8" t="s">
        <v>2320</v>
      </c>
    </row>
    <row r="1131" spans="1:70" x14ac:dyDescent="0.3">
      <c r="A1131" s="11" t="s">
        <v>2321</v>
      </c>
      <c r="B1131" s="12">
        <v>243700</v>
      </c>
      <c r="C1131" s="12">
        <v>750800</v>
      </c>
      <c r="D1131" s="12">
        <v>0.2</v>
      </c>
      <c r="E1131" s="12">
        <v>0.5</v>
      </c>
      <c r="F1131" s="12">
        <v>0.09</v>
      </c>
      <c r="G1131" s="12">
        <v>0.25</v>
      </c>
      <c r="H1131" s="12">
        <v>0.65</v>
      </c>
      <c r="I1131" s="12">
        <v>0.13</v>
      </c>
      <c r="J1131" s="12">
        <v>0.33</v>
      </c>
      <c r="K1131" s="12">
        <v>0.87</v>
      </c>
      <c r="L1131" s="12">
        <v>0.18</v>
      </c>
      <c r="M1131" s="8">
        <v>5</v>
      </c>
      <c r="N1131">
        <v>6</v>
      </c>
      <c r="O1131" s="12">
        <v>8</v>
      </c>
      <c r="BQ1131" s="8">
        <v>7</v>
      </c>
      <c r="BR1131" s="8" t="s">
        <v>2322</v>
      </c>
    </row>
    <row r="1132" spans="1:70" x14ac:dyDescent="0.3">
      <c r="A1132" s="11" t="s">
        <v>2323</v>
      </c>
      <c r="B1132" s="12">
        <v>209200</v>
      </c>
      <c r="C1132" s="12">
        <v>764600</v>
      </c>
      <c r="D1132" s="12">
        <v>0.12</v>
      </c>
      <c r="E1132" s="12">
        <v>0.31</v>
      </c>
      <c r="F1132" s="12">
        <v>0.06</v>
      </c>
      <c r="G1132" s="12">
        <v>0.16</v>
      </c>
      <c r="H1132" s="12">
        <v>0.41</v>
      </c>
      <c r="I1132" s="12">
        <v>0.08</v>
      </c>
      <c r="J1132" s="12">
        <v>0.22</v>
      </c>
      <c r="K1132" s="12">
        <v>0.56999999999999995</v>
      </c>
      <c r="L1132" s="12">
        <v>0.12</v>
      </c>
      <c r="M1132" s="8">
        <v>7</v>
      </c>
      <c r="N1132">
        <v>8</v>
      </c>
      <c r="O1132" s="12">
        <v>9</v>
      </c>
      <c r="BQ1132" s="8">
        <v>8</v>
      </c>
      <c r="BR1132" s="8" t="s">
        <v>2324</v>
      </c>
    </row>
    <row r="1133" spans="1:70" x14ac:dyDescent="0.3">
      <c r="A1133" s="11" t="s">
        <v>2325</v>
      </c>
      <c r="B1133" s="12">
        <v>203400</v>
      </c>
      <c r="C1133" s="12">
        <v>714400</v>
      </c>
      <c r="D1133" s="12">
        <v>0.1</v>
      </c>
      <c r="E1133" s="12">
        <v>0.24</v>
      </c>
      <c r="F1133" s="12">
        <v>0.06</v>
      </c>
      <c r="G1133" s="12">
        <v>0.12</v>
      </c>
      <c r="H1133" s="12">
        <v>0.31</v>
      </c>
      <c r="I1133" s="12">
        <v>7.0000000000000007E-2</v>
      </c>
      <c r="J1133" s="12">
        <v>0.17</v>
      </c>
      <c r="K1133" s="12">
        <v>0.43</v>
      </c>
      <c r="L1133" s="12">
        <v>0.1</v>
      </c>
      <c r="M1133" s="8">
        <v>7</v>
      </c>
      <c r="N1133">
        <v>8</v>
      </c>
      <c r="O1133" s="12">
        <v>10</v>
      </c>
      <c r="BQ1133" s="8">
        <v>8</v>
      </c>
      <c r="BR1133" s="8" t="s">
        <v>2326</v>
      </c>
    </row>
    <row r="1134" spans="1:70" x14ac:dyDescent="0.3">
      <c r="A1134" s="11" t="s">
        <v>2327</v>
      </c>
      <c r="B1134" s="12">
        <v>177000</v>
      </c>
      <c r="C1134" s="12">
        <v>589000</v>
      </c>
      <c r="D1134" s="12">
        <v>0.06</v>
      </c>
      <c r="E1134" s="12">
        <v>0.15</v>
      </c>
      <c r="F1134" s="12">
        <v>0.04</v>
      </c>
      <c r="G1134" s="12">
        <v>0.08</v>
      </c>
      <c r="H1134" s="12">
        <v>0.19</v>
      </c>
      <c r="I1134" s="12">
        <v>0.05</v>
      </c>
      <c r="J1134" s="12">
        <v>0.11</v>
      </c>
      <c r="K1134" s="12">
        <v>0.27</v>
      </c>
      <c r="L1134" s="12">
        <v>7.0000000000000007E-2</v>
      </c>
      <c r="M1134" s="8">
        <v>8</v>
      </c>
      <c r="N1134">
        <v>10</v>
      </c>
      <c r="O1134" s="12">
        <v>12</v>
      </c>
      <c r="BQ1134" s="8">
        <v>5</v>
      </c>
      <c r="BR1134" s="8" t="s">
        <v>2328</v>
      </c>
    </row>
    <row r="1135" spans="1:70" x14ac:dyDescent="0.3">
      <c r="A1135" s="11" t="s">
        <v>2329</v>
      </c>
      <c r="B1135" s="12">
        <v>174600</v>
      </c>
      <c r="C1135" s="12">
        <v>617500</v>
      </c>
      <c r="D1135" s="12">
        <v>7.0000000000000007E-2</v>
      </c>
      <c r="E1135" s="12">
        <v>0.16</v>
      </c>
      <c r="F1135" s="12">
        <v>0.04</v>
      </c>
      <c r="G1135" s="12">
        <v>0.09</v>
      </c>
      <c r="H1135" s="12">
        <v>0.22</v>
      </c>
      <c r="I1135" s="12">
        <v>0.05</v>
      </c>
      <c r="J1135" s="12">
        <v>0.12</v>
      </c>
      <c r="K1135" s="12">
        <v>0.3</v>
      </c>
      <c r="L1135" s="12">
        <v>7.0000000000000007E-2</v>
      </c>
      <c r="M1135" s="8">
        <v>8</v>
      </c>
      <c r="N1135">
        <v>10</v>
      </c>
      <c r="O1135" s="12">
        <v>12</v>
      </c>
      <c r="BQ1135" s="8">
        <v>8</v>
      </c>
      <c r="BR1135" s="8" t="s">
        <v>2330</v>
      </c>
    </row>
    <row r="1136" spans="1:70" x14ac:dyDescent="0.3">
      <c r="A1136" s="11" t="s">
        <v>2331</v>
      </c>
      <c r="B1136" s="12">
        <v>244700</v>
      </c>
      <c r="C1136" s="12">
        <v>706200</v>
      </c>
      <c r="D1136" s="12">
        <v>0.22</v>
      </c>
      <c r="E1136" s="12">
        <v>0.55000000000000004</v>
      </c>
      <c r="F1136" s="12">
        <v>0.1</v>
      </c>
      <c r="G1136" s="12">
        <v>0.28999999999999998</v>
      </c>
      <c r="H1136" s="12">
        <v>0.73</v>
      </c>
      <c r="I1136" s="12">
        <v>0.14000000000000001</v>
      </c>
      <c r="J1136" s="12">
        <v>0.38</v>
      </c>
      <c r="K1136" s="12">
        <v>1</v>
      </c>
      <c r="L1136" s="12">
        <v>0.2</v>
      </c>
      <c r="M1136" s="8">
        <v>5</v>
      </c>
      <c r="N1136">
        <v>6</v>
      </c>
      <c r="O1136" s="12">
        <v>7</v>
      </c>
      <c r="BQ1136" s="8">
        <v>6</v>
      </c>
      <c r="BR1136" s="8" t="s">
        <v>2332</v>
      </c>
    </row>
    <row r="1137" spans="1:70" x14ac:dyDescent="0.3">
      <c r="A1137" s="11" t="s">
        <v>2333</v>
      </c>
      <c r="B1137" s="12">
        <v>172100</v>
      </c>
      <c r="C1137" s="12">
        <v>600400</v>
      </c>
      <c r="D1137" s="12">
        <v>0.06</v>
      </c>
      <c r="E1137" s="12">
        <v>0.15</v>
      </c>
      <c r="F1137" s="12">
        <v>0.04</v>
      </c>
      <c r="G1137" s="12">
        <v>0.08</v>
      </c>
      <c r="H1137" s="12">
        <v>0.2</v>
      </c>
      <c r="I1137" s="12">
        <v>0.05</v>
      </c>
      <c r="J1137" s="12">
        <v>0.12</v>
      </c>
      <c r="K1137" s="12">
        <v>0.28999999999999998</v>
      </c>
      <c r="L1137" s="12">
        <v>7.0000000000000007E-2</v>
      </c>
      <c r="M1137" s="8">
        <v>8</v>
      </c>
      <c r="N1137">
        <v>10</v>
      </c>
      <c r="O1137" s="12">
        <v>12</v>
      </c>
      <c r="BQ1137" s="8">
        <v>6</v>
      </c>
      <c r="BR1137" s="8" t="s">
        <v>2334</v>
      </c>
    </row>
    <row r="1138" spans="1:70" x14ac:dyDescent="0.3">
      <c r="A1138" s="11" t="s">
        <v>2335</v>
      </c>
      <c r="B1138" s="12">
        <v>229400</v>
      </c>
      <c r="C1138" s="12">
        <v>743700</v>
      </c>
      <c r="D1138" s="12">
        <v>0.15</v>
      </c>
      <c r="E1138" s="12">
        <v>0.37</v>
      </c>
      <c r="F1138" s="12">
        <v>7.0000000000000007E-2</v>
      </c>
      <c r="G1138" s="12">
        <v>0.18</v>
      </c>
      <c r="H1138" s="12">
        <v>0.47</v>
      </c>
      <c r="I1138" s="12">
        <v>0.1</v>
      </c>
      <c r="J1138" s="12">
        <v>0.24</v>
      </c>
      <c r="K1138" s="12">
        <v>0.62</v>
      </c>
      <c r="L1138" s="12">
        <v>0.13</v>
      </c>
      <c r="M1138" s="8">
        <v>6</v>
      </c>
      <c r="N1138">
        <v>7</v>
      </c>
      <c r="O1138" s="12">
        <v>9</v>
      </c>
      <c r="BQ1138" s="8">
        <v>5</v>
      </c>
      <c r="BR1138" s="8" t="s">
        <v>2336</v>
      </c>
    </row>
    <row r="1139" spans="1:70" x14ac:dyDescent="0.3">
      <c r="A1139" s="11" t="s">
        <v>2337</v>
      </c>
      <c r="B1139" s="12">
        <v>229100</v>
      </c>
      <c r="C1139" s="12">
        <v>742500</v>
      </c>
      <c r="D1139" s="12">
        <v>0.15</v>
      </c>
      <c r="E1139" s="12">
        <v>0.37</v>
      </c>
      <c r="F1139" s="12">
        <v>7.0000000000000007E-2</v>
      </c>
      <c r="G1139" s="12">
        <v>0.18</v>
      </c>
      <c r="H1139" s="12">
        <v>0.47</v>
      </c>
      <c r="I1139" s="12">
        <v>0.1</v>
      </c>
      <c r="J1139" s="12">
        <v>0.24</v>
      </c>
      <c r="K1139" s="12">
        <v>0.62</v>
      </c>
      <c r="L1139" s="12">
        <v>0.13</v>
      </c>
      <c r="M1139" s="8">
        <v>6</v>
      </c>
      <c r="N1139">
        <v>7</v>
      </c>
      <c r="O1139" s="12">
        <v>9</v>
      </c>
      <c r="BQ1139" s="8">
        <v>5</v>
      </c>
      <c r="BR1139" s="8" t="s">
        <v>2338</v>
      </c>
    </row>
    <row r="1140" spans="1:70" x14ac:dyDescent="0.3">
      <c r="A1140" s="11" t="s">
        <v>2339</v>
      </c>
      <c r="B1140" s="12">
        <v>246300</v>
      </c>
      <c r="C1140" s="12">
        <v>683800</v>
      </c>
      <c r="D1140" s="12">
        <v>0.24</v>
      </c>
      <c r="E1140" s="12">
        <v>0.6</v>
      </c>
      <c r="F1140" s="12">
        <v>0.11</v>
      </c>
      <c r="G1140" s="12">
        <v>0.31</v>
      </c>
      <c r="H1140" s="12">
        <v>0.8</v>
      </c>
      <c r="I1140" s="12">
        <v>0.16</v>
      </c>
      <c r="J1140" s="12">
        <v>0.42</v>
      </c>
      <c r="K1140" s="12">
        <v>1.0900000000000001</v>
      </c>
      <c r="L1140" s="12">
        <v>0.23</v>
      </c>
      <c r="M1140" s="8">
        <v>5</v>
      </c>
      <c r="N1140">
        <v>5</v>
      </c>
      <c r="O1140" s="12">
        <v>6</v>
      </c>
      <c r="BQ1140" s="8">
        <v>5</v>
      </c>
      <c r="BR1140" s="8" t="s">
        <v>2340</v>
      </c>
    </row>
    <row r="1141" spans="1:70" x14ac:dyDescent="0.3">
      <c r="A1141" s="11" t="s">
        <v>2341</v>
      </c>
      <c r="B1141" s="12">
        <v>248000</v>
      </c>
      <c r="C1141" s="12">
        <v>691000</v>
      </c>
      <c r="D1141" s="12">
        <v>0.25</v>
      </c>
      <c r="E1141" s="12">
        <v>0.62</v>
      </c>
      <c r="F1141" s="12">
        <v>0.12</v>
      </c>
      <c r="G1141" s="12">
        <v>0.33</v>
      </c>
      <c r="H1141" s="12">
        <v>0.82</v>
      </c>
      <c r="I1141" s="12">
        <v>0.16</v>
      </c>
      <c r="J1141" s="12">
        <v>0.44</v>
      </c>
      <c r="K1141" s="12">
        <v>1.1200000000000001</v>
      </c>
      <c r="L1141" s="12">
        <v>0.23</v>
      </c>
      <c r="M1141" s="8">
        <v>5</v>
      </c>
      <c r="N1141">
        <v>5</v>
      </c>
      <c r="O1141" s="12">
        <v>6</v>
      </c>
      <c r="BQ1141" s="8">
        <v>8</v>
      </c>
      <c r="BR1141" s="8" t="s">
        <v>2342</v>
      </c>
    </row>
    <row r="1142" spans="1:70" x14ac:dyDescent="0.3">
      <c r="A1142" s="11" t="s">
        <v>2343</v>
      </c>
      <c r="B1142" s="12">
        <v>246500</v>
      </c>
      <c r="C1142" s="12">
        <v>706400</v>
      </c>
      <c r="D1142" s="12">
        <v>0.23</v>
      </c>
      <c r="E1142" s="12">
        <v>0.57999999999999996</v>
      </c>
      <c r="F1142" s="12">
        <v>0.11</v>
      </c>
      <c r="G1142" s="12">
        <v>0.3</v>
      </c>
      <c r="H1142" s="12">
        <v>0.76</v>
      </c>
      <c r="I1142" s="12">
        <v>0.15</v>
      </c>
      <c r="J1142" s="12">
        <v>0.41</v>
      </c>
      <c r="K1142" s="12">
        <v>1.05</v>
      </c>
      <c r="L1142" s="12">
        <v>0.22</v>
      </c>
      <c r="M1142" s="8">
        <v>5</v>
      </c>
      <c r="N1142">
        <v>6</v>
      </c>
      <c r="O1142" s="12">
        <v>7</v>
      </c>
      <c r="BQ1142" s="8">
        <v>5</v>
      </c>
      <c r="BR1142" s="8" t="s">
        <v>2344</v>
      </c>
    </row>
    <row r="1143" spans="1:70" x14ac:dyDescent="0.3">
      <c r="A1143" s="11" t="s">
        <v>2345</v>
      </c>
      <c r="B1143" s="12">
        <v>182000</v>
      </c>
      <c r="C1143" s="12">
        <v>645100</v>
      </c>
      <c r="D1143" s="12">
        <v>0.06</v>
      </c>
      <c r="E1143" s="12">
        <v>0.14000000000000001</v>
      </c>
      <c r="F1143" s="12">
        <v>0.04</v>
      </c>
      <c r="G1143" s="12">
        <v>7.0000000000000007E-2</v>
      </c>
      <c r="H1143" s="12">
        <v>0.18</v>
      </c>
      <c r="I1143" s="12">
        <v>0.05</v>
      </c>
      <c r="J1143" s="12">
        <v>0.09</v>
      </c>
      <c r="K1143" s="12">
        <v>0.23</v>
      </c>
      <c r="L1143" s="12">
        <v>7.0000000000000007E-2</v>
      </c>
      <c r="M1143" s="8">
        <v>8</v>
      </c>
      <c r="N1143">
        <v>10</v>
      </c>
      <c r="O1143" s="12">
        <v>12</v>
      </c>
      <c r="BQ1143" s="8">
        <v>7</v>
      </c>
      <c r="BR1143" s="8" t="s">
        <v>2346</v>
      </c>
    </row>
    <row r="1144" spans="1:70" x14ac:dyDescent="0.3">
      <c r="A1144" s="11" t="s">
        <v>2347</v>
      </c>
      <c r="B1144" s="12">
        <v>245800</v>
      </c>
      <c r="C1144" s="12">
        <v>772700</v>
      </c>
      <c r="D1144" s="12">
        <v>0.21</v>
      </c>
      <c r="E1144" s="12">
        <v>0.53</v>
      </c>
      <c r="F1144" s="12">
        <v>0.1</v>
      </c>
      <c r="G1144" s="12">
        <v>0.27</v>
      </c>
      <c r="H1144" s="12">
        <v>0.69</v>
      </c>
      <c r="I1144" s="12">
        <v>0.14000000000000001</v>
      </c>
      <c r="J1144" s="12">
        <v>0.36</v>
      </c>
      <c r="K1144" s="12">
        <v>0.93</v>
      </c>
      <c r="L1144" s="12">
        <v>0.19</v>
      </c>
      <c r="M1144" s="8">
        <v>5</v>
      </c>
      <c r="N1144">
        <v>6</v>
      </c>
      <c r="O1144" s="12">
        <v>8</v>
      </c>
      <c r="BQ1144" s="8">
        <v>6</v>
      </c>
      <c r="BR1144" s="8" t="s">
        <v>2348</v>
      </c>
    </row>
    <row r="1145" spans="1:70" x14ac:dyDescent="0.3">
      <c r="A1145" s="11" t="s">
        <v>2349</v>
      </c>
      <c r="B1145" s="12">
        <v>212800</v>
      </c>
      <c r="C1145" s="12">
        <v>708400</v>
      </c>
      <c r="D1145" s="12">
        <v>0.11</v>
      </c>
      <c r="E1145" s="12">
        <v>0.27</v>
      </c>
      <c r="F1145" s="12">
        <v>0.06</v>
      </c>
      <c r="G1145" s="12">
        <v>0.14000000000000001</v>
      </c>
      <c r="H1145" s="12">
        <v>0.36</v>
      </c>
      <c r="I1145" s="12">
        <v>0.08</v>
      </c>
      <c r="J1145" s="12">
        <v>0.2</v>
      </c>
      <c r="K1145" s="12">
        <v>0.51</v>
      </c>
      <c r="L1145" s="12">
        <v>0.11</v>
      </c>
      <c r="M1145" s="8">
        <v>7</v>
      </c>
      <c r="N1145">
        <v>8</v>
      </c>
      <c r="O1145" s="12">
        <v>9</v>
      </c>
      <c r="BQ1145" s="8">
        <v>6</v>
      </c>
      <c r="BR1145" s="8" t="s">
        <v>2350</v>
      </c>
    </row>
    <row r="1146" spans="1:70" x14ac:dyDescent="0.3">
      <c r="A1146" s="11" t="s">
        <v>2351</v>
      </c>
      <c r="B1146" s="12">
        <v>229900</v>
      </c>
      <c r="C1146" s="12">
        <v>736500</v>
      </c>
      <c r="D1146" s="12">
        <v>0.15</v>
      </c>
      <c r="E1146" s="12">
        <v>0.38</v>
      </c>
      <c r="F1146" s="12">
        <v>0.08</v>
      </c>
      <c r="G1146" s="12">
        <v>0.19</v>
      </c>
      <c r="H1146" s="12">
        <v>0.49</v>
      </c>
      <c r="I1146" s="12">
        <v>0.1</v>
      </c>
      <c r="J1146" s="12">
        <v>0.25</v>
      </c>
      <c r="K1146" s="12">
        <v>0.65</v>
      </c>
      <c r="L1146" s="12">
        <v>0.14000000000000001</v>
      </c>
      <c r="M1146" s="8">
        <v>6</v>
      </c>
      <c r="N1146">
        <v>7</v>
      </c>
      <c r="O1146" s="12">
        <v>9</v>
      </c>
      <c r="BQ1146" s="8">
        <v>8</v>
      </c>
      <c r="BR1146" s="8" t="s">
        <v>2352</v>
      </c>
    </row>
    <row r="1147" spans="1:70" x14ac:dyDescent="0.3">
      <c r="A1147" s="11" t="s">
        <v>2353</v>
      </c>
      <c r="B1147" s="12">
        <v>232200</v>
      </c>
      <c r="C1147" s="12">
        <v>649200</v>
      </c>
      <c r="D1147" s="12">
        <v>0.16</v>
      </c>
      <c r="E1147" s="12">
        <v>0.4</v>
      </c>
      <c r="F1147" s="12">
        <v>0.08</v>
      </c>
      <c r="G1147" s="12">
        <v>0.21</v>
      </c>
      <c r="H1147" s="12">
        <v>0.53</v>
      </c>
      <c r="I1147" s="12">
        <v>0.11</v>
      </c>
      <c r="J1147" s="12">
        <v>0.28000000000000003</v>
      </c>
      <c r="K1147" s="12">
        <v>0.73</v>
      </c>
      <c r="L1147" s="12">
        <v>0.15</v>
      </c>
      <c r="M1147" s="8">
        <v>6</v>
      </c>
      <c r="N1147">
        <v>6</v>
      </c>
      <c r="O1147" s="12">
        <v>8</v>
      </c>
      <c r="BQ1147" s="8">
        <v>6</v>
      </c>
      <c r="BR1147" s="8" t="s">
        <v>2354</v>
      </c>
    </row>
    <row r="1148" spans="1:70" x14ac:dyDescent="0.3">
      <c r="A1148" s="11" t="s">
        <v>2355</v>
      </c>
      <c r="B1148" s="12">
        <v>193400</v>
      </c>
      <c r="C1148" s="12">
        <v>661200</v>
      </c>
      <c r="D1148" s="12">
        <v>0.06</v>
      </c>
      <c r="E1148" s="12">
        <v>0.16</v>
      </c>
      <c r="F1148" s="12">
        <v>0.04</v>
      </c>
      <c r="G1148" s="12">
        <v>0.08</v>
      </c>
      <c r="H1148" s="12">
        <v>0.2</v>
      </c>
      <c r="I1148" s="12">
        <v>0.06</v>
      </c>
      <c r="J1148" s="12">
        <v>0.1</v>
      </c>
      <c r="K1148" s="12">
        <v>0.25</v>
      </c>
      <c r="L1148" s="12">
        <v>0.08</v>
      </c>
      <c r="M1148" s="8">
        <v>8</v>
      </c>
      <c r="N1148">
        <v>10</v>
      </c>
      <c r="O1148" s="12">
        <v>12</v>
      </c>
      <c r="BQ1148" s="8">
        <v>6</v>
      </c>
      <c r="BR1148" s="8" t="s">
        <v>2356</v>
      </c>
    </row>
    <row r="1149" spans="1:70" x14ac:dyDescent="0.3">
      <c r="A1149" s="11" t="s">
        <v>2357</v>
      </c>
      <c r="B1149" s="12">
        <v>209400</v>
      </c>
      <c r="C1149" s="12">
        <v>739500</v>
      </c>
      <c r="D1149" s="12">
        <v>0.14000000000000001</v>
      </c>
      <c r="E1149" s="12">
        <v>0.34</v>
      </c>
      <c r="F1149" s="12">
        <v>7.0000000000000007E-2</v>
      </c>
      <c r="G1149" s="12">
        <v>0.2</v>
      </c>
      <c r="H1149" s="12">
        <v>0.49</v>
      </c>
      <c r="I1149" s="12">
        <v>0.1</v>
      </c>
      <c r="J1149" s="12">
        <v>0.28999999999999998</v>
      </c>
      <c r="K1149" s="12">
        <v>0.72</v>
      </c>
      <c r="L1149" s="12">
        <v>0.14000000000000001</v>
      </c>
      <c r="M1149" s="8">
        <v>6</v>
      </c>
      <c r="N1149">
        <v>7</v>
      </c>
      <c r="O1149" s="12">
        <v>8</v>
      </c>
      <c r="BQ1149" s="8">
        <v>5</v>
      </c>
      <c r="BR1149" s="8" t="s">
        <v>2358</v>
      </c>
    </row>
    <row r="1150" spans="1:70" x14ac:dyDescent="0.3">
      <c r="A1150" s="11" t="s">
        <v>2359</v>
      </c>
      <c r="B1150" s="12">
        <v>224400</v>
      </c>
      <c r="C1150" s="12">
        <v>714700</v>
      </c>
      <c r="D1150" s="12">
        <v>0.15</v>
      </c>
      <c r="E1150" s="12">
        <v>0.37</v>
      </c>
      <c r="F1150" s="12">
        <v>0.08</v>
      </c>
      <c r="G1150" s="12">
        <v>0.2</v>
      </c>
      <c r="H1150" s="12">
        <v>0.51</v>
      </c>
      <c r="I1150" s="12">
        <v>0.1</v>
      </c>
      <c r="J1150" s="12">
        <v>0.28999999999999998</v>
      </c>
      <c r="K1150" s="12">
        <v>0.72</v>
      </c>
      <c r="L1150" s="12">
        <v>0.15</v>
      </c>
      <c r="M1150" s="8">
        <v>6</v>
      </c>
      <c r="N1150">
        <v>7</v>
      </c>
      <c r="O1150" s="12">
        <v>8</v>
      </c>
      <c r="BQ1150" s="8">
        <v>8</v>
      </c>
      <c r="BR1150" s="8" t="s">
        <v>2360</v>
      </c>
    </row>
    <row r="1151" spans="1:70" x14ac:dyDescent="0.3">
      <c r="A1151" s="11" t="s">
        <v>2361</v>
      </c>
      <c r="B1151" s="12">
        <v>262600</v>
      </c>
      <c r="C1151" s="12">
        <v>750900</v>
      </c>
      <c r="D1151" s="12">
        <v>0.27</v>
      </c>
      <c r="E1151" s="12">
        <v>0.67</v>
      </c>
      <c r="F1151" s="12">
        <v>0.13</v>
      </c>
      <c r="G1151" s="12">
        <v>0.35</v>
      </c>
      <c r="H1151" s="12">
        <v>0.89</v>
      </c>
      <c r="I1151" s="12">
        <v>0.18</v>
      </c>
      <c r="J1151" s="12">
        <v>0.48</v>
      </c>
      <c r="K1151" s="12">
        <v>1.22</v>
      </c>
      <c r="L1151" s="12">
        <v>0.26</v>
      </c>
      <c r="M1151" s="8">
        <v>5</v>
      </c>
      <c r="N1151">
        <v>5</v>
      </c>
      <c r="O1151" s="12">
        <v>6</v>
      </c>
      <c r="BQ1151" s="8">
        <v>8</v>
      </c>
      <c r="BR1151" s="8" t="s">
        <v>2362</v>
      </c>
    </row>
    <row r="1152" spans="1:70" x14ac:dyDescent="0.3">
      <c r="A1152" s="11" t="s">
        <v>2363</v>
      </c>
      <c r="B1152" s="12">
        <v>189400</v>
      </c>
      <c r="C1152" s="12">
        <v>674700</v>
      </c>
      <c r="D1152" s="12">
        <v>0.06</v>
      </c>
      <c r="E1152" s="12">
        <v>0.15</v>
      </c>
      <c r="F1152" s="12">
        <v>0.04</v>
      </c>
      <c r="G1152" s="12">
        <v>0.08</v>
      </c>
      <c r="H1152" s="12">
        <v>0.19</v>
      </c>
      <c r="I1152" s="12">
        <v>0.06</v>
      </c>
      <c r="J1152" s="12">
        <v>0.1</v>
      </c>
      <c r="K1152" s="12">
        <v>0.25</v>
      </c>
      <c r="L1152" s="12">
        <v>0.08</v>
      </c>
      <c r="M1152" s="8">
        <v>8</v>
      </c>
      <c r="N1152">
        <v>10</v>
      </c>
      <c r="O1152" s="12">
        <v>12</v>
      </c>
      <c r="BQ1152" s="8">
        <v>7</v>
      </c>
      <c r="BR1152" s="8" t="s">
        <v>2364</v>
      </c>
    </row>
    <row r="1153" spans="1:70" x14ac:dyDescent="0.3">
      <c r="A1153" s="11" t="s">
        <v>2365</v>
      </c>
      <c r="B1153" s="12">
        <v>186200</v>
      </c>
      <c r="C1153" s="12">
        <v>642400</v>
      </c>
      <c r="D1153" s="12">
        <v>0.06</v>
      </c>
      <c r="E1153" s="12">
        <v>0.14000000000000001</v>
      </c>
      <c r="F1153" s="12">
        <v>0.04</v>
      </c>
      <c r="G1153" s="12">
        <v>7.0000000000000007E-2</v>
      </c>
      <c r="H1153" s="12">
        <v>0.18</v>
      </c>
      <c r="I1153" s="12">
        <v>0.05</v>
      </c>
      <c r="J1153" s="12">
        <v>0.09</v>
      </c>
      <c r="K1153" s="12">
        <v>0.24</v>
      </c>
      <c r="L1153" s="12">
        <v>7.0000000000000007E-2</v>
      </c>
      <c r="M1153" s="8">
        <v>8</v>
      </c>
      <c r="N1153">
        <v>10</v>
      </c>
      <c r="O1153" s="12">
        <v>12</v>
      </c>
      <c r="BQ1153" s="8">
        <v>5</v>
      </c>
      <c r="BR1153" s="8" t="s">
        <v>2366</v>
      </c>
    </row>
    <row r="1154" spans="1:70" x14ac:dyDescent="0.3">
      <c r="A1154" s="11" t="s">
        <v>2367</v>
      </c>
      <c r="B1154" s="12">
        <v>205400</v>
      </c>
      <c r="C1154" s="12">
        <v>722600</v>
      </c>
      <c r="D1154" s="12">
        <v>0.11</v>
      </c>
      <c r="E1154" s="12">
        <v>0.27</v>
      </c>
      <c r="F1154" s="12">
        <v>0.06</v>
      </c>
      <c r="G1154" s="12">
        <v>0.15</v>
      </c>
      <c r="H1154" s="12">
        <v>0.37</v>
      </c>
      <c r="I1154" s="12">
        <v>0.08</v>
      </c>
      <c r="J1154" s="12">
        <v>0.21</v>
      </c>
      <c r="K1154" s="12">
        <v>0.53</v>
      </c>
      <c r="L1154" s="12">
        <v>0.11</v>
      </c>
      <c r="M1154" s="8">
        <v>7</v>
      </c>
      <c r="N1154">
        <v>8</v>
      </c>
      <c r="O1154" s="12">
        <v>9</v>
      </c>
      <c r="BQ1154" s="8">
        <v>8</v>
      </c>
      <c r="BR1154" s="8" t="s">
        <v>2368</v>
      </c>
    </row>
    <row r="1155" spans="1:70" x14ac:dyDescent="0.3">
      <c r="A1155" s="11" t="s">
        <v>2369</v>
      </c>
      <c r="B1155" s="12">
        <v>252000</v>
      </c>
      <c r="C1155" s="12">
        <v>778500</v>
      </c>
      <c r="D1155" s="12">
        <v>0.26</v>
      </c>
      <c r="E1155" s="12">
        <v>0.63</v>
      </c>
      <c r="F1155" s="12">
        <v>0.12</v>
      </c>
      <c r="G1155" s="12">
        <v>0.34</v>
      </c>
      <c r="H1155" s="12">
        <v>0.84</v>
      </c>
      <c r="I1155" s="12">
        <v>0.17</v>
      </c>
      <c r="J1155" s="12">
        <v>0.45</v>
      </c>
      <c r="K1155" s="12">
        <v>1.1599999999999999</v>
      </c>
      <c r="L1155" s="12">
        <v>0.24</v>
      </c>
      <c r="M1155" s="8">
        <v>5</v>
      </c>
      <c r="N1155">
        <v>6</v>
      </c>
      <c r="O1155" s="12">
        <v>7</v>
      </c>
      <c r="BQ1155" s="8">
        <v>8</v>
      </c>
      <c r="BR1155" s="8" t="s">
        <v>2370</v>
      </c>
    </row>
    <row r="1156" spans="1:70" x14ac:dyDescent="0.3">
      <c r="A1156" s="11" t="s">
        <v>2371</v>
      </c>
      <c r="B1156" s="12">
        <v>187700</v>
      </c>
      <c r="C1156" s="12">
        <v>648700</v>
      </c>
      <c r="D1156" s="12">
        <v>0.06</v>
      </c>
      <c r="E1156" s="12">
        <v>0.14000000000000001</v>
      </c>
      <c r="F1156" s="12">
        <v>0.04</v>
      </c>
      <c r="G1156" s="12">
        <v>7.0000000000000007E-2</v>
      </c>
      <c r="H1156" s="12">
        <v>0.18</v>
      </c>
      <c r="I1156" s="12">
        <v>0.05</v>
      </c>
      <c r="J1156" s="12">
        <v>0.09</v>
      </c>
      <c r="K1156" s="12">
        <v>0.23</v>
      </c>
      <c r="L1156" s="12">
        <v>7.0000000000000007E-2</v>
      </c>
      <c r="M1156" s="8">
        <v>8</v>
      </c>
      <c r="N1156">
        <v>10</v>
      </c>
      <c r="O1156" s="12">
        <v>12</v>
      </c>
      <c r="BQ1156" s="8">
        <v>6</v>
      </c>
      <c r="BR1156" s="8" t="s">
        <v>2372</v>
      </c>
    </row>
    <row r="1157" spans="1:70" x14ac:dyDescent="0.3">
      <c r="A1157" s="11" t="s">
        <v>2373</v>
      </c>
      <c r="B1157" s="12">
        <v>182600</v>
      </c>
      <c r="C1157" s="12">
        <v>665500</v>
      </c>
      <c r="D1157" s="12">
        <v>0.06</v>
      </c>
      <c r="E1157" s="12">
        <v>0.14000000000000001</v>
      </c>
      <c r="F1157" s="12">
        <v>0.04</v>
      </c>
      <c r="G1157" s="12">
        <v>7.0000000000000007E-2</v>
      </c>
      <c r="H1157" s="12">
        <v>0.18</v>
      </c>
      <c r="I1157" s="12">
        <v>0.05</v>
      </c>
      <c r="J1157" s="12">
        <v>0.09</v>
      </c>
      <c r="K1157" s="12">
        <v>0.23</v>
      </c>
      <c r="L1157" s="12">
        <v>7.0000000000000007E-2</v>
      </c>
      <c r="M1157" s="8">
        <v>8</v>
      </c>
      <c r="N1157">
        <v>10</v>
      </c>
      <c r="O1157" s="12">
        <v>12</v>
      </c>
      <c r="BQ1157" s="8">
        <v>8</v>
      </c>
      <c r="BR1157" s="8" t="s">
        <v>2374</v>
      </c>
    </row>
    <row r="1158" spans="1:70" x14ac:dyDescent="0.3">
      <c r="A1158" s="11" t="s">
        <v>2375</v>
      </c>
      <c r="B1158" s="12">
        <v>219400</v>
      </c>
      <c r="C1158" s="12">
        <v>731500</v>
      </c>
      <c r="D1158" s="12">
        <v>0.15</v>
      </c>
      <c r="E1158" s="12">
        <v>0.37</v>
      </c>
      <c r="F1158" s="12">
        <v>7.0000000000000007E-2</v>
      </c>
      <c r="G1158" s="12">
        <v>0.2</v>
      </c>
      <c r="H1158" s="12">
        <v>0.5</v>
      </c>
      <c r="I1158" s="12">
        <v>0.1</v>
      </c>
      <c r="J1158" s="12">
        <v>0.28999999999999998</v>
      </c>
      <c r="K1158" s="12">
        <v>0.73</v>
      </c>
      <c r="L1158" s="12">
        <v>0.14000000000000001</v>
      </c>
      <c r="M1158" s="8">
        <v>6</v>
      </c>
      <c r="N1158">
        <v>7</v>
      </c>
      <c r="O1158" s="12">
        <v>8</v>
      </c>
      <c r="BQ1158" s="8">
        <v>6</v>
      </c>
      <c r="BR1158" s="8" t="s">
        <v>2376</v>
      </c>
    </row>
    <row r="1159" spans="1:70" x14ac:dyDescent="0.3">
      <c r="A1159" s="11" t="s">
        <v>2377</v>
      </c>
      <c r="B1159" s="12">
        <v>194300</v>
      </c>
      <c r="C1159" s="12">
        <v>680400</v>
      </c>
      <c r="D1159" s="12">
        <v>7.0000000000000007E-2</v>
      </c>
      <c r="E1159" s="12">
        <v>0.17</v>
      </c>
      <c r="F1159" s="12">
        <v>0.05</v>
      </c>
      <c r="G1159" s="12">
        <v>0.08</v>
      </c>
      <c r="H1159" s="12">
        <v>0.21</v>
      </c>
      <c r="I1159" s="12">
        <v>0.06</v>
      </c>
      <c r="J1159" s="12">
        <v>0.11</v>
      </c>
      <c r="K1159" s="12">
        <v>0.27</v>
      </c>
      <c r="L1159" s="12">
        <v>0.08</v>
      </c>
      <c r="M1159" s="8">
        <v>8</v>
      </c>
      <c r="N1159">
        <v>9</v>
      </c>
      <c r="O1159" s="12">
        <v>12</v>
      </c>
      <c r="BQ1159" s="8">
        <v>8</v>
      </c>
      <c r="BR1159" s="8" t="s">
        <v>2378</v>
      </c>
    </row>
    <row r="1160" spans="1:70" x14ac:dyDescent="0.3">
      <c r="A1160" s="11" t="s">
        <v>2379</v>
      </c>
      <c r="B1160" s="12">
        <v>209100</v>
      </c>
      <c r="C1160" s="12">
        <v>724000</v>
      </c>
      <c r="D1160" s="12">
        <v>0.12</v>
      </c>
      <c r="E1160" s="12">
        <v>0.3</v>
      </c>
      <c r="F1160" s="12">
        <v>0.06</v>
      </c>
      <c r="G1160" s="12">
        <v>0.17</v>
      </c>
      <c r="H1160" s="12">
        <v>0.42</v>
      </c>
      <c r="I1160" s="12">
        <v>0.09</v>
      </c>
      <c r="J1160" s="12">
        <v>0.24</v>
      </c>
      <c r="K1160" s="12">
        <v>0.61</v>
      </c>
      <c r="L1160" s="12">
        <v>0.12</v>
      </c>
      <c r="M1160" s="8">
        <v>6</v>
      </c>
      <c r="N1160">
        <v>7</v>
      </c>
      <c r="O1160" s="12">
        <v>9</v>
      </c>
      <c r="BQ1160" s="8">
        <v>8</v>
      </c>
      <c r="BR1160" s="8" t="s">
        <v>2380</v>
      </c>
    </row>
    <row r="1161" spans="1:70" x14ac:dyDescent="0.3">
      <c r="A1161" s="11" t="s">
        <v>2381</v>
      </c>
      <c r="B1161" s="12">
        <v>185400</v>
      </c>
      <c r="C1161" s="12">
        <v>672300</v>
      </c>
      <c r="D1161" s="12">
        <v>0.06</v>
      </c>
      <c r="E1161" s="12">
        <v>0.15</v>
      </c>
      <c r="F1161" s="12">
        <v>0.04</v>
      </c>
      <c r="G1161" s="12">
        <v>0.08</v>
      </c>
      <c r="H1161" s="12">
        <v>0.19</v>
      </c>
      <c r="I1161" s="12">
        <v>0.06</v>
      </c>
      <c r="J1161" s="12">
        <v>0.1</v>
      </c>
      <c r="K1161" s="12">
        <v>0.24</v>
      </c>
      <c r="L1161" s="12">
        <v>7.0000000000000007E-2</v>
      </c>
      <c r="M1161" s="8">
        <v>8</v>
      </c>
      <c r="N1161">
        <v>10</v>
      </c>
      <c r="O1161" s="12">
        <v>12</v>
      </c>
      <c r="BQ1161" s="8">
        <v>6</v>
      </c>
      <c r="BR1161" s="8" t="s">
        <v>2382</v>
      </c>
    </row>
    <row r="1162" spans="1:70" x14ac:dyDescent="0.3">
      <c r="A1162" s="11" t="s">
        <v>2383</v>
      </c>
      <c r="B1162" s="12">
        <v>180000</v>
      </c>
      <c r="C1162" s="12">
        <v>560200</v>
      </c>
      <c r="D1162" s="12">
        <v>0.05</v>
      </c>
      <c r="E1162" s="12">
        <v>0.13</v>
      </c>
      <c r="F1162" s="12">
        <v>0.04</v>
      </c>
      <c r="G1162" s="12">
        <v>7.0000000000000007E-2</v>
      </c>
      <c r="H1162" s="12">
        <v>0.16</v>
      </c>
      <c r="I1162" s="12">
        <v>0.05</v>
      </c>
      <c r="J1162" s="12">
        <v>0.09</v>
      </c>
      <c r="K1162" s="12">
        <v>0.21</v>
      </c>
      <c r="L1162" s="12">
        <v>7.0000000000000007E-2</v>
      </c>
      <c r="M1162" s="8">
        <v>8</v>
      </c>
      <c r="N1162">
        <v>10</v>
      </c>
      <c r="O1162" s="12">
        <v>12</v>
      </c>
      <c r="BQ1162" s="8">
        <v>6</v>
      </c>
      <c r="BR1162" s="8" t="s">
        <v>2384</v>
      </c>
    </row>
    <row r="1163" spans="1:70" x14ac:dyDescent="0.3">
      <c r="A1163" s="11" t="s">
        <v>2385</v>
      </c>
      <c r="B1163" s="12">
        <v>211800</v>
      </c>
      <c r="C1163" s="12">
        <v>744300</v>
      </c>
      <c r="D1163" s="12">
        <v>0.14000000000000001</v>
      </c>
      <c r="E1163" s="12">
        <v>0.34</v>
      </c>
      <c r="F1163" s="12">
        <v>7.0000000000000007E-2</v>
      </c>
      <c r="G1163" s="12">
        <v>0.19</v>
      </c>
      <c r="H1163" s="12">
        <v>0.48</v>
      </c>
      <c r="I1163" s="12">
        <v>0.09</v>
      </c>
      <c r="J1163" s="12">
        <v>0.28000000000000003</v>
      </c>
      <c r="K1163" s="12">
        <v>0.69</v>
      </c>
      <c r="L1163" s="12">
        <v>0.14000000000000001</v>
      </c>
      <c r="M1163" s="8">
        <v>6</v>
      </c>
      <c r="N1163">
        <v>7</v>
      </c>
      <c r="O1163" s="12">
        <v>8</v>
      </c>
      <c r="BQ1163" s="8">
        <v>6</v>
      </c>
      <c r="BR1163" s="8" t="s">
        <v>2386</v>
      </c>
    </row>
    <row r="1164" spans="1:70" x14ac:dyDescent="0.3">
      <c r="A1164" s="11" t="s">
        <v>2387</v>
      </c>
      <c r="B1164" s="12">
        <v>216000</v>
      </c>
      <c r="C1164" s="12">
        <v>734300</v>
      </c>
      <c r="D1164" s="12">
        <v>0.14000000000000001</v>
      </c>
      <c r="E1164" s="12">
        <v>0.35</v>
      </c>
      <c r="F1164" s="12">
        <v>7.0000000000000007E-2</v>
      </c>
      <c r="G1164" s="12">
        <v>0.2</v>
      </c>
      <c r="H1164" s="12">
        <v>0.49</v>
      </c>
      <c r="I1164" s="12">
        <v>0.1</v>
      </c>
      <c r="J1164" s="12">
        <v>0.28000000000000003</v>
      </c>
      <c r="K1164" s="12">
        <v>0.71</v>
      </c>
      <c r="L1164" s="12">
        <v>0.14000000000000001</v>
      </c>
      <c r="M1164" s="8">
        <v>6</v>
      </c>
      <c r="N1164">
        <v>7</v>
      </c>
      <c r="O1164" s="12">
        <v>8</v>
      </c>
      <c r="BQ1164" s="8">
        <v>5</v>
      </c>
      <c r="BR1164" s="8" t="s">
        <v>2388</v>
      </c>
    </row>
    <row r="1165" spans="1:70" x14ac:dyDescent="0.3">
      <c r="A1165" s="11" t="s">
        <v>2389</v>
      </c>
      <c r="B1165" s="12">
        <v>276100</v>
      </c>
      <c r="C1165" s="12">
        <v>750200</v>
      </c>
      <c r="D1165" s="12">
        <v>0.16</v>
      </c>
      <c r="E1165" s="12">
        <v>0.41</v>
      </c>
      <c r="F1165" s="12">
        <v>0.08</v>
      </c>
      <c r="G1165" s="12">
        <v>0.2</v>
      </c>
      <c r="H1165" s="12">
        <v>0.53</v>
      </c>
      <c r="I1165" s="12">
        <v>0.11</v>
      </c>
      <c r="J1165" s="12">
        <v>0.27</v>
      </c>
      <c r="K1165" s="12">
        <v>0.71</v>
      </c>
      <c r="L1165" s="12">
        <v>0.15</v>
      </c>
      <c r="M1165" s="8">
        <v>6</v>
      </c>
      <c r="N1165">
        <v>7</v>
      </c>
      <c r="O1165" s="12">
        <v>9</v>
      </c>
      <c r="BQ1165" s="8">
        <v>7</v>
      </c>
      <c r="BR1165" s="8" t="s">
        <v>2390</v>
      </c>
    </row>
    <row r="1166" spans="1:70" x14ac:dyDescent="0.3">
      <c r="A1166" s="11" t="s">
        <v>2391</v>
      </c>
      <c r="B1166" s="12">
        <v>239300</v>
      </c>
      <c r="C1166" s="12">
        <v>721800</v>
      </c>
      <c r="D1166" s="12">
        <v>0.18</v>
      </c>
      <c r="E1166" s="12">
        <v>0.46</v>
      </c>
      <c r="F1166" s="12">
        <v>0.09</v>
      </c>
      <c r="G1166" s="12">
        <v>0.23</v>
      </c>
      <c r="H1166" s="12">
        <v>0.6</v>
      </c>
      <c r="I1166" s="12">
        <v>0.12</v>
      </c>
      <c r="J1166" s="12">
        <v>0.31</v>
      </c>
      <c r="K1166" s="12">
        <v>0.8</v>
      </c>
      <c r="L1166" s="12">
        <v>0.17</v>
      </c>
      <c r="M1166" s="8">
        <v>5</v>
      </c>
      <c r="N1166">
        <v>6</v>
      </c>
      <c r="O1166" s="12">
        <v>8</v>
      </c>
      <c r="BQ1166" s="8">
        <v>7</v>
      </c>
      <c r="BR1166" s="8" t="s">
        <v>2392</v>
      </c>
    </row>
    <row r="1167" spans="1:70" x14ac:dyDescent="0.3">
      <c r="A1167" s="11" t="s">
        <v>2393</v>
      </c>
      <c r="B1167" s="12">
        <v>207200</v>
      </c>
      <c r="C1167" s="12">
        <v>631300</v>
      </c>
      <c r="D1167" s="12">
        <v>0.08</v>
      </c>
      <c r="E1167" s="12">
        <v>0.19</v>
      </c>
      <c r="F1167" s="12">
        <v>0.05</v>
      </c>
      <c r="G1167" s="12">
        <v>0.09</v>
      </c>
      <c r="H1167" s="12">
        <v>0.24</v>
      </c>
      <c r="I1167" s="12">
        <v>0.06</v>
      </c>
      <c r="J1167" s="12">
        <v>0.12</v>
      </c>
      <c r="K1167" s="12">
        <v>0.31</v>
      </c>
      <c r="L1167" s="12">
        <v>0.09</v>
      </c>
      <c r="M1167" s="8">
        <v>7</v>
      </c>
      <c r="N1167">
        <v>9</v>
      </c>
      <c r="O1167" s="12">
        <v>11</v>
      </c>
      <c r="BQ1167" s="8">
        <v>8</v>
      </c>
      <c r="BR1167" s="8" t="s">
        <v>2394</v>
      </c>
    </row>
    <row r="1168" spans="1:70" x14ac:dyDescent="0.3">
      <c r="A1168" s="11" t="s">
        <v>2395</v>
      </c>
      <c r="B1168" s="12">
        <v>220800</v>
      </c>
      <c r="C1168" s="12">
        <v>627400</v>
      </c>
      <c r="D1168" s="12">
        <v>0.1</v>
      </c>
      <c r="E1168" s="12">
        <v>0.25</v>
      </c>
      <c r="F1168" s="12">
        <v>0.06</v>
      </c>
      <c r="G1168" s="12">
        <v>0.12</v>
      </c>
      <c r="H1168" s="12">
        <v>0.32</v>
      </c>
      <c r="I1168" s="12">
        <v>0.08</v>
      </c>
      <c r="J1168" s="12">
        <v>0.16</v>
      </c>
      <c r="K1168" s="12">
        <v>0.42</v>
      </c>
      <c r="L1168" s="12">
        <v>0.11</v>
      </c>
      <c r="M1168" s="8">
        <v>7</v>
      </c>
      <c r="N1168">
        <v>8</v>
      </c>
      <c r="O1168" s="12">
        <v>10</v>
      </c>
      <c r="BQ1168" s="8">
        <v>9</v>
      </c>
      <c r="BR1168" s="8" t="s">
        <v>2396</v>
      </c>
    </row>
    <row r="1169" spans="1:70" x14ac:dyDescent="0.3">
      <c r="A1169" s="11" t="s">
        <v>2397</v>
      </c>
      <c r="B1169" s="12">
        <v>162000</v>
      </c>
      <c r="C1169" s="12">
        <v>583000</v>
      </c>
      <c r="D1169" s="12">
        <v>0.05</v>
      </c>
      <c r="E1169" s="12">
        <v>0.11</v>
      </c>
      <c r="F1169" s="12">
        <v>0.03</v>
      </c>
      <c r="G1169" s="12">
        <v>0.06</v>
      </c>
      <c r="H1169" s="12">
        <v>0.14000000000000001</v>
      </c>
      <c r="I1169" s="12">
        <v>0.05</v>
      </c>
      <c r="J1169" s="12">
        <v>0.08</v>
      </c>
      <c r="K1169" s="12">
        <v>0.19</v>
      </c>
      <c r="L1169" s="12">
        <v>0.06</v>
      </c>
      <c r="M1169" s="8">
        <v>8</v>
      </c>
      <c r="N1169">
        <v>10</v>
      </c>
      <c r="O1169" s="12">
        <v>13</v>
      </c>
      <c r="BQ1169" s="8">
        <v>8</v>
      </c>
      <c r="BR1169" s="8" t="s">
        <v>2398</v>
      </c>
    </row>
    <row r="1170" spans="1:70" x14ac:dyDescent="0.3">
      <c r="A1170" s="11" t="s">
        <v>2399</v>
      </c>
      <c r="B1170" s="12">
        <v>148700</v>
      </c>
      <c r="C1170" s="12">
        <v>588300</v>
      </c>
      <c r="D1170" s="12">
        <v>0.04</v>
      </c>
      <c r="E1170" s="12">
        <v>0.1</v>
      </c>
      <c r="F1170" s="12">
        <v>0.03</v>
      </c>
      <c r="G1170" s="12">
        <v>0.05</v>
      </c>
      <c r="H1170" s="12">
        <v>0.12</v>
      </c>
      <c r="I1170" s="12">
        <v>0.04</v>
      </c>
      <c r="J1170" s="12">
        <v>7.0000000000000007E-2</v>
      </c>
      <c r="K1170" s="12">
        <v>0.16</v>
      </c>
      <c r="L1170" s="12">
        <v>0.06</v>
      </c>
      <c r="M1170" s="8">
        <v>9</v>
      </c>
      <c r="N1170">
        <v>11</v>
      </c>
      <c r="O1170" s="12">
        <v>13</v>
      </c>
      <c r="BQ1170" s="8">
        <v>6</v>
      </c>
      <c r="BR1170" s="8" t="s">
        <v>2400</v>
      </c>
    </row>
    <row r="1171" spans="1:70" x14ac:dyDescent="0.3">
      <c r="A1171" s="11" t="s">
        <v>2401</v>
      </c>
      <c r="B1171" s="12">
        <v>188000</v>
      </c>
      <c r="C1171" s="12">
        <v>676400</v>
      </c>
      <c r="D1171" s="12">
        <v>0.06</v>
      </c>
      <c r="E1171" s="12">
        <v>0.15</v>
      </c>
      <c r="F1171" s="12">
        <v>0.04</v>
      </c>
      <c r="G1171" s="12">
        <v>0.08</v>
      </c>
      <c r="H1171" s="12">
        <v>0.19</v>
      </c>
      <c r="I1171" s="12">
        <v>0.06</v>
      </c>
      <c r="J1171" s="12">
        <v>0.1</v>
      </c>
      <c r="K1171" s="12">
        <v>0.25</v>
      </c>
      <c r="L1171" s="12">
        <v>0.08</v>
      </c>
      <c r="M1171" s="8">
        <v>8</v>
      </c>
      <c r="N1171">
        <v>10</v>
      </c>
      <c r="O1171" s="12">
        <v>12</v>
      </c>
      <c r="BQ1171" s="8">
        <v>8</v>
      </c>
      <c r="BR1171" s="8" t="s">
        <v>2402</v>
      </c>
    </row>
    <row r="1172" spans="1:70" x14ac:dyDescent="0.3">
      <c r="A1172" s="11" t="s">
        <v>2403</v>
      </c>
      <c r="B1172" s="12">
        <v>224700</v>
      </c>
      <c r="C1172" s="12">
        <v>751300</v>
      </c>
      <c r="D1172" s="12">
        <v>0.14000000000000001</v>
      </c>
      <c r="E1172" s="12">
        <v>0.34</v>
      </c>
      <c r="F1172" s="12">
        <v>7.0000000000000007E-2</v>
      </c>
      <c r="G1172" s="12">
        <v>0.17</v>
      </c>
      <c r="H1172" s="12">
        <v>0.43</v>
      </c>
      <c r="I1172" s="12">
        <v>0.09</v>
      </c>
      <c r="J1172" s="12">
        <v>0.22</v>
      </c>
      <c r="K1172" s="12">
        <v>0.56999999999999995</v>
      </c>
      <c r="L1172" s="12">
        <v>0.12</v>
      </c>
      <c r="M1172" s="8">
        <v>6</v>
      </c>
      <c r="N1172">
        <v>8</v>
      </c>
      <c r="O1172" s="12">
        <v>10</v>
      </c>
      <c r="BQ1172" s="8">
        <v>5</v>
      </c>
      <c r="BR1172" s="8" t="s">
        <v>2404</v>
      </c>
    </row>
    <row r="1173" spans="1:70" x14ac:dyDescent="0.3">
      <c r="A1173" s="11" t="s">
        <v>2405</v>
      </c>
      <c r="B1173" s="12">
        <v>183500</v>
      </c>
      <c r="C1173" s="12">
        <v>678700</v>
      </c>
      <c r="D1173" s="12">
        <v>0.06</v>
      </c>
      <c r="E1173" s="12">
        <v>0.15</v>
      </c>
      <c r="F1173" s="12">
        <v>0.04</v>
      </c>
      <c r="G1173" s="12">
        <v>0.08</v>
      </c>
      <c r="H1173" s="12">
        <v>0.19</v>
      </c>
      <c r="I1173" s="12">
        <v>0.06</v>
      </c>
      <c r="J1173" s="12">
        <v>0.1</v>
      </c>
      <c r="K1173" s="12">
        <v>0.25</v>
      </c>
      <c r="L1173" s="12">
        <v>0.08</v>
      </c>
      <c r="M1173" s="8">
        <v>8</v>
      </c>
      <c r="N1173">
        <v>10</v>
      </c>
      <c r="O1173" s="12">
        <v>12</v>
      </c>
      <c r="BQ1173" s="8">
        <v>8</v>
      </c>
      <c r="BR1173" s="8" t="s">
        <v>2406</v>
      </c>
    </row>
    <row r="1174" spans="1:70" x14ac:dyDescent="0.3">
      <c r="A1174" s="11" t="s">
        <v>2407</v>
      </c>
      <c r="B1174" s="12">
        <v>245200</v>
      </c>
      <c r="C1174" s="12">
        <v>709800</v>
      </c>
      <c r="D1174" s="12">
        <v>0.22</v>
      </c>
      <c r="E1174" s="12">
        <v>0.55000000000000004</v>
      </c>
      <c r="F1174" s="12">
        <v>0.1</v>
      </c>
      <c r="G1174" s="12">
        <v>0.28999999999999998</v>
      </c>
      <c r="H1174" s="12">
        <v>0.73</v>
      </c>
      <c r="I1174" s="12">
        <v>0.14000000000000001</v>
      </c>
      <c r="J1174" s="12">
        <v>0.38</v>
      </c>
      <c r="K1174" s="12">
        <v>0.99</v>
      </c>
      <c r="L1174" s="12">
        <v>0.2</v>
      </c>
      <c r="M1174" s="8">
        <v>5</v>
      </c>
      <c r="N1174">
        <v>6</v>
      </c>
      <c r="O1174" s="12">
        <v>7</v>
      </c>
      <c r="BQ1174" s="8">
        <v>5</v>
      </c>
      <c r="BR1174" s="8" t="s">
        <v>2408</v>
      </c>
    </row>
    <row r="1175" spans="1:70" x14ac:dyDescent="0.3">
      <c r="A1175" s="11" t="s">
        <v>2409</v>
      </c>
      <c r="B1175" s="12">
        <v>170400</v>
      </c>
      <c r="C1175" s="12">
        <v>551600</v>
      </c>
      <c r="D1175" s="12">
        <v>0.05</v>
      </c>
      <c r="E1175" s="12">
        <v>0.11</v>
      </c>
      <c r="F1175" s="12">
        <v>0.04</v>
      </c>
      <c r="G1175" s="12">
        <v>0.06</v>
      </c>
      <c r="H1175" s="12">
        <v>0.14000000000000001</v>
      </c>
      <c r="I1175" s="12">
        <v>0.05</v>
      </c>
      <c r="J1175" s="12">
        <v>0.08</v>
      </c>
      <c r="K1175" s="12">
        <v>0.19</v>
      </c>
      <c r="L1175" s="12">
        <v>0.06</v>
      </c>
      <c r="M1175" s="8">
        <v>8</v>
      </c>
      <c r="N1175">
        <v>10</v>
      </c>
      <c r="O1175" s="12">
        <v>12</v>
      </c>
      <c r="BQ1175" s="8">
        <v>7</v>
      </c>
      <c r="BR1175" s="8" t="s">
        <v>2410</v>
      </c>
    </row>
    <row r="1176" spans="1:70" x14ac:dyDescent="0.3">
      <c r="A1176" s="11" t="s">
        <v>2411</v>
      </c>
      <c r="B1176" s="12">
        <v>260800</v>
      </c>
      <c r="C1176" s="12">
        <v>792800</v>
      </c>
      <c r="D1176" s="12">
        <v>0.26</v>
      </c>
      <c r="E1176" s="12">
        <v>0.63</v>
      </c>
      <c r="F1176" s="12">
        <v>0.12</v>
      </c>
      <c r="G1176" s="12">
        <v>0.34</v>
      </c>
      <c r="H1176" s="12">
        <v>0.85</v>
      </c>
      <c r="I1176" s="12">
        <v>0.17</v>
      </c>
      <c r="J1176" s="12">
        <v>0.46</v>
      </c>
      <c r="K1176" s="12">
        <v>1.1599999999999999</v>
      </c>
      <c r="L1176" s="12">
        <v>0.25</v>
      </c>
      <c r="M1176" s="8">
        <v>5</v>
      </c>
      <c r="N1176">
        <v>6</v>
      </c>
      <c r="O1176" s="12">
        <v>7</v>
      </c>
      <c r="BQ1176" s="8">
        <v>7</v>
      </c>
      <c r="BR1176" s="8" t="s">
        <v>2412</v>
      </c>
    </row>
    <row r="1177" spans="1:70" x14ac:dyDescent="0.3">
      <c r="A1177" s="11" t="s">
        <v>2413</v>
      </c>
      <c r="B1177" s="12">
        <v>208200</v>
      </c>
      <c r="C1177" s="12">
        <v>765100</v>
      </c>
      <c r="D1177" s="12">
        <v>0.12</v>
      </c>
      <c r="E1177" s="12">
        <v>0.3</v>
      </c>
      <c r="F1177" s="12">
        <v>0.06</v>
      </c>
      <c r="G1177" s="12">
        <v>0.16</v>
      </c>
      <c r="H1177" s="12">
        <v>0.41</v>
      </c>
      <c r="I1177" s="12">
        <v>0.08</v>
      </c>
      <c r="J1177" s="12">
        <v>0.23</v>
      </c>
      <c r="K1177" s="12">
        <v>0.57999999999999996</v>
      </c>
      <c r="L1177" s="12">
        <v>0.12</v>
      </c>
      <c r="M1177" s="8">
        <v>7</v>
      </c>
      <c r="N1177">
        <v>8</v>
      </c>
      <c r="O1177" s="12">
        <v>9</v>
      </c>
      <c r="BQ1177" s="8">
        <v>6</v>
      </c>
      <c r="BR1177" s="8" t="s">
        <v>2414</v>
      </c>
    </row>
    <row r="1178" spans="1:70" x14ac:dyDescent="0.3">
      <c r="A1178" s="11" t="s">
        <v>2415</v>
      </c>
      <c r="B1178" s="12">
        <v>217700</v>
      </c>
      <c r="C1178" s="12">
        <v>685500</v>
      </c>
      <c r="D1178" s="12">
        <v>0.11</v>
      </c>
      <c r="E1178" s="12">
        <v>0.26</v>
      </c>
      <c r="F1178" s="12">
        <v>0.06</v>
      </c>
      <c r="G1178" s="12">
        <v>0.13</v>
      </c>
      <c r="H1178" s="12">
        <v>0.34</v>
      </c>
      <c r="I1178" s="12">
        <v>0.08</v>
      </c>
      <c r="J1178" s="12">
        <v>0.17</v>
      </c>
      <c r="K1178" s="12">
        <v>0.45</v>
      </c>
      <c r="L1178" s="12">
        <v>0.11</v>
      </c>
      <c r="M1178" s="8">
        <v>7</v>
      </c>
      <c r="N1178">
        <v>8</v>
      </c>
      <c r="O1178" s="12">
        <v>10</v>
      </c>
      <c r="BQ1178" s="8">
        <v>8</v>
      </c>
      <c r="BR1178" s="8" t="s">
        <v>2416</v>
      </c>
    </row>
    <row r="1179" spans="1:70" x14ac:dyDescent="0.3">
      <c r="A1179" s="11" t="s">
        <v>2417</v>
      </c>
      <c r="B1179" s="12">
        <v>238300</v>
      </c>
      <c r="C1179" s="12">
        <v>732000</v>
      </c>
      <c r="D1179" s="12">
        <v>0.17</v>
      </c>
      <c r="E1179" s="12">
        <v>0.44</v>
      </c>
      <c r="F1179" s="12">
        <v>0.08</v>
      </c>
      <c r="G1179" s="12">
        <v>0.21</v>
      </c>
      <c r="H1179" s="12">
        <v>0.56000000000000005</v>
      </c>
      <c r="I1179" s="12">
        <v>0.11</v>
      </c>
      <c r="J1179" s="12">
        <v>0.28000000000000003</v>
      </c>
      <c r="K1179" s="12">
        <v>0.74</v>
      </c>
      <c r="L1179" s="12">
        <v>0.15</v>
      </c>
      <c r="M1179" s="8">
        <v>6</v>
      </c>
      <c r="N1179">
        <v>7</v>
      </c>
      <c r="O1179" s="12">
        <v>8</v>
      </c>
      <c r="BQ1179" s="8">
        <v>6</v>
      </c>
      <c r="BR1179" s="8" t="s">
        <v>2418</v>
      </c>
    </row>
    <row r="1180" spans="1:70" x14ac:dyDescent="0.3">
      <c r="A1180" s="11" t="s">
        <v>2419</v>
      </c>
      <c r="B1180" s="12">
        <v>184500</v>
      </c>
      <c r="C1180" s="12">
        <v>567000</v>
      </c>
      <c r="D1180" s="12">
        <v>0.06</v>
      </c>
      <c r="E1180" s="12">
        <v>0.14000000000000001</v>
      </c>
      <c r="F1180" s="12">
        <v>0.04</v>
      </c>
      <c r="G1180" s="12">
        <v>7.0000000000000007E-2</v>
      </c>
      <c r="H1180" s="12">
        <v>0.18</v>
      </c>
      <c r="I1180" s="12">
        <v>0.05</v>
      </c>
      <c r="J1180" s="12">
        <v>0.09</v>
      </c>
      <c r="K1180" s="12">
        <v>0.23</v>
      </c>
      <c r="L1180" s="12">
        <v>7.0000000000000007E-2</v>
      </c>
      <c r="M1180" s="8">
        <v>8</v>
      </c>
      <c r="N1180">
        <v>10</v>
      </c>
      <c r="O1180" s="12">
        <v>12</v>
      </c>
      <c r="BQ1180" s="8">
        <v>5</v>
      </c>
      <c r="BR1180" s="8" t="s">
        <v>2420</v>
      </c>
    </row>
    <row r="1181" spans="1:70" x14ac:dyDescent="0.3">
      <c r="A1181" s="11" t="s">
        <v>2421</v>
      </c>
      <c r="B1181" s="12">
        <v>239900</v>
      </c>
      <c r="C1181" s="12">
        <v>739500</v>
      </c>
      <c r="D1181" s="12">
        <v>0.17</v>
      </c>
      <c r="E1181" s="12">
        <v>0.44</v>
      </c>
      <c r="F1181" s="12">
        <v>0.09</v>
      </c>
      <c r="G1181" s="12">
        <v>0.22</v>
      </c>
      <c r="H1181" s="12">
        <v>0.56000000000000005</v>
      </c>
      <c r="I1181" s="12">
        <v>0.11</v>
      </c>
      <c r="J1181" s="12">
        <v>0.28000000000000003</v>
      </c>
      <c r="K1181" s="12">
        <v>0.74</v>
      </c>
      <c r="L1181" s="12">
        <v>0.16</v>
      </c>
      <c r="M1181" s="8">
        <v>6</v>
      </c>
      <c r="N1181">
        <v>7</v>
      </c>
      <c r="O1181" s="12">
        <v>8</v>
      </c>
      <c r="BQ1181" s="8">
        <v>5</v>
      </c>
      <c r="BR1181" s="8" t="s">
        <v>2422</v>
      </c>
    </row>
    <row r="1182" spans="1:70" x14ac:dyDescent="0.3">
      <c r="A1182" s="11" t="s">
        <v>2423</v>
      </c>
      <c r="B1182" s="12">
        <v>248500</v>
      </c>
      <c r="C1182" s="12">
        <v>705300</v>
      </c>
      <c r="D1182" s="12">
        <v>0.24</v>
      </c>
      <c r="E1182" s="12">
        <v>0.61</v>
      </c>
      <c r="F1182" s="12">
        <v>0.11</v>
      </c>
      <c r="G1182" s="12">
        <v>0.32</v>
      </c>
      <c r="H1182" s="12">
        <v>0.8</v>
      </c>
      <c r="I1182" s="12">
        <v>0.16</v>
      </c>
      <c r="J1182" s="12">
        <v>0.43</v>
      </c>
      <c r="K1182" s="12">
        <v>1.1000000000000001</v>
      </c>
      <c r="L1182" s="12">
        <v>0.23</v>
      </c>
      <c r="M1182" s="8">
        <v>5</v>
      </c>
      <c r="N1182">
        <v>5</v>
      </c>
      <c r="O1182" s="12">
        <v>6</v>
      </c>
      <c r="BQ1182" s="8">
        <v>8</v>
      </c>
      <c r="BR1182" s="8" t="s">
        <v>2424</v>
      </c>
    </row>
    <row r="1183" spans="1:70" x14ac:dyDescent="0.3">
      <c r="A1183" s="11" t="s">
        <v>2425</v>
      </c>
      <c r="B1183" s="12">
        <v>253100</v>
      </c>
      <c r="C1183" s="12">
        <v>772400</v>
      </c>
      <c r="D1183" s="12">
        <v>0.27</v>
      </c>
      <c r="E1183" s="12">
        <v>0.65</v>
      </c>
      <c r="F1183" s="12">
        <v>0.12</v>
      </c>
      <c r="G1183" s="12">
        <v>0.35</v>
      </c>
      <c r="H1183" s="12">
        <v>0.87</v>
      </c>
      <c r="I1183" s="12">
        <v>0.17</v>
      </c>
      <c r="J1183" s="12">
        <v>0.47</v>
      </c>
      <c r="K1183" s="12">
        <v>1.19</v>
      </c>
      <c r="L1183" s="12">
        <v>0.25</v>
      </c>
      <c r="M1183" s="8">
        <v>5</v>
      </c>
      <c r="N1183">
        <v>6</v>
      </c>
      <c r="O1183" s="12">
        <v>6</v>
      </c>
      <c r="BQ1183" s="8">
        <v>8</v>
      </c>
      <c r="BR1183" s="8" t="s">
        <v>2426</v>
      </c>
    </row>
    <row r="1184" spans="1:70" x14ac:dyDescent="0.3">
      <c r="A1184" s="11" t="s">
        <v>2427</v>
      </c>
      <c r="B1184" s="12">
        <v>180300</v>
      </c>
      <c r="C1184" s="12">
        <v>531400</v>
      </c>
      <c r="D1184" s="12">
        <v>0.06</v>
      </c>
      <c r="E1184" s="12">
        <v>0.14000000000000001</v>
      </c>
      <c r="F1184" s="12">
        <v>0.04</v>
      </c>
      <c r="G1184" s="12">
        <v>7.0000000000000007E-2</v>
      </c>
      <c r="H1184" s="12">
        <v>0.17</v>
      </c>
      <c r="I1184" s="12">
        <v>0.05</v>
      </c>
      <c r="J1184" s="12">
        <v>0.09</v>
      </c>
      <c r="K1184" s="12">
        <v>0.22</v>
      </c>
      <c r="L1184" s="12">
        <v>7.0000000000000007E-2</v>
      </c>
      <c r="M1184" s="8">
        <v>8</v>
      </c>
      <c r="N1184">
        <v>9</v>
      </c>
      <c r="O1184" s="12">
        <v>11</v>
      </c>
      <c r="BQ1184" s="8">
        <v>8</v>
      </c>
      <c r="BR1184" s="8" t="s">
        <v>2428</v>
      </c>
    </row>
    <row r="1185" spans="1:70" x14ac:dyDescent="0.3">
      <c r="A1185" s="11" t="s">
        <v>2429</v>
      </c>
      <c r="B1185" s="12">
        <v>169800</v>
      </c>
      <c r="C1185" s="12">
        <v>609500</v>
      </c>
      <c r="D1185" s="12">
        <v>7.0000000000000007E-2</v>
      </c>
      <c r="E1185" s="12">
        <v>0.16</v>
      </c>
      <c r="F1185" s="12">
        <v>0.04</v>
      </c>
      <c r="G1185" s="12">
        <v>0.09</v>
      </c>
      <c r="H1185" s="12">
        <v>0.21</v>
      </c>
      <c r="I1185" s="12">
        <v>0.05</v>
      </c>
      <c r="J1185" s="12">
        <v>0.12</v>
      </c>
      <c r="K1185" s="12">
        <v>0.3</v>
      </c>
      <c r="L1185" s="12">
        <v>7.0000000000000007E-2</v>
      </c>
      <c r="M1185" s="8">
        <v>8</v>
      </c>
      <c r="N1185">
        <v>10</v>
      </c>
      <c r="O1185" s="12">
        <v>12</v>
      </c>
      <c r="BQ1185" s="8">
        <v>8</v>
      </c>
      <c r="BR1185" s="8" t="s">
        <v>2430</v>
      </c>
    </row>
    <row r="1186" spans="1:70" x14ac:dyDescent="0.3">
      <c r="A1186" s="11" t="s">
        <v>2431</v>
      </c>
      <c r="B1186" s="12">
        <v>191500</v>
      </c>
      <c r="C1186" s="12">
        <v>678900</v>
      </c>
      <c r="D1186" s="12">
        <v>7.0000000000000007E-2</v>
      </c>
      <c r="E1186" s="12">
        <v>0.16</v>
      </c>
      <c r="F1186" s="12">
        <v>0.05</v>
      </c>
      <c r="G1186" s="12">
        <v>0.08</v>
      </c>
      <c r="H1186" s="12">
        <v>0.2</v>
      </c>
      <c r="I1186" s="12">
        <v>0.06</v>
      </c>
      <c r="J1186" s="12">
        <v>0.1</v>
      </c>
      <c r="K1186" s="12">
        <v>0.26</v>
      </c>
      <c r="L1186" s="12">
        <v>0.08</v>
      </c>
      <c r="M1186" s="8">
        <v>8</v>
      </c>
      <c r="N1186">
        <v>9</v>
      </c>
      <c r="O1186" s="12">
        <v>12</v>
      </c>
      <c r="BQ1186" s="8">
        <v>6</v>
      </c>
      <c r="BR1186" s="8" t="s">
        <v>2432</v>
      </c>
    </row>
    <row r="1187" spans="1:70" x14ac:dyDescent="0.3">
      <c r="A1187" s="11" t="s">
        <v>2433</v>
      </c>
      <c r="B1187" s="12">
        <v>169500</v>
      </c>
      <c r="C1187" s="12">
        <v>617200</v>
      </c>
      <c r="D1187" s="12">
        <v>7.0000000000000007E-2</v>
      </c>
      <c r="E1187" s="12">
        <v>0.16</v>
      </c>
      <c r="F1187" s="12">
        <v>0.04</v>
      </c>
      <c r="G1187" s="12">
        <v>0.09</v>
      </c>
      <c r="H1187" s="12">
        <v>0.22</v>
      </c>
      <c r="I1187" s="12">
        <v>0.05</v>
      </c>
      <c r="J1187" s="12">
        <v>0.12</v>
      </c>
      <c r="K1187" s="12">
        <v>0.31</v>
      </c>
      <c r="L1187" s="12">
        <v>7.0000000000000007E-2</v>
      </c>
      <c r="M1187" s="8">
        <v>8</v>
      </c>
      <c r="N1187">
        <v>10</v>
      </c>
      <c r="O1187" s="12">
        <v>12</v>
      </c>
      <c r="BQ1187" s="8">
        <v>7</v>
      </c>
      <c r="BR1187" s="8" t="s">
        <v>2434</v>
      </c>
    </row>
    <row r="1188" spans="1:70" x14ac:dyDescent="0.3">
      <c r="A1188" s="11" t="s">
        <v>2435</v>
      </c>
      <c r="B1188" s="12">
        <v>213500</v>
      </c>
      <c r="C1188" s="12">
        <v>733600</v>
      </c>
      <c r="D1188" s="12">
        <v>0.14000000000000001</v>
      </c>
      <c r="E1188" s="12">
        <v>0.34</v>
      </c>
      <c r="F1188" s="12">
        <v>7.0000000000000007E-2</v>
      </c>
      <c r="G1188" s="12">
        <v>0.2</v>
      </c>
      <c r="H1188" s="12">
        <v>0.48</v>
      </c>
      <c r="I1188" s="12">
        <v>0.1</v>
      </c>
      <c r="J1188" s="12">
        <v>0.28000000000000003</v>
      </c>
      <c r="K1188" s="12">
        <v>0.71</v>
      </c>
      <c r="L1188" s="12">
        <v>0.14000000000000001</v>
      </c>
      <c r="M1188" s="8">
        <v>6</v>
      </c>
      <c r="N1188">
        <v>7</v>
      </c>
      <c r="O1188" s="12">
        <v>8</v>
      </c>
      <c r="BQ1188" s="8">
        <v>8</v>
      </c>
      <c r="BR1188" s="8" t="s">
        <v>2436</v>
      </c>
    </row>
    <row r="1189" spans="1:70" x14ac:dyDescent="0.3">
      <c r="A1189" s="11" t="s">
        <v>2437</v>
      </c>
      <c r="B1189" s="12">
        <v>199500</v>
      </c>
      <c r="C1189" s="12">
        <v>701200</v>
      </c>
      <c r="D1189" s="12">
        <v>0.08</v>
      </c>
      <c r="E1189" s="12">
        <v>0.19</v>
      </c>
      <c r="F1189" s="12">
        <v>0.05</v>
      </c>
      <c r="G1189" s="12">
        <v>0.1</v>
      </c>
      <c r="H1189" s="12">
        <v>0.25</v>
      </c>
      <c r="I1189" s="12">
        <v>7.0000000000000007E-2</v>
      </c>
      <c r="J1189" s="12">
        <v>0.13</v>
      </c>
      <c r="K1189" s="12">
        <v>0.32</v>
      </c>
      <c r="L1189" s="12">
        <v>0.09</v>
      </c>
      <c r="M1189" s="8">
        <v>7</v>
      </c>
      <c r="N1189">
        <v>9</v>
      </c>
      <c r="O1189" s="12">
        <v>11</v>
      </c>
      <c r="BQ1189" s="8">
        <v>5</v>
      </c>
      <c r="BR1189" s="8" t="s">
        <v>2438</v>
      </c>
    </row>
    <row r="1190" spans="1:70" x14ac:dyDescent="0.3">
      <c r="A1190" s="11" t="s">
        <v>2439</v>
      </c>
      <c r="B1190" s="12">
        <v>181300</v>
      </c>
      <c r="C1190" s="12">
        <v>613300</v>
      </c>
      <c r="D1190" s="12">
        <v>7.0000000000000007E-2</v>
      </c>
      <c r="E1190" s="12">
        <v>0.17</v>
      </c>
      <c r="F1190" s="12">
        <v>0.04</v>
      </c>
      <c r="G1190" s="12">
        <v>0.09</v>
      </c>
      <c r="H1190" s="12">
        <v>0.22</v>
      </c>
      <c r="I1190" s="12">
        <v>0.05</v>
      </c>
      <c r="J1190" s="12">
        <v>0.13</v>
      </c>
      <c r="K1190" s="12">
        <v>0.31</v>
      </c>
      <c r="L1190" s="12">
        <v>7.0000000000000007E-2</v>
      </c>
      <c r="M1190" s="8">
        <v>8</v>
      </c>
      <c r="N1190">
        <v>10</v>
      </c>
      <c r="O1190" s="12">
        <v>12</v>
      </c>
      <c r="BQ1190" s="8">
        <v>5</v>
      </c>
      <c r="BR1190" s="8" t="s">
        <v>2440</v>
      </c>
    </row>
    <row r="1191" spans="1:70" x14ac:dyDescent="0.3">
      <c r="A1191" s="11" t="s">
        <v>2441</v>
      </c>
      <c r="B1191" s="12">
        <v>245400</v>
      </c>
      <c r="C1191" s="12">
        <v>714600</v>
      </c>
      <c r="D1191" s="12">
        <v>0.22</v>
      </c>
      <c r="E1191" s="12">
        <v>0.54</v>
      </c>
      <c r="F1191" s="12">
        <v>0.1</v>
      </c>
      <c r="G1191" s="12">
        <v>0.28000000000000003</v>
      </c>
      <c r="H1191" s="12">
        <v>0.72</v>
      </c>
      <c r="I1191" s="12">
        <v>0.14000000000000001</v>
      </c>
      <c r="J1191" s="12">
        <v>0.38</v>
      </c>
      <c r="K1191" s="12">
        <v>0.98</v>
      </c>
      <c r="L1191" s="12">
        <v>0.2</v>
      </c>
      <c r="M1191" s="8">
        <v>5</v>
      </c>
      <c r="N1191">
        <v>6</v>
      </c>
      <c r="O1191" s="12">
        <v>7</v>
      </c>
      <c r="BQ1191" s="8">
        <v>9</v>
      </c>
      <c r="BR1191" s="8" t="s">
        <v>2442</v>
      </c>
    </row>
    <row r="1192" spans="1:70" x14ac:dyDescent="0.3">
      <c r="A1192" s="11" t="s">
        <v>2443</v>
      </c>
      <c r="B1192" s="12">
        <v>258400</v>
      </c>
      <c r="C1192" s="12">
        <v>788000</v>
      </c>
      <c r="D1192" s="12">
        <v>0.26</v>
      </c>
      <c r="E1192" s="12">
        <v>0.65</v>
      </c>
      <c r="F1192" s="12">
        <v>0.12</v>
      </c>
      <c r="G1192" s="12">
        <v>0.35</v>
      </c>
      <c r="H1192" s="12">
        <v>0.86</v>
      </c>
      <c r="I1192" s="12">
        <v>0.17</v>
      </c>
      <c r="J1192" s="12">
        <v>0.47</v>
      </c>
      <c r="K1192" s="12">
        <v>1.19</v>
      </c>
      <c r="L1192" s="12">
        <v>0.25</v>
      </c>
      <c r="M1192" s="8">
        <v>5</v>
      </c>
      <c r="N1192">
        <v>6</v>
      </c>
      <c r="O1192" s="12">
        <v>7</v>
      </c>
      <c r="BQ1192" s="8">
        <v>8</v>
      </c>
      <c r="BR1192" s="8" t="s">
        <v>2444</v>
      </c>
    </row>
    <row r="1193" spans="1:70" x14ac:dyDescent="0.3">
      <c r="A1193" s="11" t="s">
        <v>2445</v>
      </c>
      <c r="B1193" s="12">
        <v>144700</v>
      </c>
      <c r="C1193" s="12">
        <v>571300</v>
      </c>
      <c r="D1193" s="12">
        <v>0.04</v>
      </c>
      <c r="E1193" s="12">
        <v>0.09</v>
      </c>
      <c r="F1193" s="12">
        <v>0.03</v>
      </c>
      <c r="G1193" s="12">
        <v>0.05</v>
      </c>
      <c r="H1193" s="12">
        <v>0.11</v>
      </c>
      <c r="I1193" s="12">
        <v>0.04</v>
      </c>
      <c r="J1193" s="12">
        <v>0.06</v>
      </c>
      <c r="K1193" s="12">
        <v>0.15</v>
      </c>
      <c r="L1193" s="12">
        <v>0.06</v>
      </c>
      <c r="M1193" s="8">
        <v>9</v>
      </c>
      <c r="N1193">
        <v>11</v>
      </c>
      <c r="O1193" s="12">
        <v>13</v>
      </c>
      <c r="BQ1193" s="8">
        <v>8</v>
      </c>
      <c r="BR1193" s="8" t="s">
        <v>2446</v>
      </c>
    </row>
    <row r="1194" spans="1:70" x14ac:dyDescent="0.3">
      <c r="A1194" s="11" t="s">
        <v>2447</v>
      </c>
      <c r="B1194" s="12">
        <v>169600</v>
      </c>
      <c r="C1194" s="12">
        <v>629500</v>
      </c>
      <c r="D1194" s="12">
        <v>0.06</v>
      </c>
      <c r="E1194" s="12">
        <v>0.16</v>
      </c>
      <c r="F1194" s="12">
        <v>0.04</v>
      </c>
      <c r="G1194" s="12">
        <v>0.09</v>
      </c>
      <c r="H1194" s="12">
        <v>0.21</v>
      </c>
      <c r="I1194" s="12">
        <v>0.05</v>
      </c>
      <c r="J1194" s="12">
        <v>0.12</v>
      </c>
      <c r="K1194" s="12">
        <v>0.28999999999999998</v>
      </c>
      <c r="L1194" s="12">
        <v>7.0000000000000007E-2</v>
      </c>
      <c r="M1194" s="8">
        <v>8</v>
      </c>
      <c r="N1194">
        <v>10</v>
      </c>
      <c r="O1194" s="12">
        <v>12</v>
      </c>
      <c r="BQ1194" s="8">
        <v>7</v>
      </c>
      <c r="BR1194" s="8" t="s">
        <v>2448</v>
      </c>
    </row>
    <row r="1195" spans="1:70" x14ac:dyDescent="0.3">
      <c r="A1195" s="11" t="s">
        <v>2449</v>
      </c>
      <c r="B1195" s="12">
        <v>172700</v>
      </c>
      <c r="C1195" s="12">
        <v>595300</v>
      </c>
      <c r="D1195" s="12">
        <v>0.06</v>
      </c>
      <c r="E1195" s="12">
        <v>0.15</v>
      </c>
      <c r="F1195" s="12">
        <v>0.04</v>
      </c>
      <c r="G1195" s="12">
        <v>0.08</v>
      </c>
      <c r="H1195" s="12">
        <v>0.19</v>
      </c>
      <c r="I1195" s="12">
        <v>0.05</v>
      </c>
      <c r="J1195" s="12">
        <v>0.11</v>
      </c>
      <c r="K1195" s="12">
        <v>0.27</v>
      </c>
      <c r="L1195" s="12">
        <v>7.0000000000000007E-2</v>
      </c>
      <c r="M1195" s="8">
        <v>8</v>
      </c>
      <c r="N1195">
        <v>10</v>
      </c>
      <c r="O1195" s="12">
        <v>12</v>
      </c>
      <c r="BQ1195" s="8">
        <v>8</v>
      </c>
      <c r="BR1195" s="8" t="s">
        <v>2450</v>
      </c>
    </row>
    <row r="1196" spans="1:70" x14ac:dyDescent="0.3">
      <c r="A1196" s="11" t="s">
        <v>2451</v>
      </c>
      <c r="B1196" s="12">
        <v>190000</v>
      </c>
      <c r="C1196" s="12">
        <v>711000</v>
      </c>
      <c r="D1196" s="12">
        <v>0.08</v>
      </c>
      <c r="E1196" s="12">
        <v>0.18</v>
      </c>
      <c r="F1196" s="12">
        <v>0.05</v>
      </c>
      <c r="G1196" s="12">
        <v>0.1</v>
      </c>
      <c r="H1196" s="12">
        <v>0.24</v>
      </c>
      <c r="I1196" s="12">
        <v>0.06</v>
      </c>
      <c r="J1196" s="12">
        <v>0.13</v>
      </c>
      <c r="K1196" s="12">
        <v>0.32</v>
      </c>
      <c r="L1196" s="12">
        <v>0.08</v>
      </c>
      <c r="M1196" s="8">
        <v>7</v>
      </c>
      <c r="N1196">
        <v>9</v>
      </c>
      <c r="O1196" s="12">
        <v>11</v>
      </c>
      <c r="BQ1196" s="8">
        <v>9</v>
      </c>
      <c r="BR1196" s="8" t="s">
        <v>2452</v>
      </c>
    </row>
    <row r="1197" spans="1:70" x14ac:dyDescent="0.3">
      <c r="A1197" s="11" t="s">
        <v>2453</v>
      </c>
      <c r="B1197" s="12">
        <v>192500</v>
      </c>
      <c r="C1197" s="12">
        <v>625500</v>
      </c>
      <c r="D1197" s="12">
        <v>7.0000000000000007E-2</v>
      </c>
      <c r="E1197" s="12">
        <v>0.16</v>
      </c>
      <c r="F1197" s="12">
        <v>0.04</v>
      </c>
      <c r="G1197" s="12">
        <v>0.08</v>
      </c>
      <c r="H1197" s="12">
        <v>0.21</v>
      </c>
      <c r="I1197" s="12">
        <v>0.06</v>
      </c>
      <c r="J1197" s="12">
        <v>0.11</v>
      </c>
      <c r="K1197" s="12">
        <v>0.27</v>
      </c>
      <c r="L1197" s="12">
        <v>0.08</v>
      </c>
      <c r="M1197" s="8">
        <v>8</v>
      </c>
      <c r="N1197">
        <v>9</v>
      </c>
      <c r="O1197" s="12">
        <v>12</v>
      </c>
      <c r="BQ1197" s="8">
        <v>8</v>
      </c>
      <c r="BR1197" s="8" t="s">
        <v>2454</v>
      </c>
    </row>
    <row r="1198" spans="1:70" x14ac:dyDescent="0.3">
      <c r="A1198" s="11" t="s">
        <v>2455</v>
      </c>
      <c r="B1198" s="12">
        <v>136600</v>
      </c>
      <c r="C1198" s="12">
        <v>569000</v>
      </c>
      <c r="D1198" s="12">
        <v>0.04</v>
      </c>
      <c r="E1198" s="12">
        <v>0.09</v>
      </c>
      <c r="F1198" s="12">
        <v>0.03</v>
      </c>
      <c r="G1198" s="12">
        <v>0.05</v>
      </c>
      <c r="H1198" s="12">
        <v>0.11</v>
      </c>
      <c r="I1198" s="12">
        <v>0.04</v>
      </c>
      <c r="J1198" s="12">
        <v>0.06</v>
      </c>
      <c r="K1198" s="12">
        <v>0.14000000000000001</v>
      </c>
      <c r="L1198" s="12">
        <v>0.05</v>
      </c>
      <c r="M1198" s="8">
        <v>9</v>
      </c>
      <c r="N1198">
        <v>11</v>
      </c>
      <c r="O1198" s="12">
        <v>14</v>
      </c>
      <c r="BQ1198" s="8">
        <v>5</v>
      </c>
      <c r="BR1198" s="8" t="s">
        <v>2456</v>
      </c>
    </row>
    <row r="1199" spans="1:70" x14ac:dyDescent="0.3">
      <c r="A1199" s="11" t="s">
        <v>2457</v>
      </c>
      <c r="B1199" s="12">
        <v>194800</v>
      </c>
      <c r="C1199" s="12">
        <v>674100</v>
      </c>
      <c r="D1199" s="12">
        <v>7.0000000000000007E-2</v>
      </c>
      <c r="E1199" s="12">
        <v>0.16</v>
      </c>
      <c r="F1199" s="12">
        <v>0.05</v>
      </c>
      <c r="G1199" s="12">
        <v>0.08</v>
      </c>
      <c r="H1199" s="12">
        <v>0.2</v>
      </c>
      <c r="I1199" s="12">
        <v>0.06</v>
      </c>
      <c r="J1199" s="12">
        <v>0.1</v>
      </c>
      <c r="K1199" s="12">
        <v>0.27</v>
      </c>
      <c r="L1199" s="12">
        <v>0.08</v>
      </c>
      <c r="M1199" s="8">
        <v>8</v>
      </c>
      <c r="N1199">
        <v>9</v>
      </c>
      <c r="O1199" s="12">
        <v>12</v>
      </c>
      <c r="BQ1199" s="8">
        <v>8</v>
      </c>
      <c r="BR1199" s="8" t="s">
        <v>2458</v>
      </c>
    </row>
    <row r="1200" spans="1:70" x14ac:dyDescent="0.3">
      <c r="A1200" s="11" t="s">
        <v>2459</v>
      </c>
      <c r="B1200" s="12">
        <v>245900</v>
      </c>
      <c r="C1200" s="12">
        <v>705100</v>
      </c>
      <c r="D1200" s="12">
        <v>0.23</v>
      </c>
      <c r="E1200" s="12">
        <v>0.56999999999999995</v>
      </c>
      <c r="F1200" s="12">
        <v>0.11</v>
      </c>
      <c r="G1200" s="12">
        <v>0.3</v>
      </c>
      <c r="H1200" s="12">
        <v>0.76</v>
      </c>
      <c r="I1200" s="12">
        <v>0.15</v>
      </c>
      <c r="J1200" s="12">
        <v>0.4</v>
      </c>
      <c r="K1200" s="12">
        <v>1.04</v>
      </c>
      <c r="L1200" s="12">
        <v>0.21</v>
      </c>
      <c r="M1200" s="8">
        <v>5</v>
      </c>
      <c r="N1200">
        <v>6</v>
      </c>
      <c r="O1200" s="12">
        <v>7</v>
      </c>
      <c r="BQ1200" s="8">
        <v>6</v>
      </c>
      <c r="BR1200" s="8" t="s">
        <v>2460</v>
      </c>
    </row>
    <row r="1201" spans="1:70" x14ac:dyDescent="0.3">
      <c r="A1201" s="11" t="s">
        <v>2461</v>
      </c>
      <c r="B1201" s="12">
        <v>175700</v>
      </c>
      <c r="C1201" s="12">
        <v>637800</v>
      </c>
      <c r="D1201" s="12">
        <v>0.06</v>
      </c>
      <c r="E1201" s="12">
        <v>0.14000000000000001</v>
      </c>
      <c r="F1201" s="12">
        <v>0.04</v>
      </c>
      <c r="G1201" s="12">
        <v>0.08</v>
      </c>
      <c r="H1201" s="12">
        <v>0.18</v>
      </c>
      <c r="I1201" s="12">
        <v>0.05</v>
      </c>
      <c r="J1201" s="12">
        <v>0.1</v>
      </c>
      <c r="K1201" s="12">
        <v>0.25</v>
      </c>
      <c r="L1201" s="12">
        <v>7.0000000000000007E-2</v>
      </c>
      <c r="M1201" s="8">
        <v>8</v>
      </c>
      <c r="N1201">
        <v>10</v>
      </c>
      <c r="O1201" s="12">
        <v>12</v>
      </c>
      <c r="BQ1201" s="8">
        <v>5</v>
      </c>
      <c r="BR1201" s="8" t="s">
        <v>2462</v>
      </c>
    </row>
    <row r="1202" spans="1:70" x14ac:dyDescent="0.3">
      <c r="A1202" s="11" t="s">
        <v>2463</v>
      </c>
      <c r="B1202" s="12">
        <v>241200</v>
      </c>
      <c r="C1202" s="12">
        <v>733400</v>
      </c>
      <c r="D1202" s="12">
        <v>0.18</v>
      </c>
      <c r="E1202" s="12">
        <v>0.47</v>
      </c>
      <c r="F1202" s="12">
        <v>0.09</v>
      </c>
      <c r="G1202" s="12">
        <v>0.23</v>
      </c>
      <c r="H1202" s="12">
        <v>0.6</v>
      </c>
      <c r="I1202" s="12">
        <v>0.12</v>
      </c>
      <c r="J1202" s="12">
        <v>0.3</v>
      </c>
      <c r="K1202" s="12">
        <v>0.79</v>
      </c>
      <c r="L1202" s="12">
        <v>0.17</v>
      </c>
      <c r="M1202" s="8">
        <v>6</v>
      </c>
      <c r="N1202">
        <v>7</v>
      </c>
      <c r="O1202" s="12">
        <v>8</v>
      </c>
      <c r="BQ1202" s="8">
        <v>8</v>
      </c>
      <c r="BR1202" s="8" t="s">
        <v>2464</v>
      </c>
    </row>
    <row r="1203" spans="1:70" x14ac:dyDescent="0.3">
      <c r="A1203" s="11" t="s">
        <v>2465</v>
      </c>
      <c r="B1203" s="12">
        <v>250400</v>
      </c>
      <c r="C1203" s="12">
        <v>694800</v>
      </c>
      <c r="D1203" s="12">
        <v>0.26</v>
      </c>
      <c r="E1203" s="12">
        <v>0.64</v>
      </c>
      <c r="F1203" s="12">
        <v>0.12</v>
      </c>
      <c r="G1203" s="12">
        <v>0.34</v>
      </c>
      <c r="H1203" s="12">
        <v>0.85</v>
      </c>
      <c r="I1203" s="12">
        <v>0.17</v>
      </c>
      <c r="J1203" s="12">
        <v>0.46</v>
      </c>
      <c r="K1203" s="12">
        <v>1.17</v>
      </c>
      <c r="L1203" s="12">
        <v>0.24</v>
      </c>
      <c r="M1203" s="8">
        <v>5</v>
      </c>
      <c r="N1203">
        <v>5</v>
      </c>
      <c r="O1203" s="12">
        <v>6</v>
      </c>
      <c r="BQ1203" s="8">
        <v>7</v>
      </c>
      <c r="BR1203" s="8" t="s">
        <v>2466</v>
      </c>
    </row>
    <row r="1204" spans="1:70" x14ac:dyDescent="0.3">
      <c r="A1204" s="11" t="s">
        <v>2467</v>
      </c>
      <c r="B1204" s="12">
        <v>162100</v>
      </c>
      <c r="C1204" s="12">
        <v>603700</v>
      </c>
      <c r="D1204" s="12">
        <v>0.06</v>
      </c>
      <c r="E1204" s="12">
        <v>0.14000000000000001</v>
      </c>
      <c r="F1204" s="12">
        <v>0.04</v>
      </c>
      <c r="G1204" s="12">
        <v>0.08</v>
      </c>
      <c r="H1204" s="12">
        <v>0.18</v>
      </c>
      <c r="I1204" s="12">
        <v>0.05</v>
      </c>
      <c r="J1204" s="12">
        <v>0.1</v>
      </c>
      <c r="K1204" s="12">
        <v>0.26</v>
      </c>
      <c r="L1204" s="12">
        <v>0.06</v>
      </c>
      <c r="M1204" s="8">
        <v>8</v>
      </c>
      <c r="N1204">
        <v>10</v>
      </c>
      <c r="O1204" s="12">
        <v>12</v>
      </c>
      <c r="BQ1204" s="8">
        <v>8</v>
      </c>
      <c r="BR1204" s="8" t="s">
        <v>2468</v>
      </c>
    </row>
    <row r="1205" spans="1:70" x14ac:dyDescent="0.3">
      <c r="A1205" s="11" t="s">
        <v>2469</v>
      </c>
      <c r="B1205" s="12">
        <v>207500</v>
      </c>
      <c r="C1205" s="12">
        <v>634000</v>
      </c>
      <c r="D1205" s="12">
        <v>0.08</v>
      </c>
      <c r="E1205" s="12">
        <v>0.19</v>
      </c>
      <c r="F1205" s="12">
        <v>0.05</v>
      </c>
      <c r="G1205" s="12">
        <v>0.09</v>
      </c>
      <c r="H1205" s="12">
        <v>0.24</v>
      </c>
      <c r="I1205" s="12">
        <v>0.06</v>
      </c>
      <c r="J1205" s="12">
        <v>0.12</v>
      </c>
      <c r="K1205" s="12">
        <v>0.31</v>
      </c>
      <c r="L1205" s="12">
        <v>0.09</v>
      </c>
      <c r="M1205" s="8">
        <v>7</v>
      </c>
      <c r="N1205">
        <v>9</v>
      </c>
      <c r="O1205" s="12">
        <v>11</v>
      </c>
      <c r="BQ1205" s="8">
        <v>8</v>
      </c>
      <c r="BR1205" s="8" t="s">
        <v>2470</v>
      </c>
    </row>
    <row r="1206" spans="1:70" x14ac:dyDescent="0.3">
      <c r="A1206" s="11" t="s">
        <v>2471</v>
      </c>
      <c r="B1206" s="12">
        <v>156700</v>
      </c>
      <c r="C1206" s="12">
        <v>595400</v>
      </c>
      <c r="D1206" s="12">
        <v>0.05</v>
      </c>
      <c r="E1206" s="12">
        <v>0.12</v>
      </c>
      <c r="F1206" s="12">
        <v>0.03</v>
      </c>
      <c r="G1206" s="12">
        <v>0.06</v>
      </c>
      <c r="H1206" s="12">
        <v>0.15</v>
      </c>
      <c r="I1206" s="12">
        <v>0.04</v>
      </c>
      <c r="J1206" s="12">
        <v>0.08</v>
      </c>
      <c r="K1206" s="12">
        <v>0.2</v>
      </c>
      <c r="L1206" s="12">
        <v>0.06</v>
      </c>
      <c r="M1206" s="8">
        <v>8</v>
      </c>
      <c r="N1206">
        <v>10</v>
      </c>
      <c r="O1206" s="12">
        <v>13</v>
      </c>
      <c r="BQ1206" s="8">
        <v>8</v>
      </c>
      <c r="BR1206" s="8" t="s">
        <v>2472</v>
      </c>
    </row>
    <row r="1207" spans="1:70" x14ac:dyDescent="0.3">
      <c r="A1207" s="11" t="s">
        <v>2473</v>
      </c>
      <c r="B1207" s="12">
        <v>175700</v>
      </c>
      <c r="C1207" s="12">
        <v>591300</v>
      </c>
      <c r="D1207" s="12">
        <v>0.06</v>
      </c>
      <c r="E1207" s="12">
        <v>0.15</v>
      </c>
      <c r="F1207" s="12">
        <v>0.04</v>
      </c>
      <c r="G1207" s="12">
        <v>0.08</v>
      </c>
      <c r="H1207" s="12">
        <v>0.19</v>
      </c>
      <c r="I1207" s="12">
        <v>0.05</v>
      </c>
      <c r="J1207" s="12">
        <v>0.11</v>
      </c>
      <c r="K1207" s="12">
        <v>0.27</v>
      </c>
      <c r="L1207" s="12">
        <v>7.0000000000000007E-2</v>
      </c>
      <c r="M1207" s="8">
        <v>8</v>
      </c>
      <c r="N1207">
        <v>10</v>
      </c>
      <c r="O1207" s="12">
        <v>12</v>
      </c>
      <c r="BQ1207" s="8">
        <v>7</v>
      </c>
      <c r="BR1207" s="8" t="s">
        <v>2474</v>
      </c>
    </row>
    <row r="1208" spans="1:70" x14ac:dyDescent="0.3">
      <c r="A1208" s="11" t="s">
        <v>2475</v>
      </c>
      <c r="B1208" s="12">
        <v>194700</v>
      </c>
      <c r="C1208" s="12">
        <v>656000</v>
      </c>
      <c r="D1208" s="12">
        <v>7.0000000000000007E-2</v>
      </c>
      <c r="E1208" s="12">
        <v>0.16</v>
      </c>
      <c r="F1208" s="12">
        <v>0.04</v>
      </c>
      <c r="G1208" s="12">
        <v>0.08</v>
      </c>
      <c r="H1208" s="12">
        <v>0.2</v>
      </c>
      <c r="I1208" s="12">
        <v>0.06</v>
      </c>
      <c r="J1208" s="12">
        <v>0.1</v>
      </c>
      <c r="K1208" s="12">
        <v>0.26</v>
      </c>
      <c r="L1208" s="12">
        <v>0.08</v>
      </c>
      <c r="M1208" s="8">
        <v>8</v>
      </c>
      <c r="N1208">
        <v>9</v>
      </c>
      <c r="O1208" s="12">
        <v>12</v>
      </c>
      <c r="BQ1208" s="8">
        <v>8</v>
      </c>
      <c r="BR1208" s="8" t="s">
        <v>2476</v>
      </c>
    </row>
    <row r="1209" spans="1:70" x14ac:dyDescent="0.3">
      <c r="A1209" s="11" t="s">
        <v>2477</v>
      </c>
      <c r="B1209" s="12">
        <v>226900</v>
      </c>
      <c r="C1209" s="12">
        <v>776400</v>
      </c>
      <c r="D1209" s="12">
        <v>0.12</v>
      </c>
      <c r="E1209" s="12">
        <v>0.31</v>
      </c>
      <c r="F1209" s="12">
        <v>7.0000000000000007E-2</v>
      </c>
      <c r="G1209" s="12">
        <v>0.15</v>
      </c>
      <c r="H1209" s="12">
        <v>0.39</v>
      </c>
      <c r="I1209" s="12">
        <v>0.09</v>
      </c>
      <c r="J1209" s="12">
        <v>0.2</v>
      </c>
      <c r="K1209" s="12">
        <v>0.52</v>
      </c>
      <c r="L1209" s="12">
        <v>0.12</v>
      </c>
      <c r="M1209" s="8">
        <v>7</v>
      </c>
      <c r="N1209">
        <v>8</v>
      </c>
      <c r="O1209" s="12">
        <v>10</v>
      </c>
      <c r="BQ1209" s="8">
        <v>9</v>
      </c>
      <c r="BR1209" s="8" t="s">
        <v>2478</v>
      </c>
    </row>
    <row r="1210" spans="1:70" x14ac:dyDescent="0.3">
      <c r="A1210" s="11" t="s">
        <v>2479</v>
      </c>
      <c r="B1210" s="12">
        <v>188800</v>
      </c>
      <c r="C1210" s="12">
        <v>593400</v>
      </c>
      <c r="D1210" s="12">
        <v>7.0000000000000007E-2</v>
      </c>
      <c r="E1210" s="12">
        <v>0.18</v>
      </c>
      <c r="F1210" s="12">
        <v>0.04</v>
      </c>
      <c r="G1210" s="12">
        <v>0.09</v>
      </c>
      <c r="H1210" s="12">
        <v>0.23</v>
      </c>
      <c r="I1210" s="12">
        <v>0.06</v>
      </c>
      <c r="J1210" s="12">
        <v>0.13</v>
      </c>
      <c r="K1210" s="12">
        <v>0.32</v>
      </c>
      <c r="L1210" s="12">
        <v>0.08</v>
      </c>
      <c r="M1210" s="8">
        <v>8</v>
      </c>
      <c r="N1210">
        <v>9</v>
      </c>
      <c r="O1210" s="12">
        <v>11</v>
      </c>
      <c r="BQ1210" s="8">
        <v>7</v>
      </c>
      <c r="BR1210" s="8" t="s">
        <v>2480</v>
      </c>
    </row>
    <row r="1211" spans="1:70" x14ac:dyDescent="0.3">
      <c r="A1211" s="11" t="s">
        <v>2481</v>
      </c>
      <c r="B1211" s="12">
        <v>154700</v>
      </c>
      <c r="C1211" s="12">
        <v>592500</v>
      </c>
      <c r="D1211" s="12">
        <v>0.05</v>
      </c>
      <c r="E1211" s="12">
        <v>0.11</v>
      </c>
      <c r="F1211" s="12">
        <v>0.03</v>
      </c>
      <c r="G1211" s="12">
        <v>0.06</v>
      </c>
      <c r="H1211" s="12">
        <v>0.14000000000000001</v>
      </c>
      <c r="I1211" s="12">
        <v>0.04</v>
      </c>
      <c r="J1211" s="12">
        <v>0.08</v>
      </c>
      <c r="K1211" s="12">
        <v>0.19</v>
      </c>
      <c r="L1211" s="12">
        <v>0.06</v>
      </c>
      <c r="M1211" s="8">
        <v>9</v>
      </c>
      <c r="N1211">
        <v>11</v>
      </c>
      <c r="O1211" s="12">
        <v>13</v>
      </c>
      <c r="BQ1211" s="8">
        <v>6</v>
      </c>
      <c r="BR1211" s="8" t="s">
        <v>2482</v>
      </c>
    </row>
    <row r="1212" spans="1:70" x14ac:dyDescent="0.3">
      <c r="A1212" s="11" t="s">
        <v>2483</v>
      </c>
      <c r="B1212" s="12">
        <v>206100</v>
      </c>
      <c r="C1212" s="12">
        <v>633800</v>
      </c>
      <c r="D1212" s="12">
        <v>0.08</v>
      </c>
      <c r="E1212" s="12">
        <v>0.18</v>
      </c>
      <c r="F1212" s="12">
        <v>0.05</v>
      </c>
      <c r="G1212" s="12">
        <v>0.09</v>
      </c>
      <c r="H1212" s="12">
        <v>0.23</v>
      </c>
      <c r="I1212" s="12">
        <v>0.06</v>
      </c>
      <c r="J1212" s="12">
        <v>0.12</v>
      </c>
      <c r="K1212" s="12">
        <v>0.3</v>
      </c>
      <c r="L1212" s="12">
        <v>0.09</v>
      </c>
      <c r="M1212" s="8">
        <v>7</v>
      </c>
      <c r="N1212">
        <v>9</v>
      </c>
      <c r="O1212" s="12">
        <v>11</v>
      </c>
      <c r="BQ1212" s="8">
        <v>8</v>
      </c>
      <c r="BR1212" s="8" t="s">
        <v>2484</v>
      </c>
    </row>
    <row r="1213" spans="1:70" x14ac:dyDescent="0.3">
      <c r="A1213" s="11" t="s">
        <v>2485</v>
      </c>
      <c r="B1213" s="12">
        <v>224600</v>
      </c>
      <c r="C1213" s="12">
        <v>755200</v>
      </c>
      <c r="D1213" s="12">
        <v>0.13</v>
      </c>
      <c r="E1213" s="12">
        <v>0.34</v>
      </c>
      <c r="F1213" s="12">
        <v>7.0000000000000007E-2</v>
      </c>
      <c r="G1213" s="12">
        <v>0.17</v>
      </c>
      <c r="H1213" s="12">
        <v>0.43</v>
      </c>
      <c r="I1213" s="12">
        <v>0.09</v>
      </c>
      <c r="J1213" s="12">
        <v>0.22</v>
      </c>
      <c r="K1213" s="12">
        <v>0.56000000000000005</v>
      </c>
      <c r="L1213" s="12">
        <v>0.12</v>
      </c>
      <c r="M1213" s="8">
        <v>6</v>
      </c>
      <c r="N1213">
        <v>8</v>
      </c>
      <c r="O1213" s="12">
        <v>10</v>
      </c>
      <c r="BQ1213" s="8">
        <v>6</v>
      </c>
      <c r="BR1213" s="8" t="s">
        <v>2486</v>
      </c>
    </row>
    <row r="1214" spans="1:70" x14ac:dyDescent="0.3">
      <c r="A1214" s="11" t="s">
        <v>2487</v>
      </c>
      <c r="B1214" s="12">
        <v>186700</v>
      </c>
      <c r="C1214" s="12">
        <v>695700</v>
      </c>
      <c r="D1214" s="12">
        <v>7.0000000000000007E-2</v>
      </c>
      <c r="E1214" s="12">
        <v>0.16</v>
      </c>
      <c r="F1214" s="12">
        <v>0.05</v>
      </c>
      <c r="G1214" s="12">
        <v>0.08</v>
      </c>
      <c r="H1214" s="12">
        <v>0.21</v>
      </c>
      <c r="I1214" s="12">
        <v>0.06</v>
      </c>
      <c r="J1214" s="12">
        <v>0.11</v>
      </c>
      <c r="K1214" s="12">
        <v>0.28000000000000003</v>
      </c>
      <c r="L1214" s="12">
        <v>0.08</v>
      </c>
      <c r="M1214" s="8">
        <v>8</v>
      </c>
      <c r="N1214">
        <v>9</v>
      </c>
      <c r="O1214" s="12">
        <v>12</v>
      </c>
      <c r="BQ1214" s="8">
        <v>8</v>
      </c>
      <c r="BR1214" s="8" t="s">
        <v>2488</v>
      </c>
    </row>
    <row r="1215" spans="1:70" x14ac:dyDescent="0.3">
      <c r="A1215" s="11" t="s">
        <v>2489</v>
      </c>
      <c r="B1215" s="12">
        <v>233500</v>
      </c>
      <c r="C1215" s="12">
        <v>759800</v>
      </c>
      <c r="D1215" s="12">
        <v>0.15</v>
      </c>
      <c r="E1215" s="12">
        <v>0.37</v>
      </c>
      <c r="F1215" s="12">
        <v>7.0000000000000007E-2</v>
      </c>
      <c r="G1215" s="12">
        <v>0.18</v>
      </c>
      <c r="H1215" s="12">
        <v>0.47</v>
      </c>
      <c r="I1215" s="12">
        <v>0.1</v>
      </c>
      <c r="J1215" s="12">
        <v>0.23</v>
      </c>
      <c r="K1215" s="12">
        <v>0.62</v>
      </c>
      <c r="L1215" s="12">
        <v>0.13</v>
      </c>
      <c r="M1215" s="8">
        <v>6</v>
      </c>
      <c r="N1215">
        <v>8</v>
      </c>
      <c r="O1215" s="12">
        <v>9</v>
      </c>
      <c r="BQ1215" s="8">
        <v>5</v>
      </c>
      <c r="BR1215" s="8" t="s">
        <v>2490</v>
      </c>
    </row>
    <row r="1216" spans="1:70" x14ac:dyDescent="0.3">
      <c r="A1216" s="11" t="s">
        <v>2491</v>
      </c>
      <c r="B1216" s="12">
        <v>173800</v>
      </c>
      <c r="C1216" s="12">
        <v>614200</v>
      </c>
      <c r="D1216" s="12">
        <v>7.0000000000000007E-2</v>
      </c>
      <c r="E1216" s="12">
        <v>0.16</v>
      </c>
      <c r="F1216" s="12">
        <v>0.04</v>
      </c>
      <c r="G1216" s="12">
        <v>0.09</v>
      </c>
      <c r="H1216" s="12">
        <v>0.22</v>
      </c>
      <c r="I1216" s="12">
        <v>0.05</v>
      </c>
      <c r="J1216" s="12">
        <v>0.12</v>
      </c>
      <c r="K1216" s="12">
        <v>0.3</v>
      </c>
      <c r="L1216" s="12">
        <v>7.0000000000000007E-2</v>
      </c>
      <c r="M1216" s="8">
        <v>8</v>
      </c>
      <c r="N1216">
        <v>10</v>
      </c>
      <c r="O1216" s="12">
        <v>12</v>
      </c>
      <c r="BQ1216" s="8">
        <v>8</v>
      </c>
      <c r="BR1216" s="8" t="s">
        <v>2492</v>
      </c>
    </row>
    <row r="1217" spans="1:70" x14ac:dyDescent="0.3">
      <c r="A1217" s="11" t="s">
        <v>2493</v>
      </c>
      <c r="B1217" s="12">
        <v>199600</v>
      </c>
      <c r="C1217" s="12">
        <v>424000</v>
      </c>
      <c r="D1217" s="12">
        <v>0.17</v>
      </c>
      <c r="E1217" s="12">
        <v>0.41</v>
      </c>
      <c r="F1217" s="12">
        <v>7.0000000000000007E-2</v>
      </c>
      <c r="G1217" s="12">
        <v>0.23</v>
      </c>
      <c r="H1217" s="12">
        <v>0.56999999999999995</v>
      </c>
      <c r="I1217" s="12">
        <v>0.1</v>
      </c>
      <c r="J1217" s="12">
        <v>0.32</v>
      </c>
      <c r="K1217" s="12">
        <v>0.81</v>
      </c>
      <c r="L1217" s="12">
        <v>0.16</v>
      </c>
      <c r="M1217" s="8">
        <v>5</v>
      </c>
      <c r="N1217">
        <v>5</v>
      </c>
      <c r="O1217" s="12">
        <v>6</v>
      </c>
      <c r="BQ1217" s="8">
        <v>5</v>
      </c>
      <c r="BR1217" s="8" t="s">
        <v>2494</v>
      </c>
    </row>
    <row r="1218" spans="1:70" x14ac:dyDescent="0.3">
      <c r="A1218" s="11" t="s">
        <v>2495</v>
      </c>
      <c r="B1218" s="12">
        <v>162800</v>
      </c>
      <c r="C1218" s="12">
        <v>589600</v>
      </c>
      <c r="D1218" s="12">
        <v>0.05</v>
      </c>
      <c r="E1218" s="12">
        <v>0.12</v>
      </c>
      <c r="F1218" s="12">
        <v>0.04</v>
      </c>
      <c r="G1218" s="12">
        <v>0.06</v>
      </c>
      <c r="H1218" s="12">
        <v>0.15</v>
      </c>
      <c r="I1218" s="12">
        <v>0.05</v>
      </c>
      <c r="J1218" s="12">
        <v>0.08</v>
      </c>
      <c r="K1218" s="12">
        <v>0.21</v>
      </c>
      <c r="L1218" s="12">
        <v>0.06</v>
      </c>
      <c r="M1218" s="8">
        <v>8</v>
      </c>
      <c r="N1218">
        <v>10</v>
      </c>
      <c r="O1218" s="12">
        <v>13</v>
      </c>
      <c r="BQ1218" s="8">
        <v>7</v>
      </c>
      <c r="BR1218" s="8" t="s">
        <v>2496</v>
      </c>
    </row>
    <row r="1219" spans="1:70" x14ac:dyDescent="0.3">
      <c r="A1219" s="11" t="s">
        <v>2497</v>
      </c>
      <c r="B1219" s="12">
        <v>201400</v>
      </c>
      <c r="C1219" s="12">
        <v>454100</v>
      </c>
      <c r="D1219" s="12">
        <v>0.15</v>
      </c>
      <c r="E1219" s="12">
        <v>0.38</v>
      </c>
      <c r="F1219" s="12">
        <v>0.06</v>
      </c>
      <c r="G1219" s="12">
        <v>0.2</v>
      </c>
      <c r="H1219" s="12">
        <v>0.5</v>
      </c>
      <c r="I1219" s="12">
        <v>0.09</v>
      </c>
      <c r="J1219" s="12">
        <v>0.26</v>
      </c>
      <c r="K1219" s="12">
        <v>0.67</v>
      </c>
      <c r="L1219" s="12">
        <v>0.12</v>
      </c>
      <c r="M1219" s="8">
        <v>5</v>
      </c>
      <c r="N1219">
        <v>6</v>
      </c>
      <c r="O1219" s="12">
        <v>7</v>
      </c>
      <c r="BQ1219" s="8">
        <v>6</v>
      </c>
      <c r="BR1219" s="8" t="s">
        <v>2498</v>
      </c>
    </row>
    <row r="1220" spans="1:70" x14ac:dyDescent="0.3">
      <c r="A1220" s="11" t="s">
        <v>2499</v>
      </c>
      <c r="B1220" s="12">
        <v>214200</v>
      </c>
      <c r="C1220" s="12">
        <v>766500</v>
      </c>
      <c r="D1220" s="12">
        <v>0.12</v>
      </c>
      <c r="E1220" s="12">
        <v>0.3</v>
      </c>
      <c r="F1220" s="12">
        <v>0.06</v>
      </c>
      <c r="G1220" s="12">
        <v>0.16</v>
      </c>
      <c r="H1220" s="12">
        <v>0.39</v>
      </c>
      <c r="I1220" s="12">
        <v>0.08</v>
      </c>
      <c r="J1220" s="12">
        <v>0.21</v>
      </c>
      <c r="K1220" s="12">
        <v>0.53</v>
      </c>
      <c r="L1220" s="12">
        <v>0.11</v>
      </c>
      <c r="M1220" s="8">
        <v>7</v>
      </c>
      <c r="N1220">
        <v>8</v>
      </c>
      <c r="O1220" s="12">
        <v>10</v>
      </c>
      <c r="BQ1220" s="8">
        <v>7</v>
      </c>
      <c r="BR1220" s="8" t="s">
        <v>2500</v>
      </c>
    </row>
    <row r="1221" spans="1:70" x14ac:dyDescent="0.3">
      <c r="A1221" s="11" t="s">
        <v>2501</v>
      </c>
      <c r="B1221" s="12">
        <v>227600</v>
      </c>
      <c r="C1221" s="12">
        <v>662100</v>
      </c>
      <c r="D1221" s="12">
        <v>0.14000000000000001</v>
      </c>
      <c r="E1221" s="12">
        <v>0.36</v>
      </c>
      <c r="F1221" s="12">
        <v>7.0000000000000007E-2</v>
      </c>
      <c r="G1221" s="12">
        <v>0.18</v>
      </c>
      <c r="H1221" s="12">
        <v>0.47</v>
      </c>
      <c r="I1221" s="12">
        <v>0.1</v>
      </c>
      <c r="J1221" s="12">
        <v>0.25</v>
      </c>
      <c r="K1221" s="12">
        <v>0.65</v>
      </c>
      <c r="L1221" s="12">
        <v>0.14000000000000001</v>
      </c>
      <c r="M1221" s="8">
        <v>6</v>
      </c>
      <c r="N1221">
        <v>7</v>
      </c>
      <c r="O1221" s="12">
        <v>8</v>
      </c>
      <c r="BQ1221" s="8">
        <v>6</v>
      </c>
      <c r="BR1221" s="8" t="s">
        <v>2502</v>
      </c>
    </row>
    <row r="1222" spans="1:70" x14ac:dyDescent="0.3">
      <c r="A1222" s="11" t="s">
        <v>2503</v>
      </c>
      <c r="B1222" s="12">
        <v>202400</v>
      </c>
      <c r="C1222" s="12">
        <v>647400</v>
      </c>
      <c r="D1222" s="12">
        <v>7.0000000000000007E-2</v>
      </c>
      <c r="E1222" s="12">
        <v>0.18</v>
      </c>
      <c r="F1222" s="12">
        <v>0.05</v>
      </c>
      <c r="G1222" s="12">
        <v>0.09</v>
      </c>
      <c r="H1222" s="12">
        <v>0.22</v>
      </c>
      <c r="I1222" s="12">
        <v>0.06</v>
      </c>
      <c r="J1222" s="12">
        <v>0.11</v>
      </c>
      <c r="K1222" s="12">
        <v>0.28999999999999998</v>
      </c>
      <c r="L1222" s="12">
        <v>0.08</v>
      </c>
      <c r="M1222" s="8">
        <v>7</v>
      </c>
      <c r="N1222">
        <v>9</v>
      </c>
      <c r="O1222" s="12">
        <v>11</v>
      </c>
      <c r="BQ1222" s="8">
        <v>8</v>
      </c>
      <c r="BR1222" s="8" t="s">
        <v>2504</v>
      </c>
    </row>
    <row r="1223" spans="1:70" x14ac:dyDescent="0.3">
      <c r="A1223" s="11" t="s">
        <v>2505</v>
      </c>
      <c r="B1223" s="12">
        <v>223400</v>
      </c>
      <c r="C1223" s="12">
        <v>750500</v>
      </c>
      <c r="D1223" s="12">
        <v>0.14000000000000001</v>
      </c>
      <c r="E1223" s="12">
        <v>0.34</v>
      </c>
      <c r="F1223" s="12">
        <v>7.0000000000000007E-2</v>
      </c>
      <c r="G1223" s="12">
        <v>0.17</v>
      </c>
      <c r="H1223" s="12">
        <v>0.44</v>
      </c>
      <c r="I1223" s="12">
        <v>0.09</v>
      </c>
      <c r="J1223" s="12">
        <v>0.23</v>
      </c>
      <c r="K1223" s="12">
        <v>0.57999999999999996</v>
      </c>
      <c r="L1223" s="12">
        <v>0.12</v>
      </c>
      <c r="M1223" s="8">
        <v>6</v>
      </c>
      <c r="N1223">
        <v>8</v>
      </c>
      <c r="O1223" s="12">
        <v>9</v>
      </c>
      <c r="BQ1223" s="8">
        <v>5</v>
      </c>
      <c r="BR1223" s="8" t="s">
        <v>2506</v>
      </c>
    </row>
    <row r="1224" spans="1:70" x14ac:dyDescent="0.3">
      <c r="A1224" s="11" t="s">
        <v>2507</v>
      </c>
      <c r="B1224" s="12">
        <v>177900</v>
      </c>
      <c r="C1224" s="12">
        <v>608000</v>
      </c>
      <c r="D1224" s="12">
        <v>7.0000000000000007E-2</v>
      </c>
      <c r="E1224" s="12">
        <v>0.17</v>
      </c>
      <c r="F1224" s="12">
        <v>0.04</v>
      </c>
      <c r="G1224" s="12">
        <v>0.09</v>
      </c>
      <c r="H1224" s="12">
        <v>0.22</v>
      </c>
      <c r="I1224" s="12">
        <v>0.05</v>
      </c>
      <c r="J1224" s="12">
        <v>0.13</v>
      </c>
      <c r="K1224" s="12">
        <v>0.31</v>
      </c>
      <c r="L1224" s="12">
        <v>7.0000000000000007E-2</v>
      </c>
      <c r="M1224" s="8">
        <v>8</v>
      </c>
      <c r="N1224">
        <v>10</v>
      </c>
      <c r="O1224" s="12">
        <v>12</v>
      </c>
      <c r="BQ1224" s="8">
        <v>7</v>
      </c>
      <c r="BR1224" s="8" t="s">
        <v>2508</v>
      </c>
    </row>
    <row r="1225" spans="1:70" x14ac:dyDescent="0.3">
      <c r="A1225" s="11" t="s">
        <v>2509</v>
      </c>
      <c r="B1225" s="12">
        <v>245500</v>
      </c>
      <c r="C1225" s="12">
        <v>708700</v>
      </c>
      <c r="D1225" s="12">
        <v>0.22</v>
      </c>
      <c r="E1225" s="12">
        <v>0.56000000000000005</v>
      </c>
      <c r="F1225" s="12">
        <v>0.1</v>
      </c>
      <c r="G1225" s="12">
        <v>0.28999999999999998</v>
      </c>
      <c r="H1225" s="12">
        <v>0.74</v>
      </c>
      <c r="I1225" s="12">
        <v>0.14000000000000001</v>
      </c>
      <c r="J1225" s="12">
        <v>0.39</v>
      </c>
      <c r="K1225" s="12">
        <v>1.01</v>
      </c>
      <c r="L1225" s="12">
        <v>0.21</v>
      </c>
      <c r="M1225" s="8">
        <v>5</v>
      </c>
      <c r="N1225">
        <v>6</v>
      </c>
      <c r="O1225" s="12">
        <v>7</v>
      </c>
      <c r="BQ1225" s="8">
        <v>5</v>
      </c>
      <c r="BR1225" s="8" t="s">
        <v>2510</v>
      </c>
    </row>
    <row r="1226" spans="1:70" x14ac:dyDescent="0.3">
      <c r="A1226" s="11" t="s">
        <v>2511</v>
      </c>
      <c r="B1226" s="12">
        <v>214000</v>
      </c>
      <c r="C1226" s="12">
        <v>775400</v>
      </c>
      <c r="D1226" s="12">
        <v>0.11</v>
      </c>
      <c r="E1226" s="12">
        <v>0.28000000000000003</v>
      </c>
      <c r="F1226" s="12">
        <v>0.06</v>
      </c>
      <c r="G1226" s="12">
        <v>0.14000000000000001</v>
      </c>
      <c r="H1226" s="12">
        <v>0.37</v>
      </c>
      <c r="I1226" s="12">
        <v>0.08</v>
      </c>
      <c r="J1226" s="12">
        <v>0.19</v>
      </c>
      <c r="K1226" s="12">
        <v>0.5</v>
      </c>
      <c r="L1226" s="12">
        <v>0.11</v>
      </c>
      <c r="M1226" s="8">
        <v>7</v>
      </c>
      <c r="N1226">
        <v>8</v>
      </c>
      <c r="O1226" s="12">
        <v>10</v>
      </c>
      <c r="BQ1226" s="8">
        <v>5</v>
      </c>
      <c r="BR1226" s="8" t="s">
        <v>2512</v>
      </c>
    </row>
    <row r="1227" spans="1:70" x14ac:dyDescent="0.3">
      <c r="A1227" s="11" t="s">
        <v>2513</v>
      </c>
      <c r="B1227" s="12">
        <v>246700</v>
      </c>
      <c r="C1227" s="12">
        <v>667500</v>
      </c>
      <c r="D1227" s="12">
        <v>0.25</v>
      </c>
      <c r="E1227" s="12">
        <v>0.62</v>
      </c>
      <c r="F1227" s="12">
        <v>0.12</v>
      </c>
      <c r="G1227" s="12">
        <v>0.33</v>
      </c>
      <c r="H1227" s="12">
        <v>0.82</v>
      </c>
      <c r="I1227" s="12">
        <v>0.16</v>
      </c>
      <c r="J1227" s="12">
        <v>0.44</v>
      </c>
      <c r="K1227" s="12">
        <v>1.1200000000000001</v>
      </c>
      <c r="L1227" s="12">
        <v>0.23</v>
      </c>
      <c r="M1227" s="8">
        <v>5</v>
      </c>
      <c r="N1227">
        <v>5</v>
      </c>
      <c r="O1227" s="12">
        <v>6</v>
      </c>
      <c r="BQ1227" s="8">
        <v>7</v>
      </c>
      <c r="BR1227" s="8" t="s">
        <v>2514</v>
      </c>
    </row>
    <row r="1228" spans="1:70" x14ac:dyDescent="0.3">
      <c r="A1228" s="11" t="s">
        <v>2515</v>
      </c>
      <c r="B1228" s="12">
        <v>261900</v>
      </c>
      <c r="C1228" s="12">
        <v>785600</v>
      </c>
      <c r="D1228" s="12">
        <v>0.26</v>
      </c>
      <c r="E1228" s="12">
        <v>0.64</v>
      </c>
      <c r="F1228" s="12">
        <v>0.12</v>
      </c>
      <c r="G1228" s="12">
        <v>0.34</v>
      </c>
      <c r="H1228" s="12">
        <v>0.85</v>
      </c>
      <c r="I1228" s="12">
        <v>0.17</v>
      </c>
      <c r="J1228" s="12">
        <v>0.46</v>
      </c>
      <c r="K1228" s="12">
        <v>1.17</v>
      </c>
      <c r="L1228" s="12">
        <v>0.25</v>
      </c>
      <c r="M1228" s="8">
        <v>5</v>
      </c>
      <c r="N1228">
        <v>6</v>
      </c>
      <c r="O1228" s="12">
        <v>7</v>
      </c>
      <c r="BQ1228" s="8">
        <v>6</v>
      </c>
      <c r="BR1228" s="8" t="s">
        <v>2516</v>
      </c>
    </row>
    <row r="1229" spans="1:70" x14ac:dyDescent="0.3">
      <c r="A1229" s="11" t="s">
        <v>2517</v>
      </c>
      <c r="B1229" s="12">
        <v>200400</v>
      </c>
      <c r="C1229" s="12">
        <v>588000</v>
      </c>
      <c r="D1229" s="12">
        <v>0.08</v>
      </c>
      <c r="E1229" s="12">
        <v>0.2</v>
      </c>
      <c r="F1229" s="12">
        <v>0.05</v>
      </c>
      <c r="G1229" s="12">
        <v>0.11</v>
      </c>
      <c r="H1229" s="12">
        <v>0.26</v>
      </c>
      <c r="I1229" s="12">
        <v>0.06</v>
      </c>
      <c r="J1229" s="12">
        <v>0.14000000000000001</v>
      </c>
      <c r="K1229" s="12">
        <v>0.36</v>
      </c>
      <c r="L1229" s="12">
        <v>0.08</v>
      </c>
      <c r="M1229" s="8">
        <v>7</v>
      </c>
      <c r="N1229">
        <v>9</v>
      </c>
      <c r="O1229" s="12">
        <v>10</v>
      </c>
      <c r="BQ1229" s="8">
        <v>6</v>
      </c>
      <c r="BR1229" s="8" t="s">
        <v>2518</v>
      </c>
    </row>
    <row r="1230" spans="1:70" x14ac:dyDescent="0.3">
      <c r="A1230" s="11" t="s">
        <v>2519</v>
      </c>
      <c r="B1230" s="12">
        <v>209300</v>
      </c>
      <c r="C1230" s="12">
        <v>761700</v>
      </c>
      <c r="D1230" s="12">
        <v>0.13</v>
      </c>
      <c r="E1230" s="12">
        <v>0.31</v>
      </c>
      <c r="F1230" s="12">
        <v>0.06</v>
      </c>
      <c r="G1230" s="12">
        <v>0.17</v>
      </c>
      <c r="H1230" s="12">
        <v>0.42</v>
      </c>
      <c r="I1230" s="12">
        <v>0.09</v>
      </c>
      <c r="J1230" s="12">
        <v>0.23</v>
      </c>
      <c r="K1230" s="12">
        <v>0.59</v>
      </c>
      <c r="L1230" s="12">
        <v>0.12</v>
      </c>
      <c r="M1230" s="8">
        <v>6</v>
      </c>
      <c r="N1230">
        <v>8</v>
      </c>
      <c r="O1230" s="12">
        <v>9</v>
      </c>
      <c r="BQ1230" s="8">
        <v>7</v>
      </c>
      <c r="BR1230" s="8" t="s">
        <v>2520</v>
      </c>
    </row>
    <row r="1231" spans="1:70" x14ac:dyDescent="0.3">
      <c r="A1231" s="11" t="s">
        <v>2521</v>
      </c>
      <c r="B1231" s="12">
        <v>222300</v>
      </c>
      <c r="C1231" s="12">
        <v>737200</v>
      </c>
      <c r="D1231" s="12">
        <v>0.15</v>
      </c>
      <c r="E1231" s="12">
        <v>0.36</v>
      </c>
      <c r="F1231" s="12">
        <v>7.0000000000000007E-2</v>
      </c>
      <c r="G1231" s="12">
        <v>0.19</v>
      </c>
      <c r="H1231" s="12">
        <v>0.48</v>
      </c>
      <c r="I1231" s="12">
        <v>0.1</v>
      </c>
      <c r="J1231" s="12">
        <v>0.27</v>
      </c>
      <c r="K1231" s="12">
        <v>0.68</v>
      </c>
      <c r="L1231" s="12">
        <v>0.14000000000000001</v>
      </c>
      <c r="M1231" s="8">
        <v>6</v>
      </c>
      <c r="N1231">
        <v>7</v>
      </c>
      <c r="O1231" s="12">
        <v>8</v>
      </c>
      <c r="BQ1231" s="8">
        <v>5</v>
      </c>
      <c r="BR1231" s="8" t="s">
        <v>2522</v>
      </c>
    </row>
    <row r="1232" spans="1:70" x14ac:dyDescent="0.3">
      <c r="A1232" s="11" t="s">
        <v>2523</v>
      </c>
      <c r="B1232" s="12">
        <v>206600</v>
      </c>
      <c r="C1232" s="12">
        <v>585000</v>
      </c>
      <c r="D1232" s="12">
        <v>0.09</v>
      </c>
      <c r="E1232" s="12">
        <v>0.22</v>
      </c>
      <c r="F1232" s="12">
        <v>0.05</v>
      </c>
      <c r="G1232" s="12">
        <v>0.11</v>
      </c>
      <c r="H1232" s="12">
        <v>0.28999999999999998</v>
      </c>
      <c r="I1232" s="12">
        <v>7.0000000000000007E-2</v>
      </c>
      <c r="J1232" s="12">
        <v>0.15</v>
      </c>
      <c r="K1232" s="12">
        <v>0.38</v>
      </c>
      <c r="L1232" s="12">
        <v>0.09</v>
      </c>
      <c r="M1232" s="8">
        <v>7</v>
      </c>
      <c r="N1232">
        <v>8</v>
      </c>
      <c r="O1232" s="12">
        <v>10</v>
      </c>
      <c r="BQ1232" s="8">
        <v>6</v>
      </c>
      <c r="BR1232" s="8" t="s">
        <v>2524</v>
      </c>
    </row>
    <row r="1233" spans="1:70" x14ac:dyDescent="0.3">
      <c r="A1233" s="11" t="s">
        <v>2525</v>
      </c>
      <c r="B1233" s="12">
        <v>263400</v>
      </c>
      <c r="C1233" s="12">
        <v>793900</v>
      </c>
      <c r="D1233" s="12">
        <v>0.25</v>
      </c>
      <c r="E1233" s="12">
        <v>0.61</v>
      </c>
      <c r="F1233" s="12">
        <v>0.12</v>
      </c>
      <c r="G1233" s="12">
        <v>0.32</v>
      </c>
      <c r="H1233" s="12">
        <v>0.81</v>
      </c>
      <c r="I1233" s="12">
        <v>0.16</v>
      </c>
      <c r="J1233" s="12">
        <v>0.43</v>
      </c>
      <c r="K1233" s="12">
        <v>1.1100000000000001</v>
      </c>
      <c r="L1233" s="12">
        <v>0.24</v>
      </c>
      <c r="M1233" s="8">
        <v>5</v>
      </c>
      <c r="N1233">
        <v>6</v>
      </c>
      <c r="O1233" s="12">
        <v>7</v>
      </c>
      <c r="BQ1233" s="8">
        <v>5</v>
      </c>
      <c r="BR1233" s="8" t="s">
        <v>2526</v>
      </c>
    </row>
    <row r="1234" spans="1:70" x14ac:dyDescent="0.3">
      <c r="A1234" s="11" t="s">
        <v>2527</v>
      </c>
      <c r="B1234" s="12">
        <v>222500</v>
      </c>
      <c r="C1234" s="12">
        <v>754900</v>
      </c>
      <c r="D1234" s="12">
        <v>0.13</v>
      </c>
      <c r="E1234" s="12">
        <v>0.34</v>
      </c>
      <c r="F1234" s="12">
        <v>7.0000000000000007E-2</v>
      </c>
      <c r="G1234" s="12">
        <v>0.17</v>
      </c>
      <c r="H1234" s="12">
        <v>0.43</v>
      </c>
      <c r="I1234" s="12">
        <v>0.09</v>
      </c>
      <c r="J1234" s="12">
        <v>0.22</v>
      </c>
      <c r="K1234" s="12">
        <v>0.56999999999999995</v>
      </c>
      <c r="L1234" s="12">
        <v>0.12</v>
      </c>
      <c r="M1234" s="8">
        <v>6</v>
      </c>
      <c r="N1234">
        <v>8</v>
      </c>
      <c r="O1234" s="12">
        <v>10</v>
      </c>
      <c r="BQ1234" s="8">
        <v>8</v>
      </c>
      <c r="BR1234" s="8" t="s">
        <v>2528</v>
      </c>
    </row>
    <row r="1235" spans="1:70" x14ac:dyDescent="0.3">
      <c r="A1235" s="11" t="s">
        <v>2529</v>
      </c>
      <c r="B1235" s="12">
        <v>267200</v>
      </c>
      <c r="C1235" s="12">
        <v>780300</v>
      </c>
      <c r="D1235" s="12">
        <v>0.22</v>
      </c>
      <c r="E1235" s="12">
        <v>0.55000000000000004</v>
      </c>
      <c r="F1235" s="12">
        <v>0.11</v>
      </c>
      <c r="G1235" s="12">
        <v>0.28000000000000003</v>
      </c>
      <c r="H1235" s="12">
        <v>0.72</v>
      </c>
      <c r="I1235" s="12">
        <v>0.14000000000000001</v>
      </c>
      <c r="J1235" s="12">
        <v>0.38</v>
      </c>
      <c r="K1235" s="12">
        <v>0.98</v>
      </c>
      <c r="L1235" s="12">
        <v>0.21</v>
      </c>
      <c r="M1235" s="8">
        <v>5</v>
      </c>
      <c r="N1235">
        <v>6</v>
      </c>
      <c r="O1235" s="12">
        <v>7</v>
      </c>
      <c r="BQ1235" s="8">
        <v>7</v>
      </c>
      <c r="BR1235" s="8" t="s">
        <v>2530</v>
      </c>
    </row>
    <row r="1236" spans="1:70" x14ac:dyDescent="0.3">
      <c r="A1236" s="11" t="s">
        <v>2531</v>
      </c>
      <c r="B1236" s="12">
        <v>198500</v>
      </c>
      <c r="C1236" s="12">
        <v>642200</v>
      </c>
      <c r="D1236" s="12">
        <v>7.0000000000000007E-2</v>
      </c>
      <c r="E1236" s="12">
        <v>0.16</v>
      </c>
      <c r="F1236" s="12">
        <v>0.05</v>
      </c>
      <c r="G1236" s="12">
        <v>0.08</v>
      </c>
      <c r="H1236" s="12">
        <v>0.21</v>
      </c>
      <c r="I1236" s="12">
        <v>0.06</v>
      </c>
      <c r="J1236" s="12">
        <v>0.1</v>
      </c>
      <c r="K1236" s="12">
        <v>0.27</v>
      </c>
      <c r="L1236" s="12">
        <v>0.08</v>
      </c>
      <c r="M1236" s="8">
        <v>8</v>
      </c>
      <c r="N1236">
        <v>9</v>
      </c>
      <c r="O1236" s="12">
        <v>11</v>
      </c>
      <c r="BQ1236" s="8">
        <v>5</v>
      </c>
      <c r="BR1236" s="8" t="s">
        <v>2532</v>
      </c>
    </row>
    <row r="1237" spans="1:70" x14ac:dyDescent="0.3">
      <c r="A1237" s="11" t="s">
        <v>2533</v>
      </c>
      <c r="B1237" s="12">
        <v>199700</v>
      </c>
      <c r="C1237" s="12">
        <v>688600</v>
      </c>
      <c r="D1237" s="12">
        <v>7.0000000000000007E-2</v>
      </c>
      <c r="E1237" s="12">
        <v>0.18</v>
      </c>
      <c r="F1237" s="12">
        <v>0.05</v>
      </c>
      <c r="G1237" s="12">
        <v>0.09</v>
      </c>
      <c r="H1237" s="12">
        <v>0.23</v>
      </c>
      <c r="I1237" s="12">
        <v>0.06</v>
      </c>
      <c r="J1237" s="12">
        <v>0.12</v>
      </c>
      <c r="K1237" s="12">
        <v>0.3</v>
      </c>
      <c r="L1237" s="12">
        <v>0.08</v>
      </c>
      <c r="M1237" s="8">
        <v>7</v>
      </c>
      <c r="N1237">
        <v>9</v>
      </c>
      <c r="O1237" s="12">
        <v>11</v>
      </c>
      <c r="BQ1237" s="8">
        <v>6</v>
      </c>
      <c r="BR1237" s="8" t="s">
        <v>2534</v>
      </c>
    </row>
    <row r="1238" spans="1:70" x14ac:dyDescent="0.3">
      <c r="A1238" s="11" t="s">
        <v>2535</v>
      </c>
      <c r="B1238" s="12">
        <v>256900</v>
      </c>
      <c r="C1238" s="12">
        <v>732500</v>
      </c>
      <c r="D1238" s="12">
        <v>0.27</v>
      </c>
      <c r="E1238" s="12">
        <v>0.65</v>
      </c>
      <c r="F1238" s="12">
        <v>0.12</v>
      </c>
      <c r="G1238" s="12">
        <v>0.35</v>
      </c>
      <c r="H1238" s="12">
        <v>0.87</v>
      </c>
      <c r="I1238" s="12">
        <v>0.17</v>
      </c>
      <c r="J1238" s="12">
        <v>0.47</v>
      </c>
      <c r="K1238" s="12">
        <v>1.2</v>
      </c>
      <c r="L1238" s="12">
        <v>0.25</v>
      </c>
      <c r="M1238" s="8">
        <v>5</v>
      </c>
      <c r="N1238">
        <v>5</v>
      </c>
      <c r="O1238" s="12">
        <v>6</v>
      </c>
      <c r="BQ1238" s="8">
        <v>7</v>
      </c>
      <c r="BR1238" s="8" t="s">
        <v>2536</v>
      </c>
    </row>
    <row r="1239" spans="1:70" x14ac:dyDescent="0.3">
      <c r="A1239" s="11" t="s">
        <v>2537</v>
      </c>
      <c r="B1239" s="12">
        <v>210800</v>
      </c>
      <c r="C1239" s="12">
        <v>736500</v>
      </c>
      <c r="D1239" s="12">
        <v>0.14000000000000001</v>
      </c>
      <c r="E1239" s="12">
        <v>0.34</v>
      </c>
      <c r="F1239" s="12">
        <v>7.0000000000000007E-2</v>
      </c>
      <c r="G1239" s="12">
        <v>0.2</v>
      </c>
      <c r="H1239" s="12">
        <v>0.48</v>
      </c>
      <c r="I1239" s="12">
        <v>0.1</v>
      </c>
      <c r="J1239" s="12">
        <v>0.28999999999999998</v>
      </c>
      <c r="K1239" s="12">
        <v>0.71</v>
      </c>
      <c r="L1239" s="12">
        <v>0.14000000000000001</v>
      </c>
      <c r="M1239" s="8">
        <v>6</v>
      </c>
      <c r="N1239">
        <v>7</v>
      </c>
      <c r="O1239" s="12">
        <v>8</v>
      </c>
      <c r="BQ1239" s="8">
        <v>7</v>
      </c>
      <c r="BR1239" s="8" t="s">
        <v>2538</v>
      </c>
    </row>
    <row r="1240" spans="1:70" x14ac:dyDescent="0.3">
      <c r="A1240" s="11" t="s">
        <v>2539</v>
      </c>
      <c r="B1240" s="12">
        <v>201600</v>
      </c>
      <c r="C1240" s="12">
        <v>706200</v>
      </c>
      <c r="D1240" s="12">
        <v>0.09</v>
      </c>
      <c r="E1240" s="12">
        <v>0.21</v>
      </c>
      <c r="F1240" s="12">
        <v>0.05</v>
      </c>
      <c r="G1240" s="12">
        <v>0.11</v>
      </c>
      <c r="H1240" s="12">
        <v>0.27</v>
      </c>
      <c r="I1240" s="12">
        <v>7.0000000000000007E-2</v>
      </c>
      <c r="J1240" s="12">
        <v>0.14000000000000001</v>
      </c>
      <c r="K1240" s="12">
        <v>0.36</v>
      </c>
      <c r="L1240" s="12">
        <v>0.09</v>
      </c>
      <c r="M1240" s="8">
        <v>7</v>
      </c>
      <c r="N1240">
        <v>9</v>
      </c>
      <c r="O1240" s="12">
        <v>11</v>
      </c>
      <c r="BQ1240" s="8">
        <v>8</v>
      </c>
      <c r="BR1240" s="8" t="s">
        <v>2540</v>
      </c>
    </row>
    <row r="1241" spans="1:70" x14ac:dyDescent="0.3">
      <c r="A1241" s="11" t="s">
        <v>2541</v>
      </c>
      <c r="B1241" s="12">
        <v>202800</v>
      </c>
      <c r="C1241" s="12">
        <v>670100</v>
      </c>
      <c r="D1241" s="12">
        <v>7.0000000000000007E-2</v>
      </c>
      <c r="E1241" s="12">
        <v>0.18</v>
      </c>
      <c r="F1241" s="12">
        <v>0.05</v>
      </c>
      <c r="G1241" s="12">
        <v>0.09</v>
      </c>
      <c r="H1241" s="12">
        <v>0.23</v>
      </c>
      <c r="I1241" s="12">
        <v>0.06</v>
      </c>
      <c r="J1241" s="12">
        <v>0.12</v>
      </c>
      <c r="K1241" s="12">
        <v>0.3</v>
      </c>
      <c r="L1241" s="12">
        <v>0.09</v>
      </c>
      <c r="M1241" s="8">
        <v>7</v>
      </c>
      <c r="N1241">
        <v>9</v>
      </c>
      <c r="O1241" s="12">
        <v>11</v>
      </c>
      <c r="BQ1241" s="8">
        <v>8</v>
      </c>
      <c r="BR1241" s="8" t="s">
        <v>2542</v>
      </c>
    </row>
    <row r="1242" spans="1:70" x14ac:dyDescent="0.3">
      <c r="A1242" s="11" t="s">
        <v>2543</v>
      </c>
      <c r="B1242" s="12">
        <v>183500</v>
      </c>
      <c r="C1242" s="12">
        <v>680500</v>
      </c>
      <c r="D1242" s="12">
        <v>0.06</v>
      </c>
      <c r="E1242" s="12">
        <v>0.15</v>
      </c>
      <c r="F1242" s="12">
        <v>0.04</v>
      </c>
      <c r="G1242" s="12">
        <v>0.08</v>
      </c>
      <c r="H1242" s="12">
        <v>0.19</v>
      </c>
      <c r="I1242" s="12">
        <v>0.06</v>
      </c>
      <c r="J1242" s="12">
        <v>0.1</v>
      </c>
      <c r="K1242" s="12">
        <v>0.26</v>
      </c>
      <c r="L1242" s="12">
        <v>0.08</v>
      </c>
      <c r="M1242" s="8">
        <v>8</v>
      </c>
      <c r="N1242">
        <v>10</v>
      </c>
      <c r="O1242" s="12">
        <v>12</v>
      </c>
      <c r="BQ1242" s="8">
        <v>6</v>
      </c>
      <c r="BR1242" s="8" t="s">
        <v>2544</v>
      </c>
    </row>
    <row r="1243" spans="1:70" x14ac:dyDescent="0.3">
      <c r="A1243" s="11" t="s">
        <v>2545</v>
      </c>
      <c r="B1243" s="12">
        <v>174500</v>
      </c>
      <c r="C1243" s="12">
        <v>622700</v>
      </c>
      <c r="D1243" s="12">
        <v>7.0000000000000007E-2</v>
      </c>
      <c r="E1243" s="12">
        <v>0.16</v>
      </c>
      <c r="F1243" s="12">
        <v>0.04</v>
      </c>
      <c r="G1243" s="12">
        <v>0.09</v>
      </c>
      <c r="H1243" s="12">
        <v>0.21</v>
      </c>
      <c r="I1243" s="12">
        <v>0.05</v>
      </c>
      <c r="J1243" s="12">
        <v>0.12</v>
      </c>
      <c r="K1243" s="12">
        <v>0.3</v>
      </c>
      <c r="L1243" s="12">
        <v>7.0000000000000007E-2</v>
      </c>
      <c r="M1243" s="8">
        <v>8</v>
      </c>
      <c r="N1243">
        <v>10</v>
      </c>
      <c r="O1243" s="12">
        <v>12</v>
      </c>
      <c r="BQ1243" s="8">
        <v>6</v>
      </c>
      <c r="BR1243" s="8" t="s">
        <v>2546</v>
      </c>
    </row>
    <row r="1244" spans="1:70" x14ac:dyDescent="0.3">
      <c r="A1244" s="11" t="s">
        <v>2547</v>
      </c>
      <c r="B1244" s="12">
        <v>241000</v>
      </c>
      <c r="C1244" s="12">
        <v>760900</v>
      </c>
      <c r="D1244" s="12">
        <v>0.18</v>
      </c>
      <c r="E1244" s="12">
        <v>0.46</v>
      </c>
      <c r="F1244" s="12">
        <v>0.09</v>
      </c>
      <c r="G1244" s="12">
        <v>0.23</v>
      </c>
      <c r="H1244" s="12">
        <v>0.57999999999999996</v>
      </c>
      <c r="I1244" s="12">
        <v>0.12</v>
      </c>
      <c r="J1244" s="12">
        <v>0.28999999999999998</v>
      </c>
      <c r="K1244" s="12">
        <v>0.78</v>
      </c>
      <c r="L1244" s="12">
        <v>0.16</v>
      </c>
      <c r="M1244" s="8">
        <v>6</v>
      </c>
      <c r="N1244">
        <v>7</v>
      </c>
      <c r="O1244" s="12">
        <v>8</v>
      </c>
      <c r="BQ1244" s="8">
        <v>6</v>
      </c>
      <c r="BR1244" s="8" t="s">
        <v>2548</v>
      </c>
    </row>
    <row r="1245" spans="1:70" x14ac:dyDescent="0.3">
      <c r="A1245" s="11" t="s">
        <v>2549</v>
      </c>
      <c r="B1245" s="12">
        <v>216300</v>
      </c>
      <c r="C1245" s="12">
        <v>745600</v>
      </c>
      <c r="D1245" s="12">
        <v>0.14000000000000001</v>
      </c>
      <c r="E1245" s="12">
        <v>0.34</v>
      </c>
      <c r="F1245" s="12">
        <v>7.0000000000000007E-2</v>
      </c>
      <c r="G1245" s="12">
        <v>0.19</v>
      </c>
      <c r="H1245" s="12">
        <v>0.46</v>
      </c>
      <c r="I1245" s="12">
        <v>0.09</v>
      </c>
      <c r="J1245" s="12">
        <v>0.26</v>
      </c>
      <c r="K1245" s="12">
        <v>0.66</v>
      </c>
      <c r="L1245" s="12">
        <v>0.13</v>
      </c>
      <c r="M1245" s="8">
        <v>6</v>
      </c>
      <c r="N1245">
        <v>7</v>
      </c>
      <c r="O1245" s="12">
        <v>9</v>
      </c>
      <c r="BQ1245" s="8">
        <v>7</v>
      </c>
      <c r="BR1245" s="8" t="s">
        <v>2550</v>
      </c>
    </row>
    <row r="1246" spans="1:70" x14ac:dyDescent="0.3">
      <c r="A1246" s="11" t="s">
        <v>2551</v>
      </c>
      <c r="B1246" s="12">
        <v>216000</v>
      </c>
      <c r="C1246" s="12">
        <v>708900</v>
      </c>
      <c r="D1246" s="12">
        <v>0.12</v>
      </c>
      <c r="E1246" s="12">
        <v>0.3</v>
      </c>
      <c r="F1246" s="12">
        <v>7.0000000000000007E-2</v>
      </c>
      <c r="G1246" s="12">
        <v>0.16</v>
      </c>
      <c r="H1246" s="12">
        <v>0.4</v>
      </c>
      <c r="I1246" s="12">
        <v>0.09</v>
      </c>
      <c r="J1246" s="12">
        <v>0.22</v>
      </c>
      <c r="K1246" s="12">
        <v>0.56999999999999995</v>
      </c>
      <c r="L1246" s="12">
        <v>0.12</v>
      </c>
      <c r="M1246" s="8">
        <v>6</v>
      </c>
      <c r="N1246">
        <v>8</v>
      </c>
      <c r="O1246" s="12">
        <v>9</v>
      </c>
      <c r="BQ1246" s="8">
        <v>5</v>
      </c>
      <c r="BR1246" s="8" t="s">
        <v>2552</v>
      </c>
    </row>
    <row r="1247" spans="1:70" x14ac:dyDescent="0.3">
      <c r="A1247" s="11" t="s">
        <v>2553</v>
      </c>
      <c r="B1247" s="12">
        <v>194100</v>
      </c>
      <c r="C1247" s="12">
        <v>602700</v>
      </c>
      <c r="D1247" s="12">
        <v>0.08</v>
      </c>
      <c r="E1247" s="12">
        <v>0.19</v>
      </c>
      <c r="F1247" s="12">
        <v>0.04</v>
      </c>
      <c r="G1247" s="12">
        <v>0.1</v>
      </c>
      <c r="H1247" s="12">
        <v>0.24</v>
      </c>
      <c r="I1247" s="12">
        <v>0.06</v>
      </c>
      <c r="J1247" s="12">
        <v>0.13</v>
      </c>
      <c r="K1247" s="12">
        <v>0.33</v>
      </c>
      <c r="L1247" s="12">
        <v>0.08</v>
      </c>
      <c r="M1247" s="8">
        <v>7</v>
      </c>
      <c r="N1247">
        <v>9</v>
      </c>
      <c r="O1247" s="12">
        <v>11</v>
      </c>
      <c r="BQ1247" s="8">
        <v>8</v>
      </c>
      <c r="BR1247" s="8" t="s">
        <v>2554</v>
      </c>
    </row>
    <row r="1248" spans="1:70" x14ac:dyDescent="0.3">
      <c r="A1248" s="11" t="s">
        <v>2555</v>
      </c>
      <c r="B1248" s="12">
        <v>244000</v>
      </c>
      <c r="C1248" s="12">
        <v>736800</v>
      </c>
      <c r="D1248" s="12">
        <v>0.2</v>
      </c>
      <c r="E1248" s="12">
        <v>0.5</v>
      </c>
      <c r="F1248" s="12">
        <v>0.1</v>
      </c>
      <c r="G1248" s="12">
        <v>0.25</v>
      </c>
      <c r="H1248" s="12">
        <v>0.65</v>
      </c>
      <c r="I1248" s="12">
        <v>0.13</v>
      </c>
      <c r="J1248" s="12">
        <v>0.33</v>
      </c>
      <c r="K1248" s="12">
        <v>0.87</v>
      </c>
      <c r="L1248" s="12">
        <v>0.18</v>
      </c>
      <c r="M1248" s="8">
        <v>5</v>
      </c>
      <c r="N1248">
        <v>6</v>
      </c>
      <c r="O1248" s="12">
        <v>8</v>
      </c>
      <c r="BQ1248" s="8">
        <v>6</v>
      </c>
      <c r="BR1248" s="8" t="s">
        <v>2556</v>
      </c>
    </row>
    <row r="1249" spans="1:70" x14ac:dyDescent="0.3">
      <c r="A1249" s="11" t="s">
        <v>2557</v>
      </c>
      <c r="B1249" s="12">
        <v>193900</v>
      </c>
      <c r="C1249" s="12">
        <v>620400</v>
      </c>
      <c r="D1249" s="12">
        <v>7.0000000000000007E-2</v>
      </c>
      <c r="E1249" s="12">
        <v>0.17</v>
      </c>
      <c r="F1249" s="12">
        <v>0.04</v>
      </c>
      <c r="G1249" s="12">
        <v>0.09</v>
      </c>
      <c r="H1249" s="12">
        <v>0.22</v>
      </c>
      <c r="I1249" s="12">
        <v>0.06</v>
      </c>
      <c r="J1249" s="12">
        <v>0.11</v>
      </c>
      <c r="K1249" s="12">
        <v>0.28999999999999998</v>
      </c>
      <c r="L1249" s="12">
        <v>0.08</v>
      </c>
      <c r="M1249" s="8">
        <v>8</v>
      </c>
      <c r="N1249">
        <v>9</v>
      </c>
      <c r="O1249" s="12">
        <v>11</v>
      </c>
      <c r="BQ1249" s="8">
        <v>8</v>
      </c>
      <c r="BR1249" s="8" t="s">
        <v>2558</v>
      </c>
    </row>
    <row r="1250" spans="1:70" x14ac:dyDescent="0.3">
      <c r="A1250" s="11" t="s">
        <v>2559</v>
      </c>
      <c r="B1250" s="12">
        <v>221500</v>
      </c>
      <c r="C1250" s="12">
        <v>729800</v>
      </c>
      <c r="D1250" s="12">
        <v>0.15</v>
      </c>
      <c r="E1250" s="12">
        <v>0.37</v>
      </c>
      <c r="F1250" s="12">
        <v>0.08</v>
      </c>
      <c r="G1250" s="12">
        <v>0.2</v>
      </c>
      <c r="H1250" s="12">
        <v>0.51</v>
      </c>
      <c r="I1250" s="12">
        <v>0.1</v>
      </c>
      <c r="J1250" s="12">
        <v>0.28999999999999998</v>
      </c>
      <c r="K1250" s="12">
        <v>0.73</v>
      </c>
      <c r="L1250" s="12">
        <v>0.15</v>
      </c>
      <c r="M1250" s="8">
        <v>6</v>
      </c>
      <c r="N1250">
        <v>7</v>
      </c>
      <c r="O1250" s="12">
        <v>8</v>
      </c>
      <c r="BQ1250" s="8">
        <v>7</v>
      </c>
      <c r="BR1250" s="8" t="s">
        <v>2560</v>
      </c>
    </row>
    <row r="1251" spans="1:70" x14ac:dyDescent="0.3">
      <c r="A1251" s="11" t="s">
        <v>2561</v>
      </c>
      <c r="B1251" s="12">
        <v>162400</v>
      </c>
      <c r="C1251" s="12">
        <v>590400</v>
      </c>
      <c r="D1251" s="12">
        <v>0.05</v>
      </c>
      <c r="E1251" s="12">
        <v>0.12</v>
      </c>
      <c r="F1251" s="12">
        <v>0.04</v>
      </c>
      <c r="G1251" s="12">
        <v>0.06</v>
      </c>
      <c r="H1251" s="12">
        <v>0.15</v>
      </c>
      <c r="I1251" s="12">
        <v>0.05</v>
      </c>
      <c r="J1251" s="12">
        <v>0.08</v>
      </c>
      <c r="K1251" s="12">
        <v>0.21</v>
      </c>
      <c r="L1251" s="12">
        <v>0.06</v>
      </c>
      <c r="M1251" s="8">
        <v>8</v>
      </c>
      <c r="N1251">
        <v>10</v>
      </c>
      <c r="O1251" s="12">
        <v>13</v>
      </c>
      <c r="BQ1251" s="8">
        <v>8</v>
      </c>
      <c r="BR1251" s="8" t="s">
        <v>2562</v>
      </c>
    </row>
    <row r="1252" spans="1:70" x14ac:dyDescent="0.3">
      <c r="A1252" s="11" t="s">
        <v>2563</v>
      </c>
      <c r="B1252" s="12">
        <v>229600</v>
      </c>
      <c r="C1252" s="12">
        <v>776700</v>
      </c>
      <c r="D1252" s="12">
        <v>0.13</v>
      </c>
      <c r="E1252" s="12">
        <v>0.32</v>
      </c>
      <c r="F1252" s="12">
        <v>7.0000000000000007E-2</v>
      </c>
      <c r="G1252" s="12">
        <v>0.16</v>
      </c>
      <c r="H1252" s="12">
        <v>0.41</v>
      </c>
      <c r="I1252" s="12">
        <v>0.09</v>
      </c>
      <c r="J1252" s="12">
        <v>0.21</v>
      </c>
      <c r="K1252" s="12">
        <v>0.54</v>
      </c>
      <c r="L1252" s="12">
        <v>0.12</v>
      </c>
      <c r="M1252" s="8">
        <v>7</v>
      </c>
      <c r="N1252">
        <v>8</v>
      </c>
      <c r="O1252" s="12">
        <v>10</v>
      </c>
      <c r="BQ1252" s="8">
        <v>8</v>
      </c>
      <c r="BR1252" s="8" t="s">
        <v>2564</v>
      </c>
    </row>
    <row r="1253" spans="1:70" x14ac:dyDescent="0.3">
      <c r="A1253" s="11" t="s">
        <v>2565</v>
      </c>
      <c r="B1253" s="12">
        <v>170200</v>
      </c>
      <c r="C1253" s="12">
        <v>631400</v>
      </c>
      <c r="D1253" s="12">
        <v>0.06</v>
      </c>
      <c r="E1253" s="12">
        <v>0.15</v>
      </c>
      <c r="F1253" s="12">
        <v>0.04</v>
      </c>
      <c r="G1253" s="12">
        <v>0.08</v>
      </c>
      <c r="H1253" s="12">
        <v>0.2</v>
      </c>
      <c r="I1253" s="12">
        <v>0.05</v>
      </c>
      <c r="J1253" s="12">
        <v>0.12</v>
      </c>
      <c r="K1253" s="12">
        <v>0.28999999999999998</v>
      </c>
      <c r="L1253" s="12">
        <v>7.0000000000000007E-2</v>
      </c>
      <c r="M1253" s="8">
        <v>8</v>
      </c>
      <c r="N1253">
        <v>10</v>
      </c>
      <c r="O1253" s="12">
        <v>12</v>
      </c>
      <c r="BQ1253" s="8">
        <v>8</v>
      </c>
      <c r="BR1253" s="8" t="s">
        <v>2566</v>
      </c>
    </row>
    <row r="1254" spans="1:70" x14ac:dyDescent="0.3">
      <c r="A1254" s="11" t="s">
        <v>2567</v>
      </c>
      <c r="B1254" s="12">
        <v>166100</v>
      </c>
      <c r="C1254" s="12">
        <v>586800</v>
      </c>
      <c r="D1254" s="12">
        <v>0.05</v>
      </c>
      <c r="E1254" s="12">
        <v>0.12</v>
      </c>
      <c r="F1254" s="12">
        <v>0.04</v>
      </c>
      <c r="G1254" s="12">
        <v>7.0000000000000007E-2</v>
      </c>
      <c r="H1254" s="12">
        <v>0.16</v>
      </c>
      <c r="I1254" s="12">
        <v>0.05</v>
      </c>
      <c r="J1254" s="12">
        <v>0.09</v>
      </c>
      <c r="K1254" s="12">
        <v>0.21</v>
      </c>
      <c r="L1254" s="12">
        <v>0.06</v>
      </c>
      <c r="M1254" s="8">
        <v>8</v>
      </c>
      <c r="N1254">
        <v>10</v>
      </c>
      <c r="O1254" s="12">
        <v>13</v>
      </c>
      <c r="BQ1254" s="8">
        <v>7</v>
      </c>
      <c r="BR1254" s="8" t="s">
        <v>2568</v>
      </c>
    </row>
    <row r="1255" spans="1:70" x14ac:dyDescent="0.3">
      <c r="A1255" s="11" t="s">
        <v>2569</v>
      </c>
      <c r="B1255" s="12">
        <v>164800</v>
      </c>
      <c r="C1255" s="12">
        <v>587600</v>
      </c>
      <c r="D1255" s="12">
        <v>0.05</v>
      </c>
      <c r="E1255" s="12">
        <v>0.12</v>
      </c>
      <c r="F1255" s="12">
        <v>0.04</v>
      </c>
      <c r="G1255" s="12">
        <v>0.06</v>
      </c>
      <c r="H1255" s="12">
        <v>0.16</v>
      </c>
      <c r="I1255" s="12">
        <v>0.05</v>
      </c>
      <c r="J1255" s="12">
        <v>0.08</v>
      </c>
      <c r="K1255" s="12">
        <v>0.21</v>
      </c>
      <c r="L1255" s="12">
        <v>0.06</v>
      </c>
      <c r="M1255" s="8">
        <v>8</v>
      </c>
      <c r="N1255">
        <v>10</v>
      </c>
      <c r="O1255" s="12">
        <v>13</v>
      </c>
      <c r="BQ1255" s="8">
        <v>5</v>
      </c>
      <c r="BR1255" s="8" t="s">
        <v>2570</v>
      </c>
    </row>
    <row r="1256" spans="1:70" x14ac:dyDescent="0.3">
      <c r="A1256" s="11" t="s">
        <v>2571</v>
      </c>
      <c r="B1256" s="12">
        <v>223200</v>
      </c>
      <c r="C1256" s="12">
        <v>759300</v>
      </c>
      <c r="D1256" s="12">
        <v>0.13</v>
      </c>
      <c r="E1256" s="12">
        <v>0.33</v>
      </c>
      <c r="F1256" s="12">
        <v>7.0000000000000007E-2</v>
      </c>
      <c r="G1256" s="12">
        <v>0.16</v>
      </c>
      <c r="H1256" s="12">
        <v>0.42</v>
      </c>
      <c r="I1256" s="12">
        <v>0.09</v>
      </c>
      <c r="J1256" s="12">
        <v>0.21</v>
      </c>
      <c r="K1256" s="12">
        <v>0.55000000000000004</v>
      </c>
      <c r="L1256" s="12">
        <v>0.12</v>
      </c>
      <c r="M1256" s="8">
        <v>7</v>
      </c>
      <c r="N1256">
        <v>8</v>
      </c>
      <c r="O1256" s="12">
        <v>10</v>
      </c>
      <c r="BQ1256" s="8">
        <v>8</v>
      </c>
      <c r="BR1256" s="8" t="s">
        <v>2572</v>
      </c>
    </row>
    <row r="1257" spans="1:70" x14ac:dyDescent="0.3">
      <c r="A1257" s="11" t="s">
        <v>2573</v>
      </c>
      <c r="B1257" s="12">
        <v>241600</v>
      </c>
      <c r="C1257" s="12">
        <v>658500</v>
      </c>
      <c r="D1257" s="12">
        <v>0.22</v>
      </c>
      <c r="E1257" s="12">
        <v>0.56000000000000005</v>
      </c>
      <c r="F1257" s="12">
        <v>0.1</v>
      </c>
      <c r="G1257" s="12">
        <v>0.28999999999999998</v>
      </c>
      <c r="H1257" s="12">
        <v>0.74</v>
      </c>
      <c r="I1257" s="12">
        <v>0.14000000000000001</v>
      </c>
      <c r="J1257" s="12">
        <v>0.39</v>
      </c>
      <c r="K1257" s="12">
        <v>1.01</v>
      </c>
      <c r="L1257" s="12">
        <v>0.21</v>
      </c>
      <c r="M1257" s="8">
        <v>5</v>
      </c>
      <c r="N1257">
        <v>5</v>
      </c>
      <c r="O1257" s="12">
        <v>6</v>
      </c>
      <c r="BQ1257" s="8">
        <v>8</v>
      </c>
      <c r="BR1257" s="8" t="s">
        <v>2574</v>
      </c>
    </row>
    <row r="1258" spans="1:70" x14ac:dyDescent="0.3">
      <c r="A1258" s="11" t="s">
        <v>2575</v>
      </c>
      <c r="B1258" s="12">
        <v>156400</v>
      </c>
      <c r="C1258" s="12">
        <v>593600</v>
      </c>
      <c r="D1258" s="12">
        <v>0.05</v>
      </c>
      <c r="E1258" s="12">
        <v>0.11</v>
      </c>
      <c r="F1258" s="12">
        <v>0.03</v>
      </c>
      <c r="G1258" s="12">
        <v>0.06</v>
      </c>
      <c r="H1258" s="12">
        <v>0.15</v>
      </c>
      <c r="I1258" s="12">
        <v>0.04</v>
      </c>
      <c r="J1258" s="12">
        <v>0.08</v>
      </c>
      <c r="K1258" s="12">
        <v>0.2</v>
      </c>
      <c r="L1258" s="12">
        <v>0.06</v>
      </c>
      <c r="M1258" s="8">
        <v>8</v>
      </c>
      <c r="N1258">
        <v>10</v>
      </c>
      <c r="O1258" s="12">
        <v>13</v>
      </c>
      <c r="BQ1258" s="8">
        <v>8</v>
      </c>
      <c r="BR1258" s="8" t="s">
        <v>2576</v>
      </c>
    </row>
    <row r="1259" spans="1:70" x14ac:dyDescent="0.3">
      <c r="A1259" s="11" t="s">
        <v>2577</v>
      </c>
      <c r="B1259" s="12">
        <v>177200</v>
      </c>
      <c r="C1259" s="12">
        <v>624900</v>
      </c>
      <c r="D1259" s="12">
        <v>7.0000000000000007E-2</v>
      </c>
      <c r="E1259" s="12">
        <v>0.16</v>
      </c>
      <c r="F1259" s="12">
        <v>0.04</v>
      </c>
      <c r="G1259" s="12">
        <v>0.08</v>
      </c>
      <c r="H1259" s="12">
        <v>0.21</v>
      </c>
      <c r="I1259" s="12">
        <v>0.05</v>
      </c>
      <c r="J1259" s="12">
        <v>0.12</v>
      </c>
      <c r="K1259" s="12">
        <v>0.28999999999999998</v>
      </c>
      <c r="L1259" s="12">
        <v>7.0000000000000007E-2</v>
      </c>
      <c r="M1259" s="8">
        <v>8</v>
      </c>
      <c r="N1259">
        <v>10</v>
      </c>
      <c r="O1259" s="12">
        <v>12</v>
      </c>
      <c r="BQ1259" s="8">
        <v>5</v>
      </c>
      <c r="BR1259" s="8" t="s">
        <v>2578</v>
      </c>
    </row>
    <row r="1260" spans="1:70" x14ac:dyDescent="0.3">
      <c r="A1260" s="11" t="s">
        <v>2579</v>
      </c>
      <c r="B1260" s="12">
        <v>189500</v>
      </c>
      <c r="C1260" s="12">
        <v>628500</v>
      </c>
      <c r="D1260" s="12">
        <v>0.06</v>
      </c>
      <c r="E1260" s="12">
        <v>0.16</v>
      </c>
      <c r="F1260" s="12">
        <v>0.04</v>
      </c>
      <c r="G1260" s="12">
        <v>0.08</v>
      </c>
      <c r="H1260" s="12">
        <v>0.2</v>
      </c>
      <c r="I1260" s="12">
        <v>0.05</v>
      </c>
      <c r="J1260" s="12">
        <v>0.1</v>
      </c>
      <c r="K1260" s="12">
        <v>0.26</v>
      </c>
      <c r="L1260" s="12">
        <v>7.0000000000000007E-2</v>
      </c>
      <c r="M1260" s="8">
        <v>8</v>
      </c>
      <c r="N1260">
        <v>10</v>
      </c>
      <c r="O1260" s="12">
        <v>12</v>
      </c>
      <c r="BQ1260" s="8">
        <v>8</v>
      </c>
      <c r="BR1260" s="8" t="s">
        <v>2580</v>
      </c>
    </row>
    <row r="1261" spans="1:70" x14ac:dyDescent="0.3">
      <c r="A1261" s="11" t="s">
        <v>2581</v>
      </c>
      <c r="B1261" s="12">
        <v>254300</v>
      </c>
      <c r="C1261" s="12">
        <v>793400</v>
      </c>
      <c r="D1261" s="12">
        <v>0.24</v>
      </c>
      <c r="E1261" s="12">
        <v>0.6</v>
      </c>
      <c r="F1261" s="12">
        <v>0.11</v>
      </c>
      <c r="G1261" s="12">
        <v>0.32</v>
      </c>
      <c r="H1261" s="12">
        <v>0.8</v>
      </c>
      <c r="I1261" s="12">
        <v>0.16</v>
      </c>
      <c r="J1261" s="12">
        <v>0.44</v>
      </c>
      <c r="K1261" s="12">
        <v>1.1100000000000001</v>
      </c>
      <c r="L1261" s="12">
        <v>0.23</v>
      </c>
      <c r="M1261" s="8">
        <v>5</v>
      </c>
      <c r="N1261">
        <v>6</v>
      </c>
      <c r="O1261" s="12">
        <v>7</v>
      </c>
      <c r="BQ1261" s="8">
        <v>5</v>
      </c>
      <c r="BR1261" s="8" t="s">
        <v>2582</v>
      </c>
    </row>
    <row r="1262" spans="1:70" x14ac:dyDescent="0.3">
      <c r="A1262" s="11" t="s">
        <v>2583</v>
      </c>
      <c r="B1262" s="12">
        <v>179400</v>
      </c>
      <c r="C1262" s="12">
        <v>665500</v>
      </c>
      <c r="D1262" s="12">
        <v>0.06</v>
      </c>
      <c r="E1262" s="12">
        <v>0.14000000000000001</v>
      </c>
      <c r="F1262" s="12">
        <v>0.04</v>
      </c>
      <c r="G1262" s="12">
        <v>7.0000000000000007E-2</v>
      </c>
      <c r="H1262" s="12">
        <v>0.17</v>
      </c>
      <c r="I1262" s="12">
        <v>0.05</v>
      </c>
      <c r="J1262" s="12">
        <v>0.09</v>
      </c>
      <c r="K1262" s="12">
        <v>0.23</v>
      </c>
      <c r="L1262" s="12">
        <v>7.0000000000000007E-2</v>
      </c>
      <c r="M1262" s="8">
        <v>8</v>
      </c>
      <c r="N1262">
        <v>10</v>
      </c>
      <c r="O1262" s="12">
        <v>12</v>
      </c>
      <c r="BQ1262" s="8">
        <v>8</v>
      </c>
      <c r="BR1262" s="8" t="s">
        <v>2584</v>
      </c>
    </row>
    <row r="1263" spans="1:70" x14ac:dyDescent="0.3">
      <c r="A1263" s="11" t="s">
        <v>2585</v>
      </c>
      <c r="B1263" s="12">
        <v>237900</v>
      </c>
      <c r="C1263" s="12">
        <v>717900</v>
      </c>
      <c r="D1263" s="12">
        <v>0.18</v>
      </c>
      <c r="E1263" s="12">
        <v>0.46</v>
      </c>
      <c r="F1263" s="12">
        <v>0.09</v>
      </c>
      <c r="G1263" s="12">
        <v>0.23</v>
      </c>
      <c r="H1263" s="12">
        <v>0.6</v>
      </c>
      <c r="I1263" s="12">
        <v>0.12</v>
      </c>
      <c r="J1263" s="12">
        <v>0.31</v>
      </c>
      <c r="K1263" s="12">
        <v>0.81</v>
      </c>
      <c r="L1263" s="12">
        <v>0.17</v>
      </c>
      <c r="M1263" s="8">
        <v>5</v>
      </c>
      <c r="N1263">
        <v>6</v>
      </c>
      <c r="O1263" s="12">
        <v>8</v>
      </c>
      <c r="BQ1263" s="8">
        <v>8</v>
      </c>
      <c r="BR1263" s="8" t="s">
        <v>2586</v>
      </c>
    </row>
    <row r="1264" spans="1:70" x14ac:dyDescent="0.3">
      <c r="A1264" s="11" t="s">
        <v>2587</v>
      </c>
      <c r="B1264" s="12">
        <v>187900</v>
      </c>
      <c r="C1264" s="12">
        <v>684200</v>
      </c>
      <c r="D1264" s="12">
        <v>0.06</v>
      </c>
      <c r="E1264" s="12">
        <v>0.16</v>
      </c>
      <c r="F1264" s="12">
        <v>0.04</v>
      </c>
      <c r="G1264" s="12">
        <v>0.08</v>
      </c>
      <c r="H1264" s="12">
        <v>0.2</v>
      </c>
      <c r="I1264" s="12">
        <v>0.06</v>
      </c>
      <c r="J1264" s="12">
        <v>0.1</v>
      </c>
      <c r="K1264" s="12">
        <v>0.26</v>
      </c>
      <c r="L1264" s="12">
        <v>0.08</v>
      </c>
      <c r="M1264" s="8">
        <v>8</v>
      </c>
      <c r="N1264">
        <v>10</v>
      </c>
      <c r="O1264" s="12">
        <v>12</v>
      </c>
      <c r="BQ1264" s="8">
        <v>6</v>
      </c>
      <c r="BR1264" s="8" t="s">
        <v>2588</v>
      </c>
    </row>
    <row r="1265" spans="1:70" x14ac:dyDescent="0.3">
      <c r="A1265" s="11" t="s">
        <v>2589</v>
      </c>
      <c r="B1265" s="12">
        <v>192600</v>
      </c>
      <c r="C1265" s="12">
        <v>684900</v>
      </c>
      <c r="D1265" s="12">
        <v>7.0000000000000007E-2</v>
      </c>
      <c r="E1265" s="12">
        <v>0.17</v>
      </c>
      <c r="F1265" s="12">
        <v>0.05</v>
      </c>
      <c r="G1265" s="12">
        <v>0.08</v>
      </c>
      <c r="H1265" s="12">
        <v>0.21</v>
      </c>
      <c r="I1265" s="12">
        <v>0.06</v>
      </c>
      <c r="J1265" s="12">
        <v>0.11</v>
      </c>
      <c r="K1265" s="12">
        <v>0.27</v>
      </c>
      <c r="L1265" s="12">
        <v>0.08</v>
      </c>
      <c r="M1265" s="8">
        <v>8</v>
      </c>
      <c r="N1265">
        <v>9</v>
      </c>
      <c r="O1265" s="12">
        <v>12</v>
      </c>
      <c r="BQ1265" s="8">
        <v>5</v>
      </c>
      <c r="BR1265" s="8" t="s">
        <v>2590</v>
      </c>
    </row>
    <row r="1266" spans="1:70" x14ac:dyDescent="0.3">
      <c r="A1266" s="11" t="s">
        <v>2591</v>
      </c>
      <c r="B1266" s="12">
        <v>228500</v>
      </c>
      <c r="C1266" s="12">
        <v>728900</v>
      </c>
      <c r="D1266" s="12">
        <v>0.15</v>
      </c>
      <c r="E1266" s="12">
        <v>0.39</v>
      </c>
      <c r="F1266" s="12">
        <v>0.08</v>
      </c>
      <c r="G1266" s="12">
        <v>0.2</v>
      </c>
      <c r="H1266" s="12">
        <v>0.51</v>
      </c>
      <c r="I1266" s="12">
        <v>0.1</v>
      </c>
      <c r="J1266" s="12">
        <v>0.28000000000000003</v>
      </c>
      <c r="K1266" s="12">
        <v>0.71</v>
      </c>
      <c r="L1266" s="12">
        <v>0.15</v>
      </c>
      <c r="M1266" s="8">
        <v>6</v>
      </c>
      <c r="N1266">
        <v>7</v>
      </c>
      <c r="O1266" s="12">
        <v>8</v>
      </c>
      <c r="BQ1266" s="8">
        <v>8</v>
      </c>
      <c r="BR1266" s="8" t="s">
        <v>2592</v>
      </c>
    </row>
    <row r="1267" spans="1:70" x14ac:dyDescent="0.3">
      <c r="A1267" s="11" t="s">
        <v>2593</v>
      </c>
      <c r="B1267" s="12">
        <v>258200</v>
      </c>
      <c r="C1267" s="12">
        <v>734700</v>
      </c>
      <c r="D1267" s="12">
        <v>0.27</v>
      </c>
      <c r="E1267" s="12">
        <v>0.67</v>
      </c>
      <c r="F1267" s="12">
        <v>0.12</v>
      </c>
      <c r="G1267" s="12">
        <v>0.36</v>
      </c>
      <c r="H1267" s="12">
        <v>0.89</v>
      </c>
      <c r="I1267" s="12">
        <v>0.17</v>
      </c>
      <c r="J1267" s="12">
        <v>0.48</v>
      </c>
      <c r="K1267" s="12">
        <v>1.22</v>
      </c>
      <c r="L1267" s="12">
        <v>0.26</v>
      </c>
      <c r="M1267" s="8">
        <v>5</v>
      </c>
      <c r="N1267">
        <v>5</v>
      </c>
      <c r="O1267" s="12">
        <v>6</v>
      </c>
      <c r="BQ1267" s="8">
        <v>5</v>
      </c>
      <c r="BR1267" s="8" t="s">
        <v>2594</v>
      </c>
    </row>
    <row r="1268" spans="1:70" x14ac:dyDescent="0.3">
      <c r="A1268" s="11" t="s">
        <v>2595</v>
      </c>
      <c r="B1268" s="12">
        <v>186600</v>
      </c>
      <c r="C1268" s="12">
        <v>572900</v>
      </c>
      <c r="D1268" s="12">
        <v>0.06</v>
      </c>
      <c r="E1268" s="12">
        <v>0.15</v>
      </c>
      <c r="F1268" s="12">
        <v>0.04</v>
      </c>
      <c r="G1268" s="12">
        <v>0.08</v>
      </c>
      <c r="H1268" s="12">
        <v>0.19</v>
      </c>
      <c r="I1268" s="12">
        <v>0.05</v>
      </c>
      <c r="J1268" s="12">
        <v>0.1</v>
      </c>
      <c r="K1268" s="12">
        <v>0.25</v>
      </c>
      <c r="L1268" s="12">
        <v>7.0000000000000007E-2</v>
      </c>
      <c r="M1268" s="8">
        <v>8</v>
      </c>
      <c r="N1268">
        <v>9</v>
      </c>
      <c r="O1268" s="12">
        <v>11</v>
      </c>
      <c r="BQ1268" s="8">
        <v>7</v>
      </c>
      <c r="BR1268" s="8" t="s">
        <v>2596</v>
      </c>
    </row>
    <row r="1269" spans="1:70" x14ac:dyDescent="0.3">
      <c r="A1269" s="11" t="s">
        <v>2597</v>
      </c>
      <c r="B1269" s="12">
        <v>247000</v>
      </c>
      <c r="C1269" s="12">
        <v>705500</v>
      </c>
      <c r="D1269" s="12">
        <v>0.24</v>
      </c>
      <c r="E1269" s="12">
        <v>0.59</v>
      </c>
      <c r="F1269" s="12">
        <v>0.11</v>
      </c>
      <c r="G1269" s="12">
        <v>0.31</v>
      </c>
      <c r="H1269" s="12">
        <v>0.78</v>
      </c>
      <c r="I1269" s="12">
        <v>0.15</v>
      </c>
      <c r="J1269" s="12">
        <v>0.41</v>
      </c>
      <c r="K1269" s="12">
        <v>1.06</v>
      </c>
      <c r="L1269" s="12">
        <v>0.22</v>
      </c>
      <c r="M1269" s="8">
        <v>5</v>
      </c>
      <c r="N1269">
        <v>6</v>
      </c>
      <c r="O1269" s="12">
        <v>6</v>
      </c>
      <c r="BQ1269" s="8">
        <v>9</v>
      </c>
      <c r="BR1269" s="8" t="s">
        <v>2598</v>
      </c>
    </row>
    <row r="1270" spans="1:70" x14ac:dyDescent="0.3">
      <c r="A1270" s="11" t="s">
        <v>2599</v>
      </c>
      <c r="B1270" s="12">
        <v>203300</v>
      </c>
      <c r="C1270" s="12">
        <v>607800</v>
      </c>
      <c r="D1270" s="12">
        <v>0.08</v>
      </c>
      <c r="E1270" s="12">
        <v>0.19</v>
      </c>
      <c r="F1270" s="12">
        <v>0.05</v>
      </c>
      <c r="G1270" s="12">
        <v>0.1</v>
      </c>
      <c r="H1270" s="12">
        <v>0.25</v>
      </c>
      <c r="I1270" s="12">
        <v>0.06</v>
      </c>
      <c r="J1270" s="12">
        <v>0.13</v>
      </c>
      <c r="K1270" s="12">
        <v>0.33</v>
      </c>
      <c r="L1270" s="12">
        <v>0.08</v>
      </c>
      <c r="M1270" s="8">
        <v>7</v>
      </c>
      <c r="N1270">
        <v>9</v>
      </c>
      <c r="O1270" s="12">
        <v>11</v>
      </c>
      <c r="BQ1270" s="8">
        <v>7</v>
      </c>
      <c r="BR1270" s="8" t="s">
        <v>2600</v>
      </c>
    </row>
    <row r="1271" spans="1:70" x14ac:dyDescent="0.3">
      <c r="A1271" s="11" t="s">
        <v>2601</v>
      </c>
      <c r="B1271" s="12">
        <v>145400</v>
      </c>
      <c r="C1271" s="12">
        <v>570900</v>
      </c>
      <c r="D1271" s="12">
        <v>0.04</v>
      </c>
      <c r="E1271" s="12">
        <v>0.09</v>
      </c>
      <c r="F1271" s="12">
        <v>0.03</v>
      </c>
      <c r="G1271" s="12">
        <v>0.05</v>
      </c>
      <c r="H1271" s="12">
        <v>0.11</v>
      </c>
      <c r="I1271" s="12">
        <v>0.04</v>
      </c>
      <c r="J1271" s="12">
        <v>0.06</v>
      </c>
      <c r="K1271" s="12">
        <v>0.15</v>
      </c>
      <c r="L1271" s="12">
        <v>0.06</v>
      </c>
      <c r="M1271" s="8">
        <v>9</v>
      </c>
      <c r="N1271">
        <v>11</v>
      </c>
      <c r="O1271" s="12">
        <v>13</v>
      </c>
      <c r="BQ1271" s="8">
        <v>8</v>
      </c>
      <c r="BR1271" s="8" t="s">
        <v>2602</v>
      </c>
    </row>
    <row r="1272" spans="1:70" x14ac:dyDescent="0.3">
      <c r="A1272" s="11" t="s">
        <v>2603</v>
      </c>
      <c r="B1272" s="12">
        <v>198000</v>
      </c>
      <c r="C1272" s="12">
        <v>705700</v>
      </c>
      <c r="D1272" s="12">
        <v>0.08</v>
      </c>
      <c r="E1272" s="12">
        <v>0.2</v>
      </c>
      <c r="F1272" s="12">
        <v>0.05</v>
      </c>
      <c r="G1272" s="12">
        <v>0.1</v>
      </c>
      <c r="H1272" s="12">
        <v>0.25</v>
      </c>
      <c r="I1272" s="12">
        <v>7.0000000000000007E-2</v>
      </c>
      <c r="J1272" s="12">
        <v>0.13</v>
      </c>
      <c r="K1272" s="12">
        <v>0.34</v>
      </c>
      <c r="L1272" s="12">
        <v>0.09</v>
      </c>
      <c r="M1272" s="8">
        <v>7</v>
      </c>
      <c r="N1272">
        <v>9</v>
      </c>
      <c r="O1272" s="12">
        <v>11</v>
      </c>
      <c r="BQ1272" s="8">
        <v>9</v>
      </c>
      <c r="BR1272" s="8" t="s">
        <v>2604</v>
      </c>
    </row>
    <row r="1273" spans="1:70" x14ac:dyDescent="0.3">
      <c r="A1273" s="11" t="s">
        <v>2605</v>
      </c>
      <c r="B1273" s="12">
        <v>166200</v>
      </c>
      <c r="C1273" s="12">
        <v>594100</v>
      </c>
      <c r="D1273" s="12">
        <v>0.06</v>
      </c>
      <c r="E1273" s="12">
        <v>0.13</v>
      </c>
      <c r="F1273" s="12">
        <v>0.04</v>
      </c>
      <c r="G1273" s="12">
        <v>7.0000000000000007E-2</v>
      </c>
      <c r="H1273" s="12">
        <v>0.17</v>
      </c>
      <c r="I1273" s="12">
        <v>0.05</v>
      </c>
      <c r="J1273" s="12">
        <v>0.1</v>
      </c>
      <c r="K1273" s="12">
        <v>0.24</v>
      </c>
      <c r="L1273" s="12">
        <v>0.06</v>
      </c>
      <c r="M1273" s="8">
        <v>8</v>
      </c>
      <c r="N1273">
        <v>10</v>
      </c>
      <c r="O1273" s="12">
        <v>12</v>
      </c>
      <c r="BQ1273" s="8">
        <v>8</v>
      </c>
      <c r="BR1273" s="8" t="s">
        <v>2606</v>
      </c>
    </row>
    <row r="1274" spans="1:70" x14ac:dyDescent="0.3">
      <c r="A1274" s="11" t="s">
        <v>2607</v>
      </c>
      <c r="B1274" s="12">
        <v>139200</v>
      </c>
      <c r="C1274" s="12">
        <v>567500</v>
      </c>
      <c r="D1274" s="12">
        <v>0.04</v>
      </c>
      <c r="E1274" s="12">
        <v>0.09</v>
      </c>
      <c r="F1274" s="12">
        <v>0.03</v>
      </c>
      <c r="G1274" s="12">
        <v>0.05</v>
      </c>
      <c r="H1274" s="12">
        <v>0.11</v>
      </c>
      <c r="I1274" s="12">
        <v>0.04</v>
      </c>
      <c r="J1274" s="12">
        <v>0.06</v>
      </c>
      <c r="K1274" s="12">
        <v>0.14000000000000001</v>
      </c>
      <c r="L1274" s="12">
        <v>0.05</v>
      </c>
      <c r="M1274" s="8">
        <v>9</v>
      </c>
      <c r="N1274">
        <v>11</v>
      </c>
      <c r="O1274" s="12">
        <v>13</v>
      </c>
      <c r="BQ1274" s="8">
        <v>8</v>
      </c>
      <c r="BR1274" s="8" t="s">
        <v>2608</v>
      </c>
    </row>
    <row r="1275" spans="1:70" x14ac:dyDescent="0.3">
      <c r="A1275" s="11" t="s">
        <v>2609</v>
      </c>
      <c r="B1275" s="12">
        <v>177500</v>
      </c>
      <c r="C1275" s="12">
        <v>629000</v>
      </c>
      <c r="D1275" s="12">
        <v>0.06</v>
      </c>
      <c r="E1275" s="12">
        <v>0.15</v>
      </c>
      <c r="F1275" s="12">
        <v>0.04</v>
      </c>
      <c r="G1275" s="12">
        <v>0.08</v>
      </c>
      <c r="H1275" s="12">
        <v>0.2</v>
      </c>
      <c r="I1275" s="12">
        <v>0.05</v>
      </c>
      <c r="J1275" s="12">
        <v>0.11</v>
      </c>
      <c r="K1275" s="12">
        <v>0.28000000000000003</v>
      </c>
      <c r="L1275" s="12">
        <v>7.0000000000000007E-2</v>
      </c>
      <c r="M1275" s="8">
        <v>8</v>
      </c>
      <c r="N1275">
        <v>10</v>
      </c>
      <c r="O1275" s="12">
        <v>12</v>
      </c>
      <c r="BQ1275" s="8">
        <v>8</v>
      </c>
      <c r="BR1275" s="8" t="s">
        <v>2610</v>
      </c>
    </row>
    <row r="1276" spans="1:70" x14ac:dyDescent="0.3">
      <c r="A1276" s="11" t="s">
        <v>2611</v>
      </c>
      <c r="B1276" s="12">
        <v>163500</v>
      </c>
      <c r="C1276" s="12">
        <v>614000</v>
      </c>
      <c r="D1276" s="12">
        <v>0.06</v>
      </c>
      <c r="E1276" s="12">
        <v>0.15</v>
      </c>
      <c r="F1276" s="12">
        <v>0.04</v>
      </c>
      <c r="G1276" s="12">
        <v>0.08</v>
      </c>
      <c r="H1276" s="12">
        <v>0.2</v>
      </c>
      <c r="I1276" s="12">
        <v>0.05</v>
      </c>
      <c r="J1276" s="12">
        <v>0.12</v>
      </c>
      <c r="K1276" s="12">
        <v>0.28999999999999998</v>
      </c>
      <c r="L1276" s="12">
        <v>7.0000000000000007E-2</v>
      </c>
      <c r="M1276" s="8">
        <v>8</v>
      </c>
      <c r="N1276">
        <v>10</v>
      </c>
      <c r="O1276" s="12">
        <v>12</v>
      </c>
      <c r="BQ1276" s="8">
        <v>6</v>
      </c>
      <c r="BR1276" s="8" t="s">
        <v>2612</v>
      </c>
    </row>
    <row r="1277" spans="1:70" x14ac:dyDescent="0.3">
      <c r="A1277" s="11" t="s">
        <v>2613</v>
      </c>
      <c r="B1277" s="12">
        <v>168900</v>
      </c>
      <c r="C1277" s="12">
        <v>608000</v>
      </c>
      <c r="D1277" s="12">
        <v>0.06</v>
      </c>
      <c r="E1277" s="12">
        <v>0.16</v>
      </c>
      <c r="F1277" s="12">
        <v>0.04</v>
      </c>
      <c r="G1277" s="12">
        <v>0.09</v>
      </c>
      <c r="H1277" s="12">
        <v>0.21</v>
      </c>
      <c r="I1277" s="12">
        <v>0.05</v>
      </c>
      <c r="J1277" s="12">
        <v>0.12</v>
      </c>
      <c r="K1277" s="12">
        <v>0.3</v>
      </c>
      <c r="L1277" s="12">
        <v>7.0000000000000007E-2</v>
      </c>
      <c r="M1277" s="8">
        <v>8</v>
      </c>
      <c r="N1277">
        <v>10</v>
      </c>
      <c r="O1277" s="12">
        <v>12</v>
      </c>
      <c r="BQ1277" s="8">
        <v>8</v>
      </c>
      <c r="BR1277" s="8" t="s">
        <v>2614</v>
      </c>
    </row>
    <row r="1278" spans="1:70" x14ac:dyDescent="0.3">
      <c r="A1278" s="11" t="s">
        <v>2615</v>
      </c>
      <c r="B1278" s="12">
        <v>221500</v>
      </c>
      <c r="C1278" s="12">
        <v>734300</v>
      </c>
      <c r="D1278" s="12">
        <v>0.15</v>
      </c>
      <c r="E1278" s="12">
        <v>0.37</v>
      </c>
      <c r="F1278" s="12">
        <v>7.0000000000000007E-2</v>
      </c>
      <c r="G1278" s="12">
        <v>0.2</v>
      </c>
      <c r="H1278" s="12">
        <v>0.49</v>
      </c>
      <c r="I1278" s="12">
        <v>0.1</v>
      </c>
      <c r="J1278" s="12">
        <v>0.28000000000000003</v>
      </c>
      <c r="K1278" s="12">
        <v>0.7</v>
      </c>
      <c r="L1278" s="12">
        <v>0.14000000000000001</v>
      </c>
      <c r="M1278" s="8">
        <v>6</v>
      </c>
      <c r="N1278">
        <v>7</v>
      </c>
      <c r="O1278" s="12">
        <v>8</v>
      </c>
      <c r="BQ1278" s="8">
        <v>8</v>
      </c>
      <c r="BR1278" s="8" t="s">
        <v>2616</v>
      </c>
    </row>
    <row r="1279" spans="1:70" x14ac:dyDescent="0.3">
      <c r="A1279" s="11" t="s">
        <v>2617</v>
      </c>
      <c r="B1279" s="12">
        <v>196600</v>
      </c>
      <c r="C1279" s="12">
        <v>690000</v>
      </c>
      <c r="D1279" s="12">
        <v>7.0000000000000007E-2</v>
      </c>
      <c r="E1279" s="12">
        <v>0.18</v>
      </c>
      <c r="F1279" s="12">
        <v>0.05</v>
      </c>
      <c r="G1279" s="12">
        <v>0.09</v>
      </c>
      <c r="H1279" s="12">
        <v>0.22</v>
      </c>
      <c r="I1279" s="12">
        <v>0.06</v>
      </c>
      <c r="J1279" s="12">
        <v>0.11</v>
      </c>
      <c r="K1279" s="12">
        <v>0.28999999999999998</v>
      </c>
      <c r="L1279" s="12">
        <v>0.08</v>
      </c>
      <c r="M1279" s="8">
        <v>8</v>
      </c>
      <c r="N1279">
        <v>9</v>
      </c>
      <c r="O1279" s="12">
        <v>11</v>
      </c>
      <c r="BQ1279" s="8">
        <v>8</v>
      </c>
      <c r="BR1279" s="8" t="s">
        <v>2618</v>
      </c>
    </row>
    <row r="1280" spans="1:70" x14ac:dyDescent="0.3">
      <c r="A1280" s="11" t="s">
        <v>2619</v>
      </c>
      <c r="B1280" s="12">
        <v>197800</v>
      </c>
      <c r="C1280" s="12">
        <v>634400</v>
      </c>
      <c r="D1280" s="12">
        <v>7.0000000000000007E-2</v>
      </c>
      <c r="E1280" s="12">
        <v>0.16</v>
      </c>
      <c r="F1280" s="12">
        <v>0.04</v>
      </c>
      <c r="G1280" s="12">
        <v>0.08</v>
      </c>
      <c r="H1280" s="12">
        <v>0.21</v>
      </c>
      <c r="I1280" s="12">
        <v>0.06</v>
      </c>
      <c r="J1280" s="12">
        <v>0.1</v>
      </c>
      <c r="K1280" s="12">
        <v>0.27</v>
      </c>
      <c r="L1280" s="12">
        <v>0.08</v>
      </c>
      <c r="M1280" s="8">
        <v>8</v>
      </c>
      <c r="N1280">
        <v>9</v>
      </c>
      <c r="O1280" s="12">
        <v>11</v>
      </c>
      <c r="BQ1280" s="8">
        <v>7</v>
      </c>
      <c r="BR1280" s="8" t="s">
        <v>2620</v>
      </c>
    </row>
    <row r="1281" spans="1:70" x14ac:dyDescent="0.3">
      <c r="A1281" s="11" t="s">
        <v>2621</v>
      </c>
      <c r="B1281" s="12">
        <v>195500</v>
      </c>
      <c r="C1281" s="12">
        <v>676300</v>
      </c>
      <c r="D1281" s="12">
        <v>7.0000000000000007E-2</v>
      </c>
      <c r="E1281" s="12">
        <v>0.17</v>
      </c>
      <c r="F1281" s="12">
        <v>0.05</v>
      </c>
      <c r="G1281" s="12">
        <v>0.08</v>
      </c>
      <c r="H1281" s="12">
        <v>0.21</v>
      </c>
      <c r="I1281" s="12">
        <v>0.06</v>
      </c>
      <c r="J1281" s="12">
        <v>0.11</v>
      </c>
      <c r="K1281" s="12">
        <v>0.27</v>
      </c>
      <c r="L1281" s="12">
        <v>0.08</v>
      </c>
      <c r="M1281" s="8">
        <v>8</v>
      </c>
      <c r="N1281">
        <v>9</v>
      </c>
      <c r="O1281" s="12">
        <v>12</v>
      </c>
      <c r="BQ1281" s="8">
        <v>5</v>
      </c>
      <c r="BR1281" s="8" t="s">
        <v>2622</v>
      </c>
    </row>
    <row r="1282" spans="1:70" x14ac:dyDescent="0.3">
      <c r="A1282" s="11" t="s">
        <v>2623</v>
      </c>
      <c r="B1282" s="12">
        <v>217700</v>
      </c>
      <c r="C1282" s="12">
        <v>757100</v>
      </c>
      <c r="D1282" s="12">
        <v>0.13</v>
      </c>
      <c r="E1282" s="12">
        <v>0.33</v>
      </c>
      <c r="F1282" s="12">
        <v>7.0000000000000007E-2</v>
      </c>
      <c r="G1282" s="12">
        <v>0.17</v>
      </c>
      <c r="H1282" s="12">
        <v>0.42</v>
      </c>
      <c r="I1282" s="12">
        <v>0.09</v>
      </c>
      <c r="J1282" s="12">
        <v>0.22</v>
      </c>
      <c r="K1282" s="12">
        <v>0.56999999999999995</v>
      </c>
      <c r="L1282" s="12">
        <v>0.12</v>
      </c>
      <c r="M1282" s="8">
        <v>7</v>
      </c>
      <c r="N1282">
        <v>8</v>
      </c>
      <c r="O1282" s="12">
        <v>10</v>
      </c>
      <c r="BQ1282" s="8">
        <v>5</v>
      </c>
      <c r="BR1282" s="8" t="s">
        <v>2624</v>
      </c>
    </row>
    <row r="1283" spans="1:70" x14ac:dyDescent="0.3">
      <c r="A1283" s="11" t="s">
        <v>2625</v>
      </c>
      <c r="B1283" s="12">
        <v>243700</v>
      </c>
      <c r="C1283" s="12">
        <v>743600</v>
      </c>
      <c r="D1283" s="12">
        <v>0.2</v>
      </c>
      <c r="E1283" s="12">
        <v>0.5</v>
      </c>
      <c r="F1283" s="12">
        <v>0.09</v>
      </c>
      <c r="G1283" s="12">
        <v>0.25</v>
      </c>
      <c r="H1283" s="12">
        <v>0.64</v>
      </c>
      <c r="I1283" s="12">
        <v>0.13</v>
      </c>
      <c r="J1283" s="12">
        <v>0.33</v>
      </c>
      <c r="K1283" s="12">
        <v>0.86</v>
      </c>
      <c r="L1283" s="12">
        <v>0.18</v>
      </c>
      <c r="M1283" s="8">
        <v>5</v>
      </c>
      <c r="N1283">
        <v>6</v>
      </c>
      <c r="O1283" s="12">
        <v>8</v>
      </c>
      <c r="BQ1283" s="8">
        <v>8</v>
      </c>
      <c r="BR1283" s="8" t="s">
        <v>2626</v>
      </c>
    </row>
    <row r="1284" spans="1:70" x14ac:dyDescent="0.3">
      <c r="A1284" s="11" t="s">
        <v>2627</v>
      </c>
      <c r="B1284" s="12">
        <v>244900</v>
      </c>
      <c r="C1284" s="12">
        <v>770200</v>
      </c>
      <c r="D1284" s="12">
        <v>0.2</v>
      </c>
      <c r="E1284" s="12">
        <v>0.51</v>
      </c>
      <c r="F1284" s="12">
        <v>0.1</v>
      </c>
      <c r="G1284" s="12">
        <v>0.26</v>
      </c>
      <c r="H1284" s="12">
        <v>0.67</v>
      </c>
      <c r="I1284" s="12">
        <v>0.13</v>
      </c>
      <c r="J1284" s="12">
        <v>0.34</v>
      </c>
      <c r="K1284" s="12">
        <v>0.9</v>
      </c>
      <c r="L1284" s="12">
        <v>0.19</v>
      </c>
      <c r="M1284" s="8">
        <v>5</v>
      </c>
      <c r="N1284">
        <v>6</v>
      </c>
      <c r="O1284" s="12">
        <v>8</v>
      </c>
      <c r="BQ1284" s="8">
        <v>8</v>
      </c>
      <c r="BR1284" s="8" t="s">
        <v>2628</v>
      </c>
    </row>
    <row r="1285" spans="1:70" x14ac:dyDescent="0.3">
      <c r="A1285" s="11" t="s">
        <v>2629</v>
      </c>
      <c r="B1285" s="12">
        <v>192800</v>
      </c>
      <c r="C1285" s="12">
        <v>656900</v>
      </c>
      <c r="D1285" s="12">
        <v>0.06</v>
      </c>
      <c r="E1285" s="12">
        <v>0.15</v>
      </c>
      <c r="F1285" s="12">
        <v>0.04</v>
      </c>
      <c r="G1285" s="12">
        <v>0.08</v>
      </c>
      <c r="H1285" s="12">
        <v>0.19</v>
      </c>
      <c r="I1285" s="12">
        <v>0.06</v>
      </c>
      <c r="J1285" s="12">
        <v>0.1</v>
      </c>
      <c r="K1285" s="12">
        <v>0.25</v>
      </c>
      <c r="L1285" s="12">
        <v>0.08</v>
      </c>
      <c r="M1285" s="8">
        <v>8</v>
      </c>
      <c r="N1285">
        <v>10</v>
      </c>
      <c r="O1285" s="12">
        <v>12</v>
      </c>
      <c r="BQ1285" s="8">
        <v>8</v>
      </c>
      <c r="BR1285" s="8" t="s">
        <v>2630</v>
      </c>
    </row>
    <row r="1286" spans="1:70" x14ac:dyDescent="0.3">
      <c r="A1286" s="11" t="s">
        <v>2631</v>
      </c>
      <c r="B1286" s="12">
        <v>169100</v>
      </c>
      <c r="C1286" s="12">
        <v>636500</v>
      </c>
      <c r="D1286" s="12">
        <v>0.06</v>
      </c>
      <c r="E1286" s="12">
        <v>0.15</v>
      </c>
      <c r="F1286" s="12">
        <v>0.04</v>
      </c>
      <c r="G1286" s="12">
        <v>0.08</v>
      </c>
      <c r="H1286" s="12">
        <v>0.19</v>
      </c>
      <c r="I1286" s="12">
        <v>0.05</v>
      </c>
      <c r="J1286" s="12">
        <v>0.11</v>
      </c>
      <c r="K1286" s="12">
        <v>0.27</v>
      </c>
      <c r="L1286" s="12">
        <v>7.0000000000000007E-2</v>
      </c>
      <c r="M1286" s="8">
        <v>8</v>
      </c>
      <c r="N1286">
        <v>10</v>
      </c>
      <c r="O1286" s="12">
        <v>12</v>
      </c>
      <c r="BQ1286" s="8">
        <v>8</v>
      </c>
      <c r="BR1286" s="8" t="s">
        <v>2632</v>
      </c>
    </row>
    <row r="1287" spans="1:70" x14ac:dyDescent="0.3">
      <c r="A1287" s="11" t="s">
        <v>2633</v>
      </c>
      <c r="B1287" s="12">
        <v>195500</v>
      </c>
      <c r="C1287" s="12">
        <v>664200</v>
      </c>
      <c r="D1287" s="12">
        <v>7.0000000000000007E-2</v>
      </c>
      <c r="E1287" s="12">
        <v>0.16</v>
      </c>
      <c r="F1287" s="12">
        <v>0.05</v>
      </c>
      <c r="G1287" s="12">
        <v>0.08</v>
      </c>
      <c r="H1287" s="12">
        <v>0.2</v>
      </c>
      <c r="I1287" s="12">
        <v>0.06</v>
      </c>
      <c r="J1287" s="12">
        <v>0.1</v>
      </c>
      <c r="K1287" s="12">
        <v>0.26</v>
      </c>
      <c r="L1287" s="12">
        <v>0.08</v>
      </c>
      <c r="M1287" s="8">
        <v>8</v>
      </c>
      <c r="N1287">
        <v>9</v>
      </c>
      <c r="O1287" s="12">
        <v>12</v>
      </c>
      <c r="BQ1287" s="8">
        <v>8</v>
      </c>
      <c r="BR1287" s="8" t="s">
        <v>2634</v>
      </c>
    </row>
    <row r="1288" spans="1:70" x14ac:dyDescent="0.3">
      <c r="A1288" s="11" t="s">
        <v>2635</v>
      </c>
      <c r="B1288" s="12">
        <v>177000</v>
      </c>
      <c r="C1288" s="12">
        <v>632000</v>
      </c>
      <c r="D1288" s="12">
        <v>0.06</v>
      </c>
      <c r="E1288" s="12">
        <v>0.15</v>
      </c>
      <c r="F1288" s="12">
        <v>0.04</v>
      </c>
      <c r="G1288" s="12">
        <v>0.08</v>
      </c>
      <c r="H1288" s="12">
        <v>0.2</v>
      </c>
      <c r="I1288" s="12">
        <v>0.05</v>
      </c>
      <c r="J1288" s="12">
        <v>0.11</v>
      </c>
      <c r="K1288" s="12">
        <v>0.27</v>
      </c>
      <c r="L1288" s="12">
        <v>7.0000000000000007E-2</v>
      </c>
      <c r="M1288" s="8">
        <v>8</v>
      </c>
      <c r="N1288">
        <v>10</v>
      </c>
      <c r="O1288" s="12">
        <v>12</v>
      </c>
      <c r="BQ1288" s="8">
        <v>8</v>
      </c>
      <c r="BR1288" s="8" t="s">
        <v>2636</v>
      </c>
    </row>
    <row r="1289" spans="1:70" x14ac:dyDescent="0.3">
      <c r="A1289" s="11" t="s">
        <v>2637</v>
      </c>
      <c r="B1289" s="12">
        <v>186000</v>
      </c>
      <c r="C1289" s="12">
        <v>652300</v>
      </c>
      <c r="D1289" s="12">
        <v>0.06</v>
      </c>
      <c r="E1289" s="12">
        <v>0.14000000000000001</v>
      </c>
      <c r="F1289" s="12">
        <v>0.04</v>
      </c>
      <c r="G1289" s="12">
        <v>7.0000000000000007E-2</v>
      </c>
      <c r="H1289" s="12">
        <v>0.18</v>
      </c>
      <c r="I1289" s="12">
        <v>0.05</v>
      </c>
      <c r="J1289" s="12">
        <v>0.09</v>
      </c>
      <c r="K1289" s="12">
        <v>0.23</v>
      </c>
      <c r="L1289" s="12">
        <v>7.0000000000000007E-2</v>
      </c>
      <c r="M1289" s="8">
        <v>8</v>
      </c>
      <c r="N1289">
        <v>10</v>
      </c>
      <c r="O1289" s="12">
        <v>12</v>
      </c>
      <c r="BQ1289" s="8">
        <v>6</v>
      </c>
      <c r="BR1289" s="8" t="s">
        <v>2638</v>
      </c>
    </row>
    <row r="1290" spans="1:70" x14ac:dyDescent="0.3">
      <c r="A1290" s="11" t="s">
        <v>2639</v>
      </c>
      <c r="B1290" s="12">
        <v>180000</v>
      </c>
      <c r="C1290" s="12">
        <v>629500</v>
      </c>
      <c r="D1290" s="12">
        <v>0.06</v>
      </c>
      <c r="E1290" s="12">
        <v>0.15</v>
      </c>
      <c r="F1290" s="12">
        <v>0.04</v>
      </c>
      <c r="G1290" s="12">
        <v>0.08</v>
      </c>
      <c r="H1290" s="12">
        <v>0.2</v>
      </c>
      <c r="I1290" s="12">
        <v>0.05</v>
      </c>
      <c r="J1290" s="12">
        <v>0.11</v>
      </c>
      <c r="K1290" s="12">
        <v>0.27</v>
      </c>
      <c r="L1290" s="12">
        <v>7.0000000000000007E-2</v>
      </c>
      <c r="M1290" s="8">
        <v>8</v>
      </c>
      <c r="N1290">
        <v>10</v>
      </c>
      <c r="O1290" s="12">
        <v>12</v>
      </c>
      <c r="BQ1290" s="8">
        <v>8</v>
      </c>
      <c r="BR1290" s="8" t="s">
        <v>2640</v>
      </c>
    </row>
    <row r="1291" spans="1:70" x14ac:dyDescent="0.3">
      <c r="A1291" s="11" t="s">
        <v>2641</v>
      </c>
      <c r="B1291" s="12">
        <v>216700</v>
      </c>
      <c r="C1291" s="12">
        <v>708800</v>
      </c>
      <c r="D1291" s="12">
        <v>0.12</v>
      </c>
      <c r="E1291" s="12">
        <v>0.3</v>
      </c>
      <c r="F1291" s="12">
        <v>7.0000000000000007E-2</v>
      </c>
      <c r="G1291" s="12">
        <v>0.16</v>
      </c>
      <c r="H1291" s="12">
        <v>0.41</v>
      </c>
      <c r="I1291" s="12">
        <v>0.09</v>
      </c>
      <c r="J1291" s="12">
        <v>0.23</v>
      </c>
      <c r="K1291" s="12">
        <v>0.57999999999999996</v>
      </c>
      <c r="L1291" s="12">
        <v>0.12</v>
      </c>
      <c r="M1291" s="8">
        <v>6</v>
      </c>
      <c r="N1291">
        <v>7</v>
      </c>
      <c r="O1291" s="12">
        <v>9</v>
      </c>
      <c r="BQ1291" s="8">
        <v>8</v>
      </c>
      <c r="BR1291" s="8" t="s">
        <v>2642</v>
      </c>
    </row>
    <row r="1292" spans="1:70" x14ac:dyDescent="0.3">
      <c r="A1292" s="11" t="s">
        <v>2643</v>
      </c>
      <c r="B1292" s="12">
        <v>161500</v>
      </c>
      <c r="C1292" s="12">
        <v>602900</v>
      </c>
      <c r="D1292" s="12">
        <v>0.06</v>
      </c>
      <c r="E1292" s="12">
        <v>0.14000000000000001</v>
      </c>
      <c r="F1292" s="12">
        <v>0.04</v>
      </c>
      <c r="G1292" s="12">
        <v>7.0000000000000007E-2</v>
      </c>
      <c r="H1292" s="12">
        <v>0.18</v>
      </c>
      <c r="I1292" s="12">
        <v>0.05</v>
      </c>
      <c r="J1292" s="12">
        <v>0.1</v>
      </c>
      <c r="K1292" s="12">
        <v>0.25</v>
      </c>
      <c r="L1292" s="12">
        <v>0.06</v>
      </c>
      <c r="M1292" s="8">
        <v>8</v>
      </c>
      <c r="N1292">
        <v>10</v>
      </c>
      <c r="O1292" s="12">
        <v>13</v>
      </c>
      <c r="BQ1292" s="8">
        <v>8</v>
      </c>
      <c r="BR1292" s="8" t="s">
        <v>2644</v>
      </c>
    </row>
    <row r="1293" spans="1:70" x14ac:dyDescent="0.3">
      <c r="A1293" s="11" t="s">
        <v>2645</v>
      </c>
      <c r="B1293" s="12">
        <v>169000</v>
      </c>
      <c r="C1293" s="12">
        <v>581500</v>
      </c>
      <c r="D1293" s="12">
        <v>0.05</v>
      </c>
      <c r="E1293" s="12">
        <v>0.12</v>
      </c>
      <c r="F1293" s="12">
        <v>0.04</v>
      </c>
      <c r="G1293" s="12">
        <v>0.06</v>
      </c>
      <c r="H1293" s="12">
        <v>0.16</v>
      </c>
      <c r="I1293" s="12">
        <v>0.05</v>
      </c>
      <c r="J1293" s="12">
        <v>0.08</v>
      </c>
      <c r="K1293" s="12">
        <v>0.21</v>
      </c>
      <c r="L1293" s="12">
        <v>0.06</v>
      </c>
      <c r="M1293" s="8">
        <v>8</v>
      </c>
      <c r="N1293">
        <v>10</v>
      </c>
      <c r="O1293" s="12">
        <v>12</v>
      </c>
      <c r="BQ1293" s="8">
        <v>6</v>
      </c>
      <c r="BR1293" s="8" t="s">
        <v>2646</v>
      </c>
    </row>
    <row r="1294" spans="1:70" x14ac:dyDescent="0.3">
      <c r="A1294" s="11" t="s">
        <v>2647</v>
      </c>
      <c r="B1294" s="12">
        <v>159900</v>
      </c>
      <c r="C1294" s="12">
        <v>595400</v>
      </c>
      <c r="D1294" s="12">
        <v>0.05</v>
      </c>
      <c r="E1294" s="12">
        <v>0.12</v>
      </c>
      <c r="F1294" s="12">
        <v>0.04</v>
      </c>
      <c r="G1294" s="12">
        <v>7.0000000000000007E-2</v>
      </c>
      <c r="H1294" s="12">
        <v>0.16</v>
      </c>
      <c r="I1294" s="12">
        <v>0.05</v>
      </c>
      <c r="J1294" s="12">
        <v>0.09</v>
      </c>
      <c r="K1294" s="12">
        <v>0.22</v>
      </c>
      <c r="L1294" s="12">
        <v>0.06</v>
      </c>
      <c r="M1294" s="8">
        <v>8</v>
      </c>
      <c r="N1294">
        <v>10</v>
      </c>
      <c r="O1294" s="12">
        <v>13</v>
      </c>
      <c r="BQ1294" s="8">
        <v>8</v>
      </c>
      <c r="BR1294" s="8" t="s">
        <v>2648</v>
      </c>
    </row>
    <row r="1295" spans="1:70" x14ac:dyDescent="0.3">
      <c r="A1295" s="11" t="s">
        <v>2649</v>
      </c>
      <c r="B1295" s="12">
        <v>221800</v>
      </c>
      <c r="C1295" s="12">
        <v>617600</v>
      </c>
      <c r="D1295" s="12">
        <v>0.1</v>
      </c>
      <c r="E1295" s="12">
        <v>0.26</v>
      </c>
      <c r="F1295" s="12">
        <v>0.06</v>
      </c>
      <c r="G1295" s="12">
        <v>0.13</v>
      </c>
      <c r="H1295" s="12">
        <v>0.33</v>
      </c>
      <c r="I1295" s="12">
        <v>0.08</v>
      </c>
      <c r="J1295" s="12">
        <v>0.17</v>
      </c>
      <c r="K1295" s="12">
        <v>0.45</v>
      </c>
      <c r="L1295" s="12">
        <v>0.11</v>
      </c>
      <c r="M1295" s="8">
        <v>6</v>
      </c>
      <c r="N1295">
        <v>8</v>
      </c>
      <c r="O1295" s="12">
        <v>9</v>
      </c>
      <c r="BQ1295" s="8">
        <v>8</v>
      </c>
      <c r="BR1295" s="8" t="s">
        <v>2650</v>
      </c>
    </row>
    <row r="1296" spans="1:70" x14ac:dyDescent="0.3">
      <c r="A1296" s="11" t="s">
        <v>2651</v>
      </c>
      <c r="B1296" s="12">
        <v>183000</v>
      </c>
      <c r="C1296" s="12">
        <v>564000</v>
      </c>
      <c r="D1296" s="12">
        <v>0.06</v>
      </c>
      <c r="E1296" s="12">
        <v>0.14000000000000001</v>
      </c>
      <c r="F1296" s="12">
        <v>0.04</v>
      </c>
      <c r="G1296" s="12">
        <v>7.0000000000000007E-2</v>
      </c>
      <c r="H1296" s="12">
        <v>0.17</v>
      </c>
      <c r="I1296" s="12">
        <v>0.05</v>
      </c>
      <c r="J1296" s="12">
        <v>0.09</v>
      </c>
      <c r="K1296" s="12">
        <v>0.23</v>
      </c>
      <c r="L1296" s="12">
        <v>7.0000000000000007E-2</v>
      </c>
      <c r="M1296" s="8">
        <v>8</v>
      </c>
      <c r="N1296">
        <v>10</v>
      </c>
      <c r="O1296" s="12">
        <v>12</v>
      </c>
      <c r="BQ1296" s="8">
        <v>8</v>
      </c>
      <c r="BR1296" s="8" t="s">
        <v>2652</v>
      </c>
    </row>
    <row r="1297" spans="1:15" x14ac:dyDescent="0.3">
      <c r="A1297" s="11" t="s">
        <v>2653</v>
      </c>
      <c r="B1297" s="12">
        <v>175000</v>
      </c>
      <c r="C1297" s="12">
        <v>583700</v>
      </c>
      <c r="D1297" s="12">
        <v>0.06</v>
      </c>
      <c r="E1297" s="12">
        <v>0.14000000000000001</v>
      </c>
      <c r="F1297" s="12">
        <v>0.04</v>
      </c>
      <c r="G1297" s="12">
        <v>7.0000000000000007E-2</v>
      </c>
      <c r="H1297" s="12">
        <v>0.18</v>
      </c>
      <c r="I1297" s="12">
        <v>0.05</v>
      </c>
      <c r="J1297" s="12">
        <v>0.1</v>
      </c>
      <c r="K1297" s="12">
        <v>0.24</v>
      </c>
      <c r="L1297" s="12">
        <v>7.0000000000000007E-2</v>
      </c>
      <c r="M1297" s="8">
        <v>8</v>
      </c>
      <c r="N1297">
        <v>10</v>
      </c>
      <c r="O1297" s="12">
        <v>12</v>
      </c>
    </row>
    <row r="1298" spans="1:15" x14ac:dyDescent="0.3">
      <c r="A1298" s="11" t="s">
        <v>2654</v>
      </c>
      <c r="B1298" s="12">
        <v>198300</v>
      </c>
      <c r="C1298" s="12">
        <v>632400</v>
      </c>
      <c r="D1298" s="12">
        <v>7.0000000000000007E-2</v>
      </c>
      <c r="E1298" s="12">
        <v>0.17</v>
      </c>
      <c r="F1298" s="12">
        <v>0.04</v>
      </c>
      <c r="G1298" s="12">
        <v>0.08</v>
      </c>
      <c r="H1298" s="12">
        <v>0.21</v>
      </c>
      <c r="I1298" s="12">
        <v>0.06</v>
      </c>
      <c r="J1298" s="12">
        <v>0.11</v>
      </c>
      <c r="K1298" s="12">
        <v>0.27</v>
      </c>
      <c r="L1298" s="12">
        <v>0.08</v>
      </c>
      <c r="M1298" s="8">
        <v>8</v>
      </c>
      <c r="N1298">
        <v>9</v>
      </c>
      <c r="O1298" s="12">
        <v>11</v>
      </c>
    </row>
    <row r="1299" spans="1:15" x14ac:dyDescent="0.3">
      <c r="L1299" s="14"/>
      <c r="M1299" s="14"/>
      <c r="N1299" s="14"/>
      <c r="O1299" s="14"/>
    </row>
    <row r="1300" spans="1:15" x14ac:dyDescent="0.3">
      <c r="D1300" s="8">
        <f t="shared" ref="D1300:K1300" si="32">MAX(D2:D1298)</f>
        <v>0.28999999999999998</v>
      </c>
      <c r="E1300" s="8">
        <f t="shared" si="32"/>
        <v>0.71</v>
      </c>
      <c r="F1300" s="31">
        <f t="shared" si="32"/>
        <v>0.13</v>
      </c>
      <c r="G1300" s="8">
        <f t="shared" si="32"/>
        <v>0.38</v>
      </c>
      <c r="H1300" s="8">
        <f t="shared" si="32"/>
        <v>0.94</v>
      </c>
      <c r="I1300" s="31">
        <f t="shared" si="32"/>
        <v>0.19</v>
      </c>
      <c r="J1300" s="8">
        <f t="shared" si="32"/>
        <v>0.5</v>
      </c>
      <c r="K1300" s="8">
        <f t="shared" si="32"/>
        <v>1.28</v>
      </c>
      <c r="L1300" s="31">
        <f>MAX(L2:L1298)</f>
        <v>0.27</v>
      </c>
    </row>
  </sheetData>
  <sheetProtection algorithmName="SHA-512" hashValue="uo7tt5bWRyWhAnbhxx18yPkZlCeamdR8NX774eKCKPncaWYIzENFwaG4vyUDGNuy4L5ixVGsY1EvVGGHZfgfgw==" saltValue="xkXbtwATPiQzN3itYAJFAw==" spinCount="100000" sheet="1" objects="1" scenarios="1"/>
  <mergeCells count="7">
    <mergeCell ref="AZ19:BA19"/>
    <mergeCell ref="AZ21:BA21"/>
    <mergeCell ref="B1:C1"/>
    <mergeCell ref="D1:F1"/>
    <mergeCell ref="G1:I1"/>
    <mergeCell ref="J1:L1"/>
    <mergeCell ref="M2:O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Michael Amar</dc:creator>
  <cp:keywords/>
  <dc:description/>
  <cp:lastModifiedBy>Michael Amar</cp:lastModifiedBy>
  <cp:revision/>
  <dcterms:created xsi:type="dcterms:W3CDTF">2015-06-05T18:19:34Z</dcterms:created>
  <dcterms:modified xsi:type="dcterms:W3CDTF">2024-07-29T12:38:48Z</dcterms:modified>
  <cp:category/>
  <cp:contentStatus/>
</cp:coreProperties>
</file>