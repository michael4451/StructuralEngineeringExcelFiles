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ostbguacil-my.sharepoint.com/personal/amarmich_post_bgu_ac_il/Documents/SE_Excels/"/>
    </mc:Choice>
  </mc:AlternateContent>
  <xr:revisionPtr revIDLastSave="4105" documentId="8_{66C54EB2-D259-456F-860E-064CD20A2466}" xr6:coauthVersionLast="47" xr6:coauthVersionMax="47" xr10:uidLastSave="{076101B8-5203-40D0-9697-8644283C3CE3}"/>
  <bookViews>
    <workbookView xWindow="-120" yWindow="-120" windowWidth="29040" windowHeight="15840" xr2:uid="{00000000-000D-0000-FFFF-FFFF00000000}"/>
  </bookViews>
  <sheets>
    <sheet name="Anchorage" sheetId="1" r:id="rId1"/>
    <sheet name="S2" sheetId="2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" i="1" l="1"/>
  <c r="L11" i="1" s="1"/>
  <c r="L12" i="1" s="1"/>
  <c r="L16" i="1"/>
  <c r="L9" i="1"/>
  <c r="U2" i="2"/>
  <c r="E11" i="1" s="1"/>
  <c r="B9" i="2"/>
  <c r="C19" i="1" s="1" a="1"/>
  <c r="C19" i="1" s="1"/>
  <c r="C18" i="1"/>
  <c r="F8" i="1" a="1"/>
  <c r="F8" i="1" l="1"/>
  <c r="E10" i="1"/>
  <c r="F11" i="1"/>
  <c r="F10" i="1"/>
  <c r="L15" i="1" l="1"/>
  <c r="L17" i="1" s="1"/>
  <c r="F15" i="1"/>
  <c r="F12" i="1"/>
  <c r="F13" i="1" s="1"/>
  <c r="F16" i="1" l="1"/>
  <c r="D18" i="2"/>
  <c r="F18" i="1" l="1"/>
  <c r="F19" i="1" s="1"/>
  <c r="F24" i="1" s="1"/>
  <c r="L19" i="1"/>
  <c r="L20" i="1" s="1"/>
  <c r="F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Amar</author>
  </authors>
  <commentList>
    <comment ref="H8" authorId="0" shapeId="0" xr:uid="{785B3661-7BA9-408A-8E46-DCDE269ABDC6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חתך מוט ראשי ברשת בכיוון החפייה.</t>
        </r>
      </text>
    </comment>
    <comment ref="H9" authorId="0" shapeId="0" xr:uid="{F1BE691F-6F88-4AD4-8F1E-D1921B779DF7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פסיעת מוטות אלה ברשת.</t>
        </r>
      </text>
    </comment>
    <comment ref="H10" authorId="0" shapeId="0" xr:uid="{D9FC8D80-B217-4AB1-9E0A-C36406E581D1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פסיעת הזיון הניצב ברשת.</t>
        </r>
      </text>
    </comment>
    <comment ref="K12" authorId="0" shapeId="0" xr:uid="{3B456C0E-3B7D-44E0-9382-4EC318E5A499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במקרה ש-α3 ע"פ נוסחה 7.12 גדול מ-2 או קטן מ-1, הוא ייקבע להיות 2 או 1, בהתאמה.</t>
        </r>
      </text>
    </comment>
    <comment ref="E16" authorId="0" shapeId="0" xr:uid="{CB18A796-4339-4E00-8930-66872EDBBE49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במקרה ש-ℓ</t>
        </r>
        <r>
          <rPr>
            <sz val="8"/>
            <color indexed="81"/>
            <rFont val="Tahoma"/>
            <family val="2"/>
          </rPr>
          <t>a0</t>
        </r>
        <r>
          <rPr>
            <sz val="9"/>
            <color indexed="81"/>
            <rFont val="Tahoma"/>
            <family val="2"/>
          </rPr>
          <t xml:space="preserve"> ע"פ נוסחה 7.2 גדול מ-lb או קטן מ-lamin, הוא ייקבע להיות lb או lamin, בהתאמה.</t>
        </r>
      </text>
    </comment>
    <comment ref="E19" authorId="0" shapeId="0" xr:uid="{F7225480-E5D6-41E0-8BD1-DBAAD18F1A9A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במקרה ש-ℓ</t>
        </r>
        <r>
          <rPr>
            <sz val="8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 ע"פ נוסחה 7.3 קטן מ-lamin, הוא ייקבע להיות lamin.</t>
        </r>
      </text>
    </comment>
    <comment ref="K20" authorId="0" shapeId="0" xr:uid="{D21F9A68-EA91-4E6B-9F60-26BD6E9A2A66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במקרה ש-ℓ</t>
        </r>
        <r>
          <rPr>
            <sz val="8"/>
            <color indexed="81"/>
            <rFont val="Tahoma"/>
            <family val="2"/>
          </rPr>
          <t>v</t>
        </r>
        <r>
          <rPr>
            <sz val="9"/>
            <color indexed="81"/>
            <rFont val="Tahoma"/>
            <family val="2"/>
          </rPr>
          <t xml:space="preserve"> ע"פ נוסחה 7.11 קטן מ-lvmin, הוא ייקבע להיות lvmin.</t>
        </r>
      </text>
    </comment>
    <comment ref="E23" authorId="0" shapeId="0" xr:uid="{E8EA8E6F-45BD-437E-A93A-EA2FACA11109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נוסחה 7.5</t>
        </r>
      </text>
    </comment>
    <comment ref="E24" authorId="0" shapeId="0" xr:uid="{FD32659A-1FB1-4D44-B46C-A312F1992F29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נוסחה 7.6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<sst xmlns="http://schemas.openxmlformats.org/spreadsheetml/2006/main" count="86" uniqueCount="75">
  <si>
    <t>בס"ד</t>
  </si>
  <si>
    <t>בטון</t>
  </si>
  <si>
    <t>אגרגט</t>
  </si>
  <si>
    <t>פלדה</t>
  </si>
  <si>
    <t>ב-20</t>
  </si>
  <si>
    <t>ב-25</t>
  </si>
  <si>
    <t>ב-30</t>
  </si>
  <si>
    <t>ב-40</t>
  </si>
  <si>
    <t>ב-50</t>
  </si>
  <si>
    <t>ב-60</t>
  </si>
  <si>
    <t>חוזק אופייני בלחיצה</t>
  </si>
  <si>
    <t>f_ck [M[a]</t>
  </si>
  <si>
    <t>E גירי</t>
  </si>
  <si>
    <t>E דולומיטי</t>
  </si>
  <si>
    <t>פ-240</t>
  </si>
  <si>
    <t>פ-400</t>
  </si>
  <si>
    <t>פ-500</t>
  </si>
  <si>
    <t>fsk</t>
  </si>
  <si>
    <t>fsd</t>
  </si>
  <si>
    <t>f_cd</t>
  </si>
  <si>
    <t>f_ctm</t>
  </si>
  <si>
    <t>f_ctk</t>
  </si>
  <si>
    <t>ח' - טובים</t>
  </si>
  <si>
    <t>ח' - נחותים</t>
  </si>
  <si>
    <t>מ' - טובים</t>
  </si>
  <si>
    <t>מ' - נחותים</t>
  </si>
  <si>
    <t>גירי</t>
  </si>
  <si>
    <t>דולומיטי</t>
  </si>
  <si>
    <t>מוטות</t>
  </si>
  <si>
    <r>
      <t>f</t>
    </r>
    <r>
      <rPr>
        <vertAlign val="subscript"/>
        <sz val="14"/>
        <color theme="0"/>
        <rFont val="Segoe UI"/>
        <family val="2"/>
      </rPr>
      <t>sd</t>
    </r>
    <r>
      <rPr>
        <sz val="14"/>
        <color theme="0"/>
        <rFont val="Segoe UI"/>
        <family val="2"/>
      </rPr>
      <t xml:space="preserve"> [MPa]</t>
    </r>
  </si>
  <si>
    <t>תנאי הידבקות</t>
  </si>
  <si>
    <t>טובים</t>
  </si>
  <si>
    <t>נחותים</t>
  </si>
  <si>
    <t>חלקים</t>
  </si>
  <si>
    <t>מצולעים</t>
  </si>
  <si>
    <r>
      <t>α</t>
    </r>
    <r>
      <rPr>
        <vertAlign val="subscript"/>
        <sz val="14"/>
        <color theme="0"/>
        <rFont val="Segoe UI"/>
        <family val="2"/>
      </rPr>
      <t>1</t>
    </r>
  </si>
  <si>
    <t>ϕ [mm]</t>
  </si>
  <si>
    <r>
      <t>A</t>
    </r>
    <r>
      <rPr>
        <vertAlign val="subscript"/>
        <sz val="14"/>
        <color theme="0"/>
        <rFont val="Segoe UI"/>
        <family val="2"/>
      </rPr>
      <t>s,act</t>
    </r>
    <r>
      <rPr>
        <sz val="14"/>
        <color theme="0"/>
        <rFont val="Segoe UI"/>
        <family val="2"/>
      </rPr>
      <t xml:space="preserve"> [mm</t>
    </r>
    <r>
      <rPr>
        <vertAlign val="superscript"/>
        <sz val="14"/>
        <color theme="0"/>
        <rFont val="Segoe UI"/>
        <family val="2"/>
      </rPr>
      <t>2</t>
    </r>
    <r>
      <rPr>
        <sz val="14"/>
        <color theme="0"/>
        <rFont val="Segoe UI"/>
        <family val="2"/>
      </rPr>
      <t>]</t>
    </r>
  </si>
  <si>
    <r>
      <t>A</t>
    </r>
    <r>
      <rPr>
        <vertAlign val="subscript"/>
        <sz val="14"/>
        <color theme="0"/>
        <rFont val="Segoe UI"/>
        <family val="2"/>
      </rPr>
      <t>s,calc</t>
    </r>
    <r>
      <rPr>
        <sz val="14"/>
        <color theme="0"/>
        <rFont val="Segoe UI"/>
        <family val="2"/>
      </rPr>
      <t xml:space="preserve"> [mm</t>
    </r>
    <r>
      <rPr>
        <vertAlign val="superscript"/>
        <sz val="14"/>
        <color theme="0"/>
        <rFont val="Segoe UI"/>
        <family val="2"/>
      </rPr>
      <t>2</t>
    </r>
    <r>
      <rPr>
        <sz val="14"/>
        <color theme="0"/>
        <rFont val="Segoe UI"/>
        <family val="2"/>
      </rPr>
      <t>]</t>
    </r>
  </si>
  <si>
    <r>
      <t>f</t>
    </r>
    <r>
      <rPr>
        <vertAlign val="subscript"/>
        <sz val="14"/>
        <color theme="0"/>
        <rFont val="Segoe UI"/>
        <family val="2"/>
      </rPr>
      <t>bd</t>
    </r>
    <r>
      <rPr>
        <sz val="14"/>
        <color theme="0"/>
        <rFont val="Segoe UI"/>
        <family val="2"/>
      </rPr>
      <t xml:space="preserve"> [MPa]</t>
    </r>
  </si>
  <si>
    <r>
      <t>ℓ</t>
    </r>
    <r>
      <rPr>
        <vertAlign val="subscript"/>
        <sz val="14"/>
        <color theme="0"/>
        <rFont val="Segoe UI"/>
        <family val="2"/>
      </rPr>
      <t>b</t>
    </r>
    <r>
      <rPr>
        <sz val="14"/>
        <color theme="0"/>
        <rFont val="Segoe UI"/>
        <family val="2"/>
      </rPr>
      <t xml:space="preserve"> [mm]</t>
    </r>
  </si>
  <si>
    <r>
      <t>ℓ</t>
    </r>
    <r>
      <rPr>
        <vertAlign val="subscript"/>
        <sz val="14"/>
        <color theme="0"/>
        <rFont val="Segoe UI"/>
        <family val="2"/>
      </rPr>
      <t>a0</t>
    </r>
    <r>
      <rPr>
        <sz val="14"/>
        <color theme="0"/>
        <rFont val="Segoe UI"/>
        <family val="2"/>
      </rPr>
      <t xml:space="preserve"> [mm]</t>
    </r>
  </si>
  <si>
    <r>
      <t>ℓ</t>
    </r>
    <r>
      <rPr>
        <vertAlign val="subscript"/>
        <sz val="14"/>
        <color theme="0"/>
        <rFont val="Segoe UI"/>
        <family val="2"/>
      </rPr>
      <t>a,min</t>
    </r>
    <r>
      <rPr>
        <sz val="14"/>
        <color theme="0"/>
        <rFont val="Segoe UI"/>
        <family val="2"/>
      </rPr>
      <t xml:space="preserve"> [mm]</t>
    </r>
  </si>
  <si>
    <t>תפקוד</t>
  </si>
  <si>
    <t>מתיחה</t>
  </si>
  <si>
    <t>לחיצה</t>
  </si>
  <si>
    <r>
      <t>ℓ</t>
    </r>
    <r>
      <rPr>
        <vertAlign val="subscript"/>
        <sz val="14"/>
        <color theme="0"/>
        <rFont val="Segoe UI"/>
        <family val="2"/>
      </rPr>
      <t>a</t>
    </r>
    <r>
      <rPr>
        <sz val="14"/>
        <color theme="0"/>
        <rFont val="Segoe UI"/>
        <family val="2"/>
      </rPr>
      <t xml:space="preserve"> [mm]</t>
    </r>
  </si>
  <si>
    <t>בלתי ישירה</t>
  </si>
  <si>
    <r>
      <t>ℓ</t>
    </r>
    <r>
      <rPr>
        <vertAlign val="subscript"/>
        <sz val="14"/>
        <rFont val="Segoe UI"/>
        <family val="2"/>
      </rPr>
      <t>b</t>
    </r>
  </si>
  <si>
    <t>ישירה</t>
  </si>
  <si>
    <t>7.5.5. עיגון מוטות זיון תחתון בסמך קיצוני</t>
  </si>
  <si>
    <r>
      <t>ℓ</t>
    </r>
    <r>
      <rPr>
        <vertAlign val="subscript"/>
        <sz val="14"/>
        <color theme="0"/>
        <rFont val="Segoe UI"/>
        <family val="2"/>
      </rPr>
      <t>a1</t>
    </r>
    <r>
      <rPr>
        <sz val="14"/>
        <color theme="0"/>
        <rFont val="Segoe UI"/>
        <family val="2"/>
      </rPr>
      <t xml:space="preserve"> [mm]</t>
    </r>
  </si>
  <si>
    <r>
      <t>ℓ</t>
    </r>
    <r>
      <rPr>
        <vertAlign val="subscript"/>
        <sz val="14"/>
        <color theme="0"/>
        <rFont val="Segoe UI"/>
        <family val="2"/>
      </rPr>
      <t>a2</t>
    </r>
    <r>
      <rPr>
        <sz val="14"/>
        <color theme="0"/>
        <rFont val="Segoe UI"/>
        <family val="2"/>
      </rPr>
      <t xml:space="preserve"> [mm]</t>
    </r>
  </si>
  <si>
    <r>
      <t>ℓ</t>
    </r>
    <r>
      <rPr>
        <vertAlign val="subscript"/>
        <sz val="14"/>
        <color theme="0"/>
        <rFont val="Segoe UI"/>
        <family val="2"/>
      </rPr>
      <t>v</t>
    </r>
    <r>
      <rPr>
        <sz val="14"/>
        <color theme="0"/>
        <rFont val="Segoe UI"/>
        <family val="2"/>
      </rPr>
      <t xml:space="preserve"> [mm]</t>
    </r>
  </si>
  <si>
    <t>s [cm]</t>
  </si>
  <si>
    <r>
      <t>A</t>
    </r>
    <r>
      <rPr>
        <vertAlign val="subscript"/>
        <sz val="14"/>
        <color theme="0"/>
        <rFont val="Segoe UI"/>
        <family val="2"/>
      </rPr>
      <t>s</t>
    </r>
    <r>
      <rPr>
        <sz val="14"/>
        <color theme="0"/>
        <rFont val="Segoe UI"/>
        <family val="2"/>
      </rPr>
      <t xml:space="preserve"> [mm</t>
    </r>
    <r>
      <rPr>
        <vertAlign val="superscript"/>
        <sz val="14"/>
        <color theme="0"/>
        <rFont val="Segoe UI"/>
        <family val="2"/>
      </rPr>
      <t>2</t>
    </r>
    <r>
      <rPr>
        <sz val="14"/>
        <color theme="0"/>
        <rFont val="Segoe UI"/>
        <family val="2"/>
      </rPr>
      <t>]</t>
    </r>
  </si>
  <si>
    <r>
      <t>A</t>
    </r>
    <r>
      <rPr>
        <vertAlign val="subscript"/>
        <sz val="14"/>
        <color theme="0"/>
        <rFont val="Segoe UI"/>
        <family val="2"/>
      </rPr>
      <t>s</t>
    </r>
    <r>
      <rPr>
        <sz val="14"/>
        <color theme="0"/>
        <rFont val="Segoe UI"/>
        <family val="2"/>
      </rPr>
      <t>/s [mm</t>
    </r>
    <r>
      <rPr>
        <vertAlign val="superscript"/>
        <sz val="14"/>
        <color theme="0"/>
        <rFont val="Segoe UI"/>
        <family val="2"/>
      </rPr>
      <t>2</t>
    </r>
    <r>
      <rPr>
        <sz val="14"/>
        <color theme="0"/>
        <rFont val="Segoe UI"/>
        <family val="2"/>
      </rPr>
      <t>/m]</t>
    </r>
  </si>
  <si>
    <t>אחוז מוטות מקסימלי
מותר בחפייה</t>
  </si>
  <si>
    <r>
      <t>α</t>
    </r>
    <r>
      <rPr>
        <vertAlign val="subscript"/>
        <sz val="14"/>
        <color theme="0"/>
        <rFont val="Segoe UI"/>
        <family val="2"/>
      </rPr>
      <t>3</t>
    </r>
  </si>
  <si>
    <t>חד-שכבתית</t>
  </si>
  <si>
    <t>רב-שכבתית</t>
  </si>
  <si>
    <t>7.8.3. הארכה בחפייה של רשתות זיון מרותכות (חפייה רב שכבתית)</t>
  </si>
  <si>
    <t>7.4. עיגון מוטות זיון בודדים ורשתות זיון</t>
  </si>
  <si>
    <r>
      <t>s</t>
    </r>
    <r>
      <rPr>
        <vertAlign val="subscript"/>
        <sz val="14"/>
        <color theme="0"/>
        <rFont val="Segoe UI"/>
        <family val="2"/>
      </rPr>
      <t>⊥</t>
    </r>
    <r>
      <rPr>
        <sz val="14"/>
        <color theme="0"/>
        <rFont val="Segoe UI"/>
        <family val="2"/>
      </rPr>
      <t xml:space="preserve"> [cm]</t>
    </r>
  </si>
  <si>
    <t>200 [mm]</t>
  </si>
  <si>
    <r>
      <t>s</t>
    </r>
    <r>
      <rPr>
        <vertAlign val="subscript"/>
        <sz val="14"/>
        <color theme="0"/>
        <rFont val="Segoe UI"/>
        <family val="2"/>
      </rPr>
      <t>⊥</t>
    </r>
    <r>
      <rPr>
        <sz val="14"/>
        <color theme="0"/>
        <rFont val="Segoe UI"/>
        <family val="2"/>
      </rPr>
      <t xml:space="preserve"> [mm]</t>
    </r>
  </si>
  <si>
    <r>
      <t>0.3α</t>
    </r>
    <r>
      <rPr>
        <vertAlign val="subscript"/>
        <sz val="14"/>
        <color theme="0"/>
        <rFont val="Segoe UI"/>
        <family val="2"/>
      </rPr>
      <t>3</t>
    </r>
    <r>
      <rPr>
        <sz val="14"/>
        <color theme="0"/>
        <rFont val="Segoe UI"/>
        <family val="2"/>
      </rPr>
      <t>ℓ</t>
    </r>
    <r>
      <rPr>
        <vertAlign val="subscript"/>
        <sz val="14"/>
        <color theme="0"/>
        <rFont val="Segoe UI"/>
        <family val="2"/>
      </rPr>
      <t>b</t>
    </r>
    <r>
      <rPr>
        <sz val="14"/>
        <color theme="0"/>
        <rFont val="Segoe UI"/>
        <family val="2"/>
      </rPr>
      <t xml:space="preserve"> [mm]</t>
    </r>
  </si>
  <si>
    <r>
      <t>ℓ</t>
    </r>
    <r>
      <rPr>
        <vertAlign val="subscript"/>
        <sz val="14"/>
        <color theme="0"/>
        <rFont val="Segoe UI"/>
        <family val="2"/>
      </rPr>
      <t>v,min</t>
    </r>
    <r>
      <rPr>
        <sz val="14"/>
        <color theme="0"/>
        <rFont val="Segoe UI"/>
        <family val="2"/>
      </rPr>
      <t xml:space="preserve"> [mm]</t>
    </r>
  </si>
  <si>
    <t>מחשבון עיגון וחפייה</t>
  </si>
  <si>
    <t>מיכאל עמר | תשפ"ד</t>
  </si>
  <si>
    <r>
      <t>α</t>
    </r>
    <r>
      <rPr>
        <vertAlign val="subscript"/>
        <sz val="14"/>
        <color theme="0"/>
        <rFont val="Segoe UI"/>
        <family val="2"/>
      </rPr>
      <t>3 (7.12)</t>
    </r>
  </si>
  <si>
    <r>
      <t>ℓ</t>
    </r>
    <r>
      <rPr>
        <vertAlign val="subscript"/>
        <sz val="14"/>
        <color theme="0"/>
        <rFont val="Segoe UI"/>
        <family val="2"/>
      </rPr>
      <t>a (7.3)</t>
    </r>
    <r>
      <rPr>
        <sz val="14"/>
        <color theme="0"/>
        <rFont val="Segoe UI"/>
        <family val="2"/>
      </rPr>
      <t xml:space="preserve"> [mm]</t>
    </r>
  </si>
  <si>
    <r>
      <t>ℓ</t>
    </r>
    <r>
      <rPr>
        <vertAlign val="subscript"/>
        <sz val="14"/>
        <color theme="0"/>
        <rFont val="Segoe UI"/>
        <family val="2"/>
      </rPr>
      <t>a0 (7.2)</t>
    </r>
    <r>
      <rPr>
        <sz val="14"/>
        <color theme="0"/>
        <rFont val="Segoe UI"/>
        <family val="2"/>
      </rPr>
      <t xml:space="preserve"> [mm]</t>
    </r>
  </si>
  <si>
    <r>
      <t>ℓ</t>
    </r>
    <r>
      <rPr>
        <vertAlign val="subscript"/>
        <sz val="14"/>
        <color theme="0"/>
        <rFont val="Segoe UI"/>
        <family val="2"/>
      </rPr>
      <t>v (7.11)</t>
    </r>
    <r>
      <rPr>
        <sz val="14"/>
        <color theme="0"/>
        <rFont val="Segoe UI"/>
        <family val="2"/>
      </rPr>
      <t xml:space="preserve"> [mm]</t>
    </r>
  </si>
  <si>
    <t>0.3ℓb [mm]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</si>
</sst>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Segoe UI"/>
      <family val="2"/>
      <scheme val="minor"/>
    </font>
    <font>
      <sz val="11"/>
      <color theme="0"/>
      <name val="Segoe UI"/>
      <family val="2"/>
      <scheme val="minor"/>
    </font>
    <font>
      <sz val="11"/>
      <color theme="0"/>
      <name val="David"/>
      <family val="2"/>
    </font>
    <font>
      <b/>
      <sz val="24"/>
      <color theme="0"/>
      <name val="David"/>
      <family val="2"/>
    </font>
    <font>
      <sz val="14"/>
      <color theme="0"/>
      <name val="David"/>
      <family val="2"/>
    </font>
    <font>
      <sz val="14"/>
      <name val="David"/>
      <family val="2"/>
    </font>
    <font>
      <sz val="16"/>
      <color theme="0"/>
      <name val="David"/>
      <family val="2"/>
    </font>
    <font>
      <sz val="14"/>
      <color theme="0"/>
      <name val="Segoe UI"/>
      <family val="2"/>
    </font>
    <font>
      <vertAlign val="subscript"/>
      <sz val="14"/>
      <color theme="0"/>
      <name val="Segoe UI"/>
      <family val="2"/>
    </font>
    <font>
      <sz val="14"/>
      <name val="Segoe U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perscript"/>
      <sz val="14"/>
      <color theme="0"/>
      <name val="Segoe UI"/>
      <family val="2"/>
    </font>
    <font>
      <sz val="8"/>
      <color indexed="81"/>
      <name val="Tahoma"/>
      <family val="2"/>
    </font>
    <font>
      <sz val="11"/>
      <color theme="1"/>
      <name val="Segoe UI"/>
      <family val="2"/>
      <scheme val="minor"/>
    </font>
    <font>
      <sz val="11"/>
      <name val="David"/>
      <family val="2"/>
    </font>
    <font>
      <sz val="14"/>
      <name val="Segoe UI"/>
      <family val="2"/>
    </font>
    <font>
      <vertAlign val="subscript"/>
      <sz val="14"/>
      <name val="Segoe UI"/>
      <family val="2"/>
    </font>
    <font>
      <sz val="12"/>
      <color theme="0"/>
      <name val="David"/>
      <family val="2"/>
    </font>
    <font>
      <sz val="9"/>
      <color theme="0"/>
      <name val="David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102E"/>
        <bgColor indexed="64"/>
      </patternFill>
    </fill>
    <fill>
      <patternFill patternType="solid">
        <fgColor rgb="FF006F92"/>
        <bgColor indexed="64"/>
      </patternFill>
    </fill>
    <fill>
      <patternFill patternType="solid">
        <fgColor rgb="FF004F68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 applyAlignment="1">
      <alignment readingOrder="2"/>
    </xf>
    <xf numFmtId="0" fontId="2" fillId="0" borderId="0" xfId="0" applyFont="1"/>
    <xf numFmtId="0" fontId="0" fillId="0" borderId="4" xfId="0" applyBorder="1"/>
    <xf numFmtId="0" fontId="1" fillId="5" borderId="4" xfId="0" applyFont="1" applyFill="1" applyBorder="1"/>
    <xf numFmtId="0" fontId="0" fillId="6" borderId="4" xfId="0" applyFill="1" applyBorder="1"/>
    <xf numFmtId="0" fontId="4" fillId="3" borderId="3" xfId="0" applyFont="1" applyFill="1" applyBorder="1" applyAlignment="1">
      <alignment horizontal="right" vertical="center" indent="1"/>
    </xf>
    <xf numFmtId="0" fontId="5" fillId="4" borderId="3" xfId="0" applyFont="1" applyFill="1" applyBorder="1" applyAlignment="1">
      <alignment horizontal="right" vertical="center" indent="1"/>
    </xf>
    <xf numFmtId="0" fontId="9" fillId="4" borderId="3" xfId="0" applyFont="1" applyFill="1" applyBorder="1" applyAlignment="1">
      <alignment horizontal="left" vertical="center" indent="1"/>
    </xf>
    <xf numFmtId="2" fontId="9" fillId="4" borderId="3" xfId="0" applyNumberFormat="1" applyFont="1" applyFill="1" applyBorder="1" applyAlignment="1">
      <alignment horizontal="left" vertical="center" indent="1"/>
    </xf>
    <xf numFmtId="1" fontId="9" fillId="4" borderId="3" xfId="0" applyNumberFormat="1" applyFont="1" applyFill="1" applyBorder="1" applyAlignment="1">
      <alignment horizontal="left" vertical="center" indent="1"/>
    </xf>
    <xf numFmtId="0" fontId="15" fillId="0" borderId="0" xfId="0" applyFont="1"/>
    <xf numFmtId="0" fontId="16" fillId="0" borderId="0" xfId="0" applyFont="1" applyAlignment="1">
      <alignment horizontal="left" vertical="center" indent="1" readingOrder="1"/>
    </xf>
    <xf numFmtId="9" fontId="9" fillId="4" borderId="3" xfId="1" applyFont="1" applyFill="1" applyBorder="1" applyAlignment="1">
      <alignment horizontal="left" vertical="center" indent="1"/>
    </xf>
    <xf numFmtId="0" fontId="7" fillId="7" borderId="3" xfId="0" applyFont="1" applyFill="1" applyBorder="1" applyAlignment="1">
      <alignment horizontal="left" vertical="center" indent="1" readingOrder="1"/>
    </xf>
    <xf numFmtId="0" fontId="4" fillId="7" borderId="3" xfId="0" applyFont="1" applyFill="1" applyBorder="1" applyAlignment="1">
      <alignment horizontal="right" vertical="center" indent="1"/>
    </xf>
    <xf numFmtId="0" fontId="7" fillId="2" borderId="3" xfId="0" applyFont="1" applyFill="1" applyBorder="1" applyAlignment="1">
      <alignment horizontal="left" vertical="center" indent="1" readingOrder="1"/>
    </xf>
    <xf numFmtId="0" fontId="7" fillId="8" borderId="3" xfId="0" applyFont="1" applyFill="1" applyBorder="1" applyAlignment="1">
      <alignment horizontal="left" vertical="center" indent="1" readingOrder="1"/>
    </xf>
    <xf numFmtId="0" fontId="7" fillId="9" borderId="3" xfId="0" applyFont="1" applyFill="1" applyBorder="1" applyAlignment="1">
      <alignment horizontal="left" vertical="center" indent="1" readingOrder="1"/>
    </xf>
    <xf numFmtId="0" fontId="6" fillId="0" borderId="6" xfId="0" applyFont="1" applyBorder="1" applyAlignment="1">
      <alignment horizontal="right" vertical="center" indent="1"/>
    </xf>
    <xf numFmtId="0" fontId="6" fillId="0" borderId="0" xfId="0" applyFont="1" applyAlignment="1">
      <alignment horizontal="right" vertical="center" indent="1"/>
    </xf>
    <xf numFmtId="0" fontId="19" fillId="9" borderId="3" xfId="0" applyFont="1" applyFill="1" applyBorder="1" applyAlignment="1">
      <alignment horizontal="right" vertical="center" wrapText="1" indent="1" readingOrder="1"/>
    </xf>
    <xf numFmtId="0" fontId="5" fillId="4" borderId="3" xfId="0" applyFont="1" applyFill="1" applyBorder="1" applyAlignment="1" applyProtection="1">
      <alignment horizontal="right" vertical="center" indent="1"/>
      <protection locked="0"/>
    </xf>
    <xf numFmtId="0" fontId="9" fillId="4" borderId="3" xfId="0" applyFont="1" applyFill="1" applyBorder="1" applyAlignment="1" applyProtection="1">
      <alignment horizontal="left" vertical="center" indent="1"/>
      <protection locked="0"/>
    </xf>
    <xf numFmtId="2" fontId="9" fillId="4" borderId="3" xfId="0" applyNumberFormat="1" applyFont="1" applyFill="1" applyBorder="1" applyAlignment="1" applyProtection="1">
      <alignment horizontal="left" vertical="center" indent="1"/>
      <protection locked="0"/>
    </xf>
    <xf numFmtId="0" fontId="7" fillId="8" borderId="3" xfId="0" applyFont="1" applyFill="1" applyBorder="1" applyAlignment="1" applyProtection="1">
      <alignment horizontal="left" vertical="center" indent="1" readingOrder="1"/>
      <protection locked="0"/>
    </xf>
    <xf numFmtId="0" fontId="6" fillId="0" borderId="5" xfId="0" applyFont="1" applyBorder="1" applyAlignment="1">
      <alignment horizontal="center" vertical="center" readingOrder="2"/>
    </xf>
    <xf numFmtId="0" fontId="3" fillId="2" borderId="2" xfId="0" applyFont="1" applyFill="1" applyBorder="1" applyAlignment="1">
      <alignment horizontal="right" vertical="center" indent="3"/>
    </xf>
    <xf numFmtId="0" fontId="3" fillId="2" borderId="0" xfId="0" applyFont="1" applyFill="1" applyAlignment="1">
      <alignment horizontal="right" vertical="center" indent="3"/>
    </xf>
    <xf numFmtId="0" fontId="3" fillId="2" borderId="1" xfId="0" applyFont="1" applyFill="1" applyBorder="1" applyAlignment="1">
      <alignment horizontal="right" vertical="center" indent="3"/>
    </xf>
    <xf numFmtId="0" fontId="18" fillId="0" borderId="5" xfId="0" applyFont="1" applyBorder="1" applyAlignment="1">
      <alignment horizontal="center" vertical="center" readingOrder="2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6F92"/>
      <color rgb="FF004F68"/>
      <color rgb="FFC8102E"/>
      <color rgb="FF360000"/>
      <color rgb="FF580000"/>
      <color rgb="FF00FA18"/>
      <color rgb="FF008A3E"/>
      <color rgb="FFFF9201"/>
      <color rgb="FF8A0000"/>
      <color rgb="FF4C21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Custom_M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 UI">
      <a:majorFont>
        <a:latin typeface="Segoe UI"/>
        <a:ea typeface=""/>
        <a:cs typeface="Segoe UI"/>
      </a:majorFont>
      <a:minorFont>
        <a:latin typeface="Segoe UI"/>
        <a:ea typeface=""/>
        <a:cs typeface="Segoe U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33"/>
  <sheetViews>
    <sheetView showGridLines="0" rightToLeft="1" tabSelected="1" zoomScaleNormal="100" workbookViewId="0">
      <selection activeCell="C14" sqref="C14"/>
    </sheetView>
  </sheetViews>
  <sheetFormatPr defaultColWidth="0" defaultRowHeight="15" zeroHeight="1" x14ac:dyDescent="0.25"/>
  <cols>
    <col min="1" max="1" width="6.625" style="2" customWidth="1"/>
    <col min="2" max="2" width="17" style="2" bestFit="1" customWidth="1"/>
    <col min="3" max="3" width="15.625" style="2" customWidth="1"/>
    <col min="4" max="4" width="5" style="2" customWidth="1"/>
    <col min="5" max="5" width="19" style="2" customWidth="1"/>
    <col min="6" max="6" width="14.25" style="2" customWidth="1"/>
    <col min="7" max="7" width="8" style="2" customWidth="1"/>
    <col min="8" max="9" width="13.375" style="2" customWidth="1"/>
    <col min="10" max="10" width="8" style="2" customWidth="1"/>
    <col min="11" max="11" width="18.875" style="2" customWidth="1"/>
    <col min="12" max="12" width="17.625" style="2" customWidth="1"/>
    <col min="13" max="14" width="9" style="2" customWidth="1"/>
    <col min="15" max="16384" width="9" style="2" hidden="1"/>
  </cols>
  <sheetData>
    <row r="1" spans="1:12" ht="15.75" thickBot="1" x14ac:dyDescent="0.3">
      <c r="A1" s="1" t="s">
        <v>0</v>
      </c>
    </row>
    <row r="2" spans="1:12" ht="15.75" thickTop="1" x14ac:dyDescent="0.25">
      <c r="B2" s="27" t="s">
        <v>68</v>
      </c>
      <c r="C2" s="27"/>
      <c r="D2" s="27"/>
      <c r="E2" s="27"/>
      <c r="F2" s="27"/>
      <c r="G2" s="27"/>
      <c r="H2" s="27"/>
      <c r="I2" s="27"/>
      <c r="J2" s="27"/>
      <c r="K2" s="27"/>
      <c r="L2" s="27"/>
    </row>
    <row r="3" spans="1:12" x14ac:dyDescent="0.2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</row>
    <row r="4" spans="1:12" ht="15.75" thickBot="1" x14ac:dyDescent="0.3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</row>
    <row r="5" spans="1:12" ht="15.75" thickTop="1" x14ac:dyDescent="0.25"/>
    <row r="6" spans="1:12" ht="24" customHeight="1" x14ac:dyDescent="0.25">
      <c r="B6" s="26" t="s">
        <v>62</v>
      </c>
      <c r="C6" s="26"/>
      <c r="D6" s="26"/>
      <c r="E6" s="26"/>
      <c r="F6" s="26"/>
      <c r="H6" s="26" t="s">
        <v>61</v>
      </c>
      <c r="I6" s="26"/>
      <c r="J6" s="26"/>
      <c r="K6" s="26"/>
      <c r="L6" s="26"/>
    </row>
    <row r="7" spans="1:12" ht="15.75" customHeight="1" x14ac:dyDescent="0.25"/>
    <row r="8" spans="1:12" ht="24" customHeight="1" x14ac:dyDescent="0.25">
      <c r="B8" s="15" t="s">
        <v>1</v>
      </c>
      <c r="C8" s="22" t="s">
        <v>7</v>
      </c>
      <c r="E8" s="18" t="s">
        <v>40</v>
      </c>
      <c r="F8" s="9" cm="1">
        <f t="array" ref="F8">l_b(C13,C18,C19)</f>
        <v>672.68041237113403</v>
      </c>
      <c r="H8" s="14" t="s">
        <v>55</v>
      </c>
      <c r="I8" s="24">
        <v>113.1</v>
      </c>
      <c r="K8" s="18" t="s">
        <v>56</v>
      </c>
      <c r="L8" s="9">
        <f>I8/(I9/100)</f>
        <v>565.49999999999989</v>
      </c>
    </row>
    <row r="9" spans="1:12" ht="24" customHeight="1" x14ac:dyDescent="0.25">
      <c r="B9" s="15" t="s">
        <v>3</v>
      </c>
      <c r="C9" s="22" t="s">
        <v>16</v>
      </c>
      <c r="H9" s="14" t="s">
        <v>54</v>
      </c>
      <c r="I9" s="23">
        <v>20</v>
      </c>
      <c r="K9" s="21" t="s">
        <v>57</v>
      </c>
      <c r="L9" s="13">
        <f>IF(L8&lt;=1200,100%,60%)</f>
        <v>1</v>
      </c>
    </row>
    <row r="10" spans="1:12" ht="24" customHeight="1" x14ac:dyDescent="0.25">
      <c r="B10" s="15" t="s">
        <v>28</v>
      </c>
      <c r="C10" s="22" t="s">
        <v>34</v>
      </c>
      <c r="E10" s="17" t="str">
        <f>IF('S2'!U2,"10ϕ [mm]","15ϕ [mm]")</f>
        <v>10ϕ [mm]</v>
      </c>
      <c r="F10" s="10">
        <f>IF('S2'!U2,10*C13,15*C13)</f>
        <v>180</v>
      </c>
      <c r="H10" s="14" t="s">
        <v>63</v>
      </c>
      <c r="I10" s="23">
        <v>20</v>
      </c>
    </row>
    <row r="11" spans="1:12" ht="24" customHeight="1" x14ac:dyDescent="0.25">
      <c r="B11" s="15" t="s">
        <v>30</v>
      </c>
      <c r="C11" s="22" t="s">
        <v>31</v>
      </c>
      <c r="E11" s="17" t="str">
        <f>IF('S2'!U2,"100 [mm]","150 [mm]")</f>
        <v>100 [mm]</v>
      </c>
      <c r="F11" s="10">
        <f>IF('S2'!U2,100,150)</f>
        <v>100</v>
      </c>
      <c r="K11" s="17" t="s">
        <v>70</v>
      </c>
      <c r="L11" s="9">
        <f>0.4+L8/800</f>
        <v>1.1068749999999998</v>
      </c>
    </row>
    <row r="12" spans="1:12" ht="24" customHeight="1" x14ac:dyDescent="0.25">
      <c r="B12" s="15" t="s">
        <v>43</v>
      </c>
      <c r="C12" s="22" t="s">
        <v>44</v>
      </c>
      <c r="E12" s="25" t="s">
        <v>74</v>
      </c>
      <c r="F12" s="9">
        <f>IF('S2'!U2,0.3*F8,0.6*F8)</f>
        <v>201.8041237113402</v>
      </c>
      <c r="K12" s="18" t="s">
        <v>58</v>
      </c>
      <c r="L12" s="9">
        <f>IF(L11&gt;2,2,IF(L11&lt;1,1,L11))</f>
        <v>1.1068749999999998</v>
      </c>
    </row>
    <row r="13" spans="1:12" ht="24" customHeight="1" x14ac:dyDescent="0.25">
      <c r="B13" s="14" t="s">
        <v>36</v>
      </c>
      <c r="C13" s="23">
        <v>18</v>
      </c>
      <c r="E13" s="18" t="s">
        <v>42</v>
      </c>
      <c r="F13" s="9">
        <f>MAX(F10:F12)</f>
        <v>201.8041237113402</v>
      </c>
    </row>
    <row r="14" spans="1:12" ht="24" customHeight="1" x14ac:dyDescent="0.25">
      <c r="B14" s="14" t="s">
        <v>38</v>
      </c>
      <c r="C14" s="23">
        <v>558</v>
      </c>
      <c r="K14" s="17" t="s">
        <v>64</v>
      </c>
      <c r="L14" s="10">
        <v>200</v>
      </c>
    </row>
    <row r="15" spans="1:12" ht="24" customHeight="1" x14ac:dyDescent="0.25">
      <c r="B15" s="14" t="s">
        <v>37</v>
      </c>
      <c r="C15" s="23">
        <v>565</v>
      </c>
      <c r="E15" s="17" t="s">
        <v>72</v>
      </c>
      <c r="F15" s="9">
        <f>F8*C14/C15</f>
        <v>664.34631876653589</v>
      </c>
      <c r="K15" s="17" t="s">
        <v>66</v>
      </c>
      <c r="L15" s="9">
        <f>0.3*L12*F8</f>
        <v>223.37193943298965</v>
      </c>
    </row>
    <row r="16" spans="1:12" ht="24" customHeight="1" x14ac:dyDescent="0.25">
      <c r="B16" s="14" t="s">
        <v>35</v>
      </c>
      <c r="C16" s="23">
        <v>0.7</v>
      </c>
      <c r="E16" s="18" t="s">
        <v>41</v>
      </c>
      <c r="F16" s="9">
        <f>IF(F15&gt;F8,F8,IF(F15&lt;F13,F13,F15))</f>
        <v>664.34631876653589</v>
      </c>
      <c r="K16" s="17" t="s">
        <v>65</v>
      </c>
      <c r="L16" s="10">
        <f>I10*10</f>
        <v>200</v>
      </c>
    </row>
    <row r="17" spans="2:12" ht="24" customHeight="1" x14ac:dyDescent="0.25">
      <c r="K17" s="18" t="s">
        <v>67</v>
      </c>
      <c r="L17" s="10">
        <f>MAX(L14:L16)</f>
        <v>223.37193943298965</v>
      </c>
    </row>
    <row r="18" spans="2:12" ht="24" customHeight="1" x14ac:dyDescent="0.25">
      <c r="B18" s="16" t="s">
        <v>29</v>
      </c>
      <c r="C18" s="8">
        <f>INDEX('S2'!L4:N4,MATCH(C9,'S2'!L2:N2))</f>
        <v>435</v>
      </c>
      <c r="E18" s="17" t="s">
        <v>71</v>
      </c>
      <c r="F18" s="9">
        <f>C16*F16</f>
        <v>465.04242313657511</v>
      </c>
    </row>
    <row r="19" spans="2:12" ht="24" customHeight="1" x14ac:dyDescent="0.25">
      <c r="B19" s="16" t="s">
        <v>39</v>
      </c>
      <c r="C19" s="8" cm="1">
        <f t="array" ref="C19">INDEX('S2'!D9:I12,'S2'!B9,MATCH(C8,'S2'!D2:I2))</f>
        <v>2.91</v>
      </c>
      <c r="E19" s="18" t="s">
        <v>46</v>
      </c>
      <c r="F19" s="9">
        <f>IF(F18&lt;F13,F13,F18)</f>
        <v>465.04242313657511</v>
      </c>
      <c r="K19" s="17" t="s">
        <v>73</v>
      </c>
      <c r="L19" s="9">
        <f>L12*F16</f>
        <v>735.34833158470929</v>
      </c>
    </row>
    <row r="20" spans="2:12" ht="24" customHeight="1" x14ac:dyDescent="0.25">
      <c r="K20" s="18" t="s">
        <v>53</v>
      </c>
      <c r="L20" s="9">
        <f>IF(L19&lt;L17,L17,L19)</f>
        <v>735.34833158470929</v>
      </c>
    </row>
    <row r="21" spans="2:12" ht="24" customHeight="1" x14ac:dyDescent="0.25">
      <c r="E21" s="30" t="s">
        <v>50</v>
      </c>
      <c r="F21" s="30"/>
    </row>
    <row r="22" spans="2:12" ht="24" customHeight="1" x14ac:dyDescent="0.25"/>
    <row r="23" spans="2:12" ht="24" customHeight="1" x14ac:dyDescent="0.25">
      <c r="E23" s="18" t="s">
        <v>51</v>
      </c>
      <c r="F23" s="9">
        <f>(2/3)*F19</f>
        <v>310.02828209105007</v>
      </c>
    </row>
    <row r="24" spans="2:12" ht="24" customHeight="1" x14ac:dyDescent="0.25">
      <c r="E24" s="18" t="s">
        <v>52</v>
      </c>
      <c r="F24" s="9">
        <f>F19</f>
        <v>465.04242313657511</v>
      </c>
    </row>
    <row r="25" spans="2:12" ht="24" customHeight="1" x14ac:dyDescent="0.25"/>
    <row r="26" spans="2:12" ht="24" customHeight="1" x14ac:dyDescent="0.25"/>
    <row r="27" spans="2:12" ht="24" customHeight="1" x14ac:dyDescent="0.25"/>
    <row r="28" spans="2:12" ht="24" customHeight="1" x14ac:dyDescent="0.25">
      <c r="B28" s="20"/>
    </row>
    <row r="29" spans="2:12" ht="24" customHeight="1" x14ac:dyDescent="0.25">
      <c r="B29" s="20"/>
    </row>
    <row r="30" spans="2:12" ht="24" customHeight="1" x14ac:dyDescent="0.25">
      <c r="B30" s="20"/>
    </row>
    <row r="31" spans="2:12" ht="24" customHeight="1" x14ac:dyDescent="0.25">
      <c r="B31" s="20"/>
    </row>
    <row r="32" spans="2:12" ht="24" customHeight="1" x14ac:dyDescent="0.25">
      <c r="B32" s="19" t="s">
        <v>69</v>
      </c>
    </row>
    <row r="33" s="2" customFormat="1" ht="24" customHeight="1" x14ac:dyDescent="0.25"/>
  </sheetData>
  <sheetProtection algorithmName="SHA-512" hashValue="sj/dXCVTV5xu+wamwDogtHjdKRld5YTSMNzWi93wLvuXSnhatfR9+qGhvFXOOzUW3gtAtM12UNXK4eF3cAlKOw==" saltValue="ePVf3TBx+TlVTo8t6Kb6xg==" spinCount="100000" sheet="1" objects="1" scenarios="1" selectLockedCells="1"/>
  <mergeCells count="4">
    <mergeCell ref="H6:L6"/>
    <mergeCell ref="B6:F6"/>
    <mergeCell ref="B2:L4"/>
    <mergeCell ref="E21:F21"/>
  </mergeCells>
  <dataValidations count="3">
    <dataValidation type="decimal" operator="greaterThan" allowBlank="1" showInputMessage="1" showErrorMessage="1" sqref="C13" xr:uid="{C58592B3-C99C-4945-9468-179D98F894DF}">
      <formula1>0</formula1>
    </dataValidation>
    <dataValidation type="decimal" operator="greaterThanOrEqual" allowBlank="1" showInputMessage="1" showErrorMessage="1" error="As,calc לא יכול להיות יותר גדול מ-As,act!" sqref="C15" xr:uid="{5366601C-F586-4FC2-A065-9805DBE27827}">
      <formula1>C14</formula1>
    </dataValidation>
    <dataValidation type="decimal" operator="lessThanOrEqual" allowBlank="1" showInputMessage="1" showErrorMessage="1" error="As,calc לא יכול להיות יותר גדול מ-As,act!" sqref="C14" xr:uid="{9B8B672D-A815-4A66-86D6-9ECC02286E8B}">
      <formula1>C15</formula1>
    </dataValidation>
  </dataValidations>
  <pageMargins left="0.7" right="0.7" top="0.75" bottom="0.75" header="0.3" footer="0.3"/>
  <pageSetup orientation="portrait" r:id="rId1"/>
  <legacy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175934E6-F9BC-48B3-BE7D-3D35AB85FD9C}">
          <x14:formula1>
            <xm:f>'S2'!$D$2:$I$2</xm:f>
          </x14:formula1>
          <xm:sqref>C8</xm:sqref>
        </x14:dataValidation>
        <x14:dataValidation type="list" allowBlank="1" showInputMessage="1" showErrorMessage="1" xr:uid="{0F55BE58-C451-468F-A611-78B3D1C9CC35}">
          <x14:formula1>
            <xm:f>'S2'!$L$2:$N$2</xm:f>
          </x14:formula1>
          <xm:sqref>C9</xm:sqref>
        </x14:dataValidation>
        <x14:dataValidation type="list" operator="greaterThan" allowBlank="1" showInputMessage="1" showErrorMessage="1" xr:uid="{71F32F63-A51D-4DA3-8B6B-0454D8B733F5}">
          <x14:formula1>
            <xm:f>'S2'!$Q$2:$Q$3</xm:f>
          </x14:formula1>
          <xm:sqref>C10</xm:sqref>
        </x14:dataValidation>
        <x14:dataValidation type="list" operator="greaterThan" allowBlank="1" showInputMessage="1" showErrorMessage="1" xr:uid="{D35BC933-63B0-4871-8984-DACC35DDDB1F}">
          <x14:formula1>
            <xm:f>'S2'!$P$2:$P$3</xm:f>
          </x14:formula1>
          <xm:sqref>C11</xm:sqref>
        </x14:dataValidation>
        <x14:dataValidation type="list" operator="greaterThan" allowBlank="1" showInputMessage="1" showErrorMessage="1" xr:uid="{6BF863C0-6A05-4898-B13A-4DD5F1A71131}">
          <x14:formula1>
            <xm:f>'S2'!$R$2:$R$4</xm:f>
          </x14:formula1>
          <xm:sqref>C16</xm:sqref>
        </x14:dataValidation>
        <x14:dataValidation type="list" operator="greaterThan" allowBlank="1" showInputMessage="1" showErrorMessage="1" xr:uid="{72C93813-A8B4-42CA-8E9D-7E02750A84B1}">
          <x14:formula1>
            <xm:f>'S2'!$S$2:$S$3</xm:f>
          </x14:formula1>
          <xm:sqref>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C4F26-B582-426C-9A7C-1F8A8A51321B}">
  <sheetPr codeName="Sheet3"/>
  <dimension ref="B2:X22"/>
  <sheetViews>
    <sheetView rightToLeft="1" zoomScale="70" zoomScaleNormal="70" workbookViewId="0">
      <selection activeCell="X4" sqref="X4"/>
    </sheetView>
  </sheetViews>
  <sheetFormatPr defaultRowHeight="16.5" x14ac:dyDescent="0.3"/>
  <cols>
    <col min="2" max="2" width="15.875" customWidth="1"/>
    <col min="3" max="3" width="9.75" customWidth="1"/>
  </cols>
  <sheetData>
    <row r="2" spans="2:24" x14ac:dyDescent="0.3"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K2" s="4" t="s">
        <v>3</v>
      </c>
      <c r="L2" s="4" t="s">
        <v>14</v>
      </c>
      <c r="M2" s="4" t="s">
        <v>15</v>
      </c>
      <c r="N2" s="4" t="s">
        <v>16</v>
      </c>
      <c r="P2" t="s">
        <v>32</v>
      </c>
      <c r="Q2" t="s">
        <v>33</v>
      </c>
      <c r="R2">
        <v>1</v>
      </c>
      <c r="S2" t="s">
        <v>44</v>
      </c>
      <c r="U2" s="11">
        <f>IF(Anchorage!C12="מתיחה",1,0)</f>
        <v>1</v>
      </c>
      <c r="W2" t="s">
        <v>49</v>
      </c>
      <c r="X2" t="s">
        <v>59</v>
      </c>
    </row>
    <row r="3" spans="2:24" ht="20.25" x14ac:dyDescent="0.3">
      <c r="B3" t="s">
        <v>10</v>
      </c>
      <c r="C3" t="s">
        <v>11</v>
      </c>
      <c r="D3" s="3">
        <v>20</v>
      </c>
      <c r="E3" s="3">
        <v>25</v>
      </c>
      <c r="F3" s="3">
        <v>30</v>
      </c>
      <c r="G3" s="3">
        <v>40</v>
      </c>
      <c r="H3" s="3">
        <v>50</v>
      </c>
      <c r="I3" s="3">
        <v>60</v>
      </c>
      <c r="K3" s="3" t="s">
        <v>17</v>
      </c>
      <c r="L3" s="3">
        <v>240</v>
      </c>
      <c r="M3" s="3">
        <v>400</v>
      </c>
      <c r="N3" s="3">
        <v>500</v>
      </c>
      <c r="P3" t="s">
        <v>31</v>
      </c>
      <c r="Q3" t="s">
        <v>34</v>
      </c>
      <c r="R3">
        <v>0.7</v>
      </c>
      <c r="S3" t="s">
        <v>45</v>
      </c>
      <c r="U3" s="12" t="s">
        <v>48</v>
      </c>
      <c r="W3" t="s">
        <v>47</v>
      </c>
      <c r="X3" t="s">
        <v>60</v>
      </c>
    </row>
    <row r="4" spans="2:24" x14ac:dyDescent="0.3">
      <c r="C4" t="s">
        <v>12</v>
      </c>
      <c r="D4" s="5">
        <v>23800</v>
      </c>
      <c r="E4" s="5">
        <v>25000</v>
      </c>
      <c r="F4" s="5">
        <v>26200</v>
      </c>
      <c r="G4" s="5">
        <v>28200</v>
      </c>
      <c r="H4" s="5">
        <v>30000</v>
      </c>
      <c r="I4" s="5">
        <v>31700</v>
      </c>
      <c r="K4" s="3" t="s">
        <v>18</v>
      </c>
      <c r="L4" s="3">
        <v>200</v>
      </c>
      <c r="M4" s="3">
        <v>350</v>
      </c>
      <c r="N4" s="3">
        <v>435</v>
      </c>
      <c r="R4">
        <v>0.5</v>
      </c>
    </row>
    <row r="5" spans="2:24" x14ac:dyDescent="0.3">
      <c r="C5" t="s">
        <v>13</v>
      </c>
      <c r="D5" s="5">
        <v>26500</v>
      </c>
      <c r="E5" s="5">
        <v>27800</v>
      </c>
      <c r="F5" s="5">
        <v>29100</v>
      </c>
      <c r="G5" s="5">
        <v>31400</v>
      </c>
      <c r="H5" s="5">
        <v>33400</v>
      </c>
      <c r="I5" s="5">
        <v>35200</v>
      </c>
    </row>
    <row r="6" spans="2:24" x14ac:dyDescent="0.3">
      <c r="C6" t="s">
        <v>19</v>
      </c>
      <c r="D6" s="3">
        <v>8.6999999999999993</v>
      </c>
      <c r="E6" s="3">
        <v>10.9</v>
      </c>
      <c r="F6" s="3">
        <v>13</v>
      </c>
      <c r="G6" s="3">
        <v>17.399999999999999</v>
      </c>
      <c r="H6" s="3">
        <v>21.7</v>
      </c>
      <c r="I6" s="3">
        <v>26</v>
      </c>
      <c r="K6" s="3"/>
      <c r="L6" s="3" t="s">
        <v>33</v>
      </c>
      <c r="M6" s="3" t="s">
        <v>34</v>
      </c>
    </row>
    <row r="7" spans="2:24" x14ac:dyDescent="0.3">
      <c r="C7" t="s">
        <v>21</v>
      </c>
      <c r="D7" s="3">
        <v>1.2</v>
      </c>
      <c r="E7" s="3">
        <v>1.4</v>
      </c>
      <c r="F7" s="3">
        <v>1.6</v>
      </c>
      <c r="G7" s="3">
        <v>1.9</v>
      </c>
      <c r="H7" s="3">
        <v>2.2000000000000002</v>
      </c>
      <c r="I7" s="3">
        <v>2.5</v>
      </c>
      <c r="K7" s="3" t="s">
        <v>32</v>
      </c>
      <c r="L7" s="3">
        <v>2</v>
      </c>
      <c r="M7" s="3">
        <v>4</v>
      </c>
    </row>
    <row r="8" spans="2:24" x14ac:dyDescent="0.3">
      <c r="C8" t="s">
        <v>20</v>
      </c>
      <c r="D8" s="3">
        <v>1.7</v>
      </c>
      <c r="E8" s="3">
        <v>2</v>
      </c>
      <c r="F8" s="3">
        <v>2.2999999999999998</v>
      </c>
      <c r="G8" s="3">
        <v>2.8</v>
      </c>
      <c r="H8" s="3">
        <v>3.2</v>
      </c>
      <c r="I8" s="3">
        <v>3.6</v>
      </c>
      <c r="K8" s="3" t="s">
        <v>31</v>
      </c>
      <c r="L8" s="3">
        <v>1</v>
      </c>
      <c r="M8" s="3">
        <v>3</v>
      </c>
    </row>
    <row r="9" spans="2:24" x14ac:dyDescent="0.3">
      <c r="B9">
        <f>INDEX(L7:M8,MATCH(Anchorage!C11,K7:K8,0),MATCH(Anchorage!C10,L6:M6,0))</f>
        <v>3</v>
      </c>
      <c r="C9" t="s">
        <v>22</v>
      </c>
      <c r="D9" s="5">
        <v>0.89</v>
      </c>
      <c r="E9" s="5">
        <v>1</v>
      </c>
      <c r="F9" s="5">
        <v>1.1200000000000001</v>
      </c>
      <c r="G9" s="5">
        <v>1.27</v>
      </c>
      <c r="H9" s="5">
        <v>1.43</v>
      </c>
      <c r="I9" s="5">
        <v>1.6</v>
      </c>
    </row>
    <row r="10" spans="2:24" x14ac:dyDescent="0.3">
      <c r="C10" t="s">
        <v>23</v>
      </c>
      <c r="D10" s="5">
        <v>0.62</v>
      </c>
      <c r="E10" s="5">
        <v>0.7</v>
      </c>
      <c r="F10" s="5">
        <v>0.78</v>
      </c>
      <c r="G10" s="5">
        <v>0.89</v>
      </c>
      <c r="H10" s="5">
        <v>1</v>
      </c>
      <c r="I10" s="5">
        <v>1.1200000000000001</v>
      </c>
    </row>
    <row r="11" spans="2:24" x14ac:dyDescent="0.3">
      <c r="C11" t="s">
        <v>24</v>
      </c>
      <c r="D11" s="5">
        <v>1.81</v>
      </c>
      <c r="E11" s="5">
        <v>2.1</v>
      </c>
      <c r="F11" s="5">
        <v>2.4500000000000002</v>
      </c>
      <c r="G11" s="5">
        <v>2.91</v>
      </c>
      <c r="H11" s="5">
        <v>3.4</v>
      </c>
      <c r="I11" s="5">
        <v>3.97</v>
      </c>
    </row>
    <row r="12" spans="2:24" x14ac:dyDescent="0.3">
      <c r="C12" t="s">
        <v>25</v>
      </c>
      <c r="D12" s="5">
        <v>1.26</v>
      </c>
      <c r="E12" s="5">
        <v>1.47</v>
      </c>
      <c r="F12" s="5">
        <v>1.71</v>
      </c>
      <c r="G12" s="5">
        <v>2.04</v>
      </c>
      <c r="H12" s="5">
        <v>2.38</v>
      </c>
      <c r="I12" s="5">
        <v>2.78</v>
      </c>
    </row>
    <row r="14" spans="2:24" x14ac:dyDescent="0.3">
      <c r="D14" s="4" t="s">
        <v>26</v>
      </c>
    </row>
    <row r="15" spans="2:24" x14ac:dyDescent="0.3">
      <c r="D15" s="4" t="s">
        <v>27</v>
      </c>
    </row>
    <row r="18" spans="4:8" x14ac:dyDescent="0.3">
      <c r="D18" s="2">
        <f>IF(Anchorage!C16&gt;Anchorage!F15,1,0)</f>
        <v>0</v>
      </c>
    </row>
    <row r="22" spans="4:8" ht="18.75" x14ac:dyDescent="0.3">
      <c r="G22" s="6" t="s">
        <v>2</v>
      </c>
      <c r="H22" s="7" t="s">
        <v>26</v>
      </c>
    </row>
  </sheetData>
  <dataValidations count="1">
    <dataValidation type="list" allowBlank="1" showInputMessage="1" showErrorMessage="1" sqref="H22" xr:uid="{86CECDF5-9A1C-48AC-9349-B9E50D43EB09}">
      <formula1>$D$14:$D$15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1</vt:i4>
      </vt:variant>
    </vt:vector>
  </HeadingPairs>
  <TitlesOfParts>
    <vt:vector size="1" baseType="lpstr">
      <vt:lpstr>Anchorage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Amar</dc:creator>
  <cp:lastModifiedBy>Michael Amar</cp:lastModifiedBy>
  <dcterms:created xsi:type="dcterms:W3CDTF">2015-06-05T18:17:20Z</dcterms:created>
  <dcterms:modified xsi:type="dcterms:W3CDTF">2024-08-07T17:12:01Z</dcterms:modified>
</cp:coreProperties>
</file>