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ostbguacil-my.sharepoint.com/personal/amarmich_post_bgu_ac_il/Documents/SE_Excels/"/>
    </mc:Choice>
  </mc:AlternateContent>
  <xr:revisionPtr revIDLastSave="369" documentId="13_ncr:1_{E9C07F17-BC1E-450A-87DB-8169BC875F68}" xr6:coauthVersionLast="47" xr6:coauthVersionMax="47" xr10:uidLastSave="{AA5DD588-8A86-40F7-A71A-B37627CE2272}"/>
  <bookViews>
    <workbookView xWindow="-120" yWindow="-120" windowWidth="29040" windowHeight="15840" tabRatio="601" xr2:uid="{00000000-000D-0000-FFFF-FFFF00000000}"/>
  </bookViews>
  <sheets>
    <sheet name="Calculator" sheetId="10" r:id="rId1"/>
    <sheet name="S2" sheetId="4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3" i="10" l="1"/>
  <c r="N23" i="10"/>
  <c r="I50" i="10" a="1"/>
  <c r="I15" i="10" a="1"/>
  <c r="F26" i="10" a="1"/>
  <c r="I15" i="10" l="1"/>
  <c r="F26" i="10"/>
  <c r="I50" i="10"/>
  <c r="F36" i="10"/>
  <c r="Q2" i="10" l="1"/>
  <c r="N25" i="10"/>
  <c r="I35" i="10"/>
  <c r="I52" i="10"/>
  <c r="I51" i="10"/>
  <c r="Q3" i="10"/>
  <c r="H16" i="10"/>
  <c r="I16" i="10"/>
  <c r="I18" i="10"/>
  <c r="I17" i="10"/>
  <c r="B25" i="4"/>
  <c r="I30" i="10"/>
  <c r="I33" i="10"/>
  <c r="I31" i="10"/>
  <c r="O17" i="10"/>
  <c r="O20" i="10"/>
  <c r="N26" i="10"/>
  <c r="N24" i="10"/>
  <c r="N27" i="10"/>
  <c r="N28" i="10"/>
  <c r="H9" i="10"/>
  <c r="H62" i="10"/>
  <c r="F17" i="10"/>
  <c r="F16" i="10"/>
  <c r="I78" i="10"/>
  <c r="I76" i="10"/>
  <c r="I74" i="10"/>
  <c r="I73" i="10"/>
  <c r="I63" i="10"/>
  <c r="I55" i="10"/>
  <c r="I54" i="10"/>
  <c r="C11" i="10" a="1"/>
  <c r="C10" i="10" a="1"/>
  <c r="C12" i="10" a="1"/>
  <c r="C22" i="10" a="1"/>
  <c r="C23" i="10" a="1"/>
  <c r="C21" i="10" a="1"/>
  <c r="I34" i="10" l="1"/>
  <c r="C12" i="10"/>
  <c r="I53" i="10"/>
  <c r="C11" i="10"/>
  <c r="C23" i="10"/>
  <c r="C22" i="10"/>
  <c r="C21" i="10"/>
  <c r="C10" i="10"/>
  <c r="F18" i="10"/>
  <c r="I57" i="10"/>
  <c r="I56" i="10"/>
  <c r="O19" i="10"/>
  <c r="DB3" i="4" s="1"/>
  <c r="Y71" i="4"/>
  <c r="X13" i="4"/>
  <c r="X14" i="4"/>
  <c r="X15" i="4"/>
  <c r="X16" i="4"/>
  <c r="X17" i="4"/>
  <c r="X47" i="4"/>
  <c r="X48" i="4"/>
  <c r="X49" i="4"/>
  <c r="X50" i="4"/>
  <c r="O14" i="10"/>
  <c r="O15" i="10" s="1"/>
  <c r="O16" i="10"/>
  <c r="O18" i="10"/>
  <c r="Q23" i="10" s="1"/>
  <c r="F37" i="10"/>
  <c r="F39" i="10"/>
  <c r="F40" i="10"/>
  <c r="F13" i="10"/>
  <c r="F14" i="10"/>
  <c r="C20" i="10"/>
  <c r="I24" i="10" a="1"/>
  <c r="I61" i="10" l="1"/>
  <c r="I60" i="10"/>
  <c r="I67" i="10" s="1"/>
  <c r="I21" i="10"/>
  <c r="I25" i="10" s="1"/>
  <c r="I29" i="10"/>
  <c r="I22" i="10"/>
  <c r="I24" i="10"/>
  <c r="I32" i="10"/>
  <c r="Q27" i="10"/>
  <c r="X76" i="4" s="1"/>
  <c r="Q25" i="10"/>
  <c r="X74" i="4" s="1"/>
  <c r="I23" i="10"/>
  <c r="Q26" i="10"/>
  <c r="X75" i="4" s="1"/>
  <c r="Q24" i="10"/>
  <c r="X73" i="4" s="1"/>
  <c r="F19" i="10"/>
  <c r="F15" i="10"/>
  <c r="I58" i="10"/>
  <c r="I59" i="10"/>
  <c r="Y72" i="4"/>
  <c r="DB46" i="4"/>
  <c r="DB54" i="4"/>
  <c r="DB8" i="4"/>
  <c r="DB38" i="4"/>
  <c r="DB62" i="4"/>
  <c r="DB24" i="4"/>
  <c r="DB61" i="4"/>
  <c r="DB48" i="4"/>
  <c r="DB37" i="4"/>
  <c r="DB20" i="4"/>
  <c r="DB65" i="4"/>
  <c r="DB57" i="4"/>
  <c r="DB41" i="4"/>
  <c r="DB28" i="4"/>
  <c r="DB9" i="4"/>
  <c r="DB53" i="4"/>
  <c r="DB45" i="4"/>
  <c r="DB5" i="4"/>
  <c r="DB66" i="4"/>
  <c r="DB58" i="4"/>
  <c r="DB50" i="4"/>
  <c r="DB42" i="4"/>
  <c r="DB32" i="4"/>
  <c r="Y75" i="4"/>
  <c r="DB67" i="4"/>
  <c r="DB63" i="4"/>
  <c r="DB59" i="4"/>
  <c r="DB55" i="4"/>
  <c r="DB51" i="4"/>
  <c r="DB43" i="4"/>
  <c r="DB39" i="4"/>
  <c r="DB33" i="4"/>
  <c r="DB29" i="4"/>
  <c r="DB25" i="4"/>
  <c r="DB21" i="4"/>
  <c r="DB17" i="4"/>
  <c r="DB15" i="4"/>
  <c r="DB13" i="4"/>
  <c r="DB10" i="4"/>
  <c r="DB6" i="4"/>
  <c r="DB31" i="4"/>
  <c r="DB27" i="4"/>
  <c r="DB23" i="4"/>
  <c r="DB19" i="4"/>
  <c r="DB16" i="4"/>
  <c r="DB14" i="4"/>
  <c r="DB12" i="4"/>
  <c r="DB4" i="4"/>
  <c r="DB68" i="4"/>
  <c r="DB64" i="4"/>
  <c r="DB60" i="4"/>
  <c r="DB56" i="4"/>
  <c r="DB52" i="4"/>
  <c r="DB49" i="4"/>
  <c r="DB47" i="4"/>
  <c r="DB44" i="4"/>
  <c r="DB40" i="4"/>
  <c r="DB34" i="4"/>
  <c r="DB30" i="4"/>
  <c r="DB26" i="4"/>
  <c r="DB22" i="4"/>
  <c r="DB18" i="4"/>
  <c r="DB11" i="4"/>
  <c r="DB7" i="4"/>
  <c r="Y73" i="4"/>
  <c r="Y77" i="4"/>
  <c r="Y74" i="4"/>
  <c r="X72" i="4"/>
  <c r="Y76" i="4"/>
  <c r="Q28" i="10"/>
  <c r="X77" i="4" s="1"/>
  <c r="F38" i="10"/>
  <c r="F41" i="10"/>
  <c r="F42" i="10"/>
  <c r="F43" i="10" l="1"/>
  <c r="F45" i="10"/>
  <c r="F44" i="10"/>
  <c r="I77" i="10"/>
  <c r="I62" i="10"/>
  <c r="F24" i="10"/>
  <c r="O26" i="10" a="1"/>
  <c r="O26" i="10" s="1"/>
  <c r="P23" i="10"/>
  <c r="P24" i="10"/>
  <c r="O24" i="10" a="1"/>
  <c r="O24" i="10" s="1"/>
  <c r="P28" i="10"/>
  <c r="O28" i="10" a="1"/>
  <c r="O28" i="10" s="1"/>
  <c r="P26" i="10"/>
  <c r="P25" i="10"/>
  <c r="O25" i="10" a="1"/>
  <c r="O25" i="10" s="1"/>
  <c r="P27" i="10"/>
  <c r="O27" i="10" a="1"/>
  <c r="O27" i="10" s="1"/>
  <c r="O23" i="10" a="1"/>
  <c r="O23" i="10" s="1"/>
  <c r="F22" i="10"/>
  <c r="F21" i="10"/>
  <c r="F20" i="10"/>
  <c r="Y78" i="4"/>
  <c r="X78" i="4"/>
  <c r="F27" i="10" a="1"/>
  <c r="F25" i="10" a="1"/>
  <c r="F46" i="10" a="1"/>
  <c r="F48" i="10" a="1"/>
  <c r="F47" i="10" a="1"/>
  <c r="F27" i="10" l="1"/>
  <c r="F47" i="10"/>
  <c r="F46" i="10"/>
  <c r="F48" i="10"/>
  <c r="I66" i="10"/>
  <c r="I68" i="10" s="1"/>
  <c r="I69" i="10" s="1"/>
  <c r="I71" i="10" s="1"/>
  <c r="I75" i="10"/>
  <c r="I72" i="10"/>
  <c r="F25" i="10"/>
  <c r="W73" i="4"/>
  <c r="W72" i="4"/>
  <c r="W77" i="4"/>
  <c r="W75" i="4"/>
  <c r="W76" i="4"/>
  <c r="W74" i="4"/>
  <c r="I79" i="10" l="1"/>
  <c r="W78" i="4"/>
  <c r="W79" i="4" l="1"/>
  <c r="O30" i="10" l="1" a="1"/>
  <c r="O30" i="10" s="1"/>
  <c r="O29" i="10" a="1"/>
  <c r="O29" i="10" s="1"/>
  <c r="I26" i="10" l="1"/>
  <c r="I28" i="10" s="1"/>
  <c r="I36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Amar</author>
  </authors>
  <commentList>
    <comment ref="K6" authorId="0" shapeId="0" xr:uid="{7315A994-2AE7-45AC-9D16-044848800F97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אם עבור המיפתח והעומס לא נמצא לוח"ד מתאים, אפשר לנסות להגדיל את השקיעה המקסימלית המותרת או לבחור חומר חזק יותר.</t>
        </r>
      </text>
    </comment>
    <comment ref="H9" authorId="0" shapeId="0" xr:uid="{436DAA47-488D-47BC-B0A3-18665F2A9482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כאשר התקרה כפולת טבלות, חשוב להקפיד שהיחס h/tf יהיה בין 5 ל-9 (כדי להיכנס לטבלה של k11)</t>
        </r>
      </text>
    </comment>
    <comment ref="K10" authorId="0" shapeId="0" xr:uid="{800C1A3C-5483-4978-9908-B73C6015B2B6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אם תבחר/י L/250, הערכים הממורקרים בקטלוג ייחשבו במקום אלו שהם מופיעים על גביהם.</t>
        </r>
      </text>
    </comment>
    <comment ref="K13" authorId="0" shapeId="0" xr:uid="{3DE6ACD6-09D2-4313-BA48-E736622AF2BE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אם תבחר/י בשיטה של ניחוש עובי ראשוני, האקסל יתעלם מכל הלוח"דים שעוביים (כולל טופינג) קטן מ-ℓ</t>
        </r>
        <r>
          <rPr>
            <sz val="6"/>
            <color indexed="81"/>
            <rFont val="Tahoma"/>
            <family val="2"/>
          </rPr>
          <t>0</t>
        </r>
        <r>
          <rPr>
            <sz val="9"/>
            <color indexed="81"/>
            <rFont val="Tahoma"/>
            <family val="2"/>
          </rPr>
          <t>/30.</t>
        </r>
      </text>
    </comment>
    <comment ref="B18" authorId="0" shapeId="0" xr:uid="{3857F8D0-C895-42F3-A975-01219A3782D7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הכוח שפועל על הקורה מלבד המשקל העצמי שלה</t>
        </r>
      </text>
    </comment>
    <comment ref="E45" authorId="0" shapeId="0" xr:uid="{ABB089CE-6460-4B7D-BED9-ED4E5FDA2963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המפתח השקיל חושב לפי התקן, אבל אפשר לרשום אותו כאן אם הוא חושב ידנית (למשל בתקרה היברידית)</t>
        </r>
      </text>
    </comment>
    <comment ref="H57" authorId="0" shapeId="0" xr:uid="{2C1D3073-644C-4A7E-8787-937F7A5EB4CD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ההנחה היא ש-I</t>
        </r>
        <r>
          <rPr>
            <sz val="7"/>
            <color indexed="81"/>
            <rFont val="Tahoma"/>
            <family val="2"/>
          </rPr>
          <t>g</t>
        </r>
        <r>
          <rPr>
            <sz val="9"/>
            <color indexed="81"/>
            <rFont val="Tahoma"/>
            <family val="2"/>
          </rPr>
          <t xml:space="preserve"> זהה בשני הכיוונים ולכן זה שווה ליחס L</t>
        </r>
        <r>
          <rPr>
            <sz val="7"/>
            <color indexed="81"/>
            <rFont val="Tahoma"/>
            <family val="2"/>
          </rPr>
          <t>max</t>
        </r>
        <r>
          <rPr>
            <sz val="9"/>
            <color indexed="81"/>
            <rFont val="Tahoma"/>
            <family val="2"/>
          </rPr>
          <t>/L</t>
        </r>
        <r>
          <rPr>
            <sz val="7"/>
            <color indexed="81"/>
            <rFont val="Tahoma"/>
            <family val="2"/>
          </rPr>
          <t>min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<sst xmlns="http://schemas.openxmlformats.org/spreadsheetml/2006/main" count="2759" uniqueCount="141">
  <si>
    <t>בס"ד</t>
  </si>
  <si>
    <t>מחשבון גבהים לאלמנטים</t>
  </si>
  <si>
    <t>תקרה מקשית מתוחה בכיוון אחד</t>
  </si>
  <si>
    <t>תקרה מקשית מתוחה בשני כיוונים על גבי קורות</t>
  </si>
  <si>
    <t>תקרת צלעות</t>
  </si>
  <si>
    <t>תקרת לוח"דים (סולל בונה), טופינג 8 ס"מ</t>
  </si>
  <si>
    <r>
      <t>ℓ</t>
    </r>
    <r>
      <rPr>
        <vertAlign val="subscript"/>
        <sz val="11"/>
        <color theme="0"/>
        <rFont val="David"/>
        <family val="2"/>
      </rPr>
      <t>0</t>
    </r>
    <r>
      <rPr>
        <sz val="11"/>
        <color theme="0"/>
        <rFont val="David"/>
        <family val="2"/>
      </rPr>
      <t xml:space="preserve"> [m]</t>
    </r>
  </si>
  <si>
    <t>אורך מפתח 1 [m]</t>
  </si>
  <si>
    <t>סוג תקרה 🔻</t>
  </si>
  <si>
    <t>בעלת טבלה עליונה</t>
  </si>
  <si>
    <t>ℓ [m]</t>
  </si>
  <si>
    <t>Δ𝑔+𝑞 [kN/m2]</t>
  </si>
  <si>
    <t>מקדם מפתח שקיל 1 🔻</t>
  </si>
  <si>
    <t>Δ𝑔 [kN/m2]</t>
  </si>
  <si>
    <r>
      <t>k</t>
    </r>
    <r>
      <rPr>
        <vertAlign val="subscript"/>
        <sz val="11"/>
        <color theme="0"/>
        <rFont val="David"/>
        <family val="2"/>
      </rPr>
      <t>13</t>
    </r>
  </si>
  <si>
    <t>אורך מפתח 2 [m]</t>
  </si>
  <si>
    <t>𝑞 [kN/m2]</t>
  </si>
  <si>
    <t>מספר פתרונות ממשיים</t>
  </si>
  <si>
    <t>מקדם מפתח שקיל 2 🔻</t>
  </si>
  <si>
    <t>bw [cm]</t>
  </si>
  <si>
    <t>שקיעה מקסימלית מותרת 🔻</t>
  </si>
  <si>
    <t>L/350</t>
  </si>
  <si>
    <t>פתרון/ות [m]</t>
  </si>
  <si>
    <t>B = bf - bw [cm]</t>
  </si>
  <si>
    <t>חומר 🔻</t>
  </si>
  <si>
    <t>ב-50, אגרגט גירי</t>
  </si>
  <si>
    <t>גובה תקרה</t>
  </si>
  <si>
    <t>רגישות לפעילות דינמית 🔻</t>
  </si>
  <si>
    <t>אין (מבנה רגיל)</t>
  </si>
  <si>
    <r>
      <t>ℓ</t>
    </r>
    <r>
      <rPr>
        <vertAlign val="subscript"/>
        <sz val="11"/>
        <color theme="0"/>
        <rFont val="David"/>
        <family val="2"/>
      </rPr>
      <t>max</t>
    </r>
    <r>
      <rPr>
        <sz val="11"/>
        <color theme="0"/>
        <rFont val="David"/>
        <family val="2"/>
      </rPr>
      <t xml:space="preserve"> [m]</t>
    </r>
  </si>
  <si>
    <t>באיזה שיטה לבחור לוח"ד? 🔻</t>
  </si>
  <si>
    <t>איתור מכלל הלוח"דים</t>
  </si>
  <si>
    <t>קורה מבטון מזוין</t>
  </si>
  <si>
    <r>
      <t>מקדם מפתח שקיל ℓ</t>
    </r>
    <r>
      <rPr>
        <vertAlign val="subscript"/>
        <sz val="11"/>
        <color theme="0"/>
        <rFont val="David"/>
        <family val="2"/>
      </rPr>
      <t>max</t>
    </r>
  </si>
  <si>
    <t>הנחה ראשונית [ס"מ]</t>
  </si>
  <si>
    <r>
      <t>ℓ</t>
    </r>
    <r>
      <rPr>
        <vertAlign val="subscript"/>
        <sz val="11"/>
        <color theme="0"/>
        <rFont val="David"/>
        <family val="2"/>
      </rPr>
      <t>0</t>
    </r>
    <r>
      <rPr>
        <sz val="11"/>
        <color theme="0"/>
        <rFont val="David"/>
        <family val="2"/>
      </rPr>
      <t>,ℓ</t>
    </r>
    <r>
      <rPr>
        <vertAlign val="subscript"/>
        <sz val="11"/>
        <color theme="0"/>
        <rFont val="David"/>
        <family val="2"/>
      </rPr>
      <t>max</t>
    </r>
    <r>
      <rPr>
        <sz val="11"/>
        <color theme="0"/>
        <rFont val="David"/>
        <family val="2"/>
      </rPr>
      <t xml:space="preserve"> [m]</t>
    </r>
  </si>
  <si>
    <t>עובי לוח"ד נדרש ע"פ הנחה ראשונית</t>
  </si>
  <si>
    <t>b [cm]</t>
  </si>
  <si>
    <r>
      <t>ℓ</t>
    </r>
    <r>
      <rPr>
        <vertAlign val="subscript"/>
        <sz val="11"/>
        <color theme="0"/>
        <rFont val="David"/>
        <family val="2"/>
      </rPr>
      <t>min</t>
    </r>
    <r>
      <rPr>
        <sz val="11"/>
        <color theme="0"/>
        <rFont val="David"/>
        <family val="2"/>
      </rPr>
      <t xml:space="preserve"> [m]</t>
    </r>
  </si>
  <si>
    <t>עומק שן השענה נדרש [cm]</t>
  </si>
  <si>
    <r>
      <t>h</t>
    </r>
    <r>
      <rPr>
        <vertAlign val="subscript"/>
        <sz val="11"/>
        <color theme="0"/>
        <rFont val="David"/>
        <family val="2"/>
      </rPr>
      <t>תקרה</t>
    </r>
    <r>
      <rPr>
        <sz val="11"/>
        <color theme="0"/>
        <rFont val="David"/>
        <family val="2"/>
      </rPr>
      <t xml:space="preserve"> [cm]</t>
    </r>
  </si>
  <si>
    <r>
      <t>מקדם מפתח שקיל ℓ</t>
    </r>
    <r>
      <rPr>
        <vertAlign val="subscript"/>
        <sz val="11"/>
        <color theme="0"/>
        <rFont val="David"/>
        <family val="2"/>
      </rPr>
      <t>min</t>
    </r>
  </si>
  <si>
    <t>bf [cm]</t>
  </si>
  <si>
    <t>תדירות עצמית מינימלית [Hz]</t>
  </si>
  <si>
    <r>
      <t>F</t>
    </r>
    <r>
      <rPr>
        <vertAlign val="subscript"/>
        <sz val="11"/>
        <color theme="0"/>
        <rFont val="David"/>
        <family val="2"/>
      </rPr>
      <t>קורה</t>
    </r>
    <r>
      <rPr>
        <sz val="11"/>
        <color theme="0"/>
        <rFont val="David"/>
        <family val="2"/>
      </rPr>
      <t xml:space="preserve"> [kN/m]</t>
    </r>
  </si>
  <si>
    <r>
      <t>ℓ</t>
    </r>
    <r>
      <rPr>
        <vertAlign val="subscript"/>
        <sz val="11"/>
        <color theme="0"/>
        <rFont val="David"/>
        <family val="2"/>
      </rPr>
      <t>0</t>
    </r>
    <r>
      <rPr>
        <sz val="11"/>
        <color theme="0"/>
        <rFont val="David"/>
        <family val="2"/>
      </rPr>
      <t>,ℓ</t>
    </r>
    <r>
      <rPr>
        <vertAlign val="subscript"/>
        <sz val="11"/>
        <color theme="0"/>
        <rFont val="David"/>
        <family val="2"/>
      </rPr>
      <t>min</t>
    </r>
    <r>
      <rPr>
        <sz val="11"/>
        <color theme="0"/>
        <rFont val="David"/>
        <family val="2"/>
      </rPr>
      <t xml:space="preserve"> [m]</t>
    </r>
  </si>
  <si>
    <t>D - מרחק בין צלעות מחלקות [m]</t>
  </si>
  <si>
    <t>מודול אלסטיות [MPa]</t>
  </si>
  <si>
    <r>
      <t>ℓ</t>
    </r>
    <r>
      <rPr>
        <vertAlign val="subscript"/>
        <sz val="11"/>
        <color theme="0"/>
        <rFont val="David"/>
        <family val="2"/>
      </rPr>
      <t>max</t>
    </r>
    <r>
      <rPr>
        <sz val="11"/>
        <color theme="0"/>
        <rFont val="David"/>
        <family val="2"/>
      </rPr>
      <t>/ℓ</t>
    </r>
    <r>
      <rPr>
        <vertAlign val="subscript"/>
        <sz val="11"/>
        <color theme="0"/>
        <rFont val="David"/>
        <family val="2"/>
      </rPr>
      <t>min</t>
    </r>
  </si>
  <si>
    <r>
      <t>SW</t>
    </r>
    <r>
      <rPr>
        <vertAlign val="subscript"/>
        <sz val="11"/>
        <color theme="0"/>
        <rFont val="David"/>
        <family val="2"/>
      </rPr>
      <t>בטון</t>
    </r>
    <r>
      <rPr>
        <sz val="11"/>
        <color theme="0"/>
        <rFont val="David"/>
        <family val="2"/>
      </rPr>
      <t xml:space="preserve"> [kN/m</t>
    </r>
    <r>
      <rPr>
        <vertAlign val="superscript"/>
        <sz val="11"/>
        <color theme="0"/>
        <rFont val="David"/>
        <family val="2"/>
      </rPr>
      <t>2</t>
    </r>
    <r>
      <rPr>
        <sz val="11"/>
        <color theme="0"/>
        <rFont val="David"/>
        <family val="2"/>
      </rPr>
      <t>]</t>
    </r>
  </si>
  <si>
    <t>אורך לכניסה לטבלה [cm]</t>
  </si>
  <si>
    <r>
      <t>F</t>
    </r>
    <r>
      <rPr>
        <vertAlign val="subscript"/>
        <sz val="11"/>
        <color theme="0"/>
        <rFont val="David"/>
        <family val="2"/>
      </rPr>
      <t>ser</t>
    </r>
    <r>
      <rPr>
        <sz val="11"/>
        <color theme="0"/>
        <rFont val="David"/>
        <family val="2"/>
      </rPr>
      <t xml:space="preserve"> [kN/m</t>
    </r>
    <r>
      <rPr>
        <vertAlign val="superscript"/>
        <sz val="11"/>
        <color theme="0"/>
        <rFont val="David"/>
        <family val="2"/>
      </rPr>
      <t>2</t>
    </r>
    <r>
      <rPr>
        <sz val="11"/>
        <color theme="0"/>
        <rFont val="David"/>
        <family val="2"/>
      </rPr>
      <t>]</t>
    </r>
  </si>
  <si>
    <t>מקרה</t>
  </si>
  <si>
    <r>
      <t>SW</t>
    </r>
    <r>
      <rPr>
        <vertAlign val="subscript"/>
        <sz val="11"/>
        <color theme="0"/>
        <rFont val="David"/>
        <family val="2"/>
      </rPr>
      <t>איטונג</t>
    </r>
    <r>
      <rPr>
        <sz val="11"/>
        <color theme="0"/>
        <rFont val="David"/>
        <family val="2"/>
      </rPr>
      <t xml:space="preserve"> [kN/m</t>
    </r>
    <r>
      <rPr>
        <vertAlign val="superscript"/>
        <sz val="11"/>
        <color theme="0"/>
        <rFont val="David"/>
        <family val="2"/>
      </rPr>
      <t>2</t>
    </r>
    <r>
      <rPr>
        <sz val="11"/>
        <color theme="0"/>
        <rFont val="David"/>
        <family val="2"/>
      </rPr>
      <t>]</t>
    </r>
  </si>
  <si>
    <r>
      <t>עומס לכניסה לטבלה [kg/m</t>
    </r>
    <r>
      <rPr>
        <vertAlign val="superscript"/>
        <sz val="11"/>
        <color theme="0"/>
        <rFont val="David"/>
        <family val="2"/>
      </rPr>
      <t>2</t>
    </r>
    <r>
      <rPr>
        <sz val="11"/>
        <color theme="0"/>
        <rFont val="David"/>
        <family val="2"/>
      </rPr>
      <t>]</t>
    </r>
  </si>
  <si>
    <t>אופן קביעת יחס תמירות</t>
  </si>
  <si>
    <t>עובי</t>
  </si>
  <si>
    <r>
      <t>I</t>
    </r>
    <r>
      <rPr>
        <vertAlign val="subscript"/>
        <sz val="9"/>
        <color theme="0"/>
        <rFont val="David"/>
        <family val="2"/>
      </rPr>
      <t>מרוכב</t>
    </r>
  </si>
  <si>
    <r>
      <t>SW</t>
    </r>
    <r>
      <rPr>
        <vertAlign val="subscript"/>
        <sz val="9"/>
        <color theme="0"/>
        <rFont val="David"/>
        <family val="2"/>
      </rPr>
      <t>לוח"ד</t>
    </r>
  </si>
  <si>
    <t>𝑀 ̅</t>
  </si>
  <si>
    <t>סוג לוח"ד</t>
  </si>
  <si>
    <t>עומס</t>
  </si>
  <si>
    <t>תדר עצמי</t>
  </si>
  <si>
    <t>𝜆</t>
  </si>
  <si>
    <t>h/tf</t>
  </si>
  <si>
    <r>
      <t xml:space="preserve"> [cm</t>
    </r>
    <r>
      <rPr>
        <vertAlign val="superscript"/>
        <sz val="9"/>
        <color theme="0"/>
        <rFont val="David"/>
        <family val="2"/>
      </rPr>
      <t>4</t>
    </r>
    <r>
      <rPr>
        <sz val="9"/>
        <color theme="0"/>
        <rFont val="David"/>
        <family val="2"/>
      </rPr>
      <t>]</t>
    </r>
  </si>
  <si>
    <r>
      <t xml:space="preserve"> [kN/m</t>
    </r>
    <r>
      <rPr>
        <vertAlign val="superscript"/>
        <sz val="9"/>
        <color theme="0"/>
        <rFont val="David"/>
        <family val="2"/>
      </rPr>
      <t>2</t>
    </r>
    <r>
      <rPr>
        <sz val="9"/>
        <color theme="0"/>
        <rFont val="David"/>
        <family val="2"/>
      </rPr>
      <t>]</t>
    </r>
  </si>
  <si>
    <t xml:space="preserve"> [kg/m]</t>
  </si>
  <si>
    <t>[kg/m2]</t>
  </si>
  <si>
    <t xml:space="preserve"> [Hz]</t>
  </si>
  <si>
    <t>גובה קורה</t>
  </si>
  <si>
    <r>
      <t>k</t>
    </r>
    <r>
      <rPr>
        <vertAlign val="subscript"/>
        <sz val="11"/>
        <color theme="0"/>
        <rFont val="David"/>
        <family val="2"/>
      </rPr>
      <t>11</t>
    </r>
  </si>
  <si>
    <t>bf/bw</t>
  </si>
  <si>
    <t>16 ס"מ</t>
  </si>
  <si>
    <t>20 ס"מ</t>
  </si>
  <si>
    <r>
      <t>k</t>
    </r>
    <r>
      <rPr>
        <vertAlign val="subscript"/>
        <sz val="11"/>
        <color theme="0"/>
        <rFont val="David"/>
        <family val="2"/>
      </rPr>
      <t>12</t>
    </r>
  </si>
  <si>
    <t>25 ס"מ</t>
  </si>
  <si>
    <r>
      <t>ℓ</t>
    </r>
    <r>
      <rPr>
        <vertAlign val="subscript"/>
        <sz val="11"/>
        <color theme="0"/>
        <rFont val="David"/>
        <family val="2"/>
      </rPr>
      <t>0</t>
    </r>
    <r>
      <rPr>
        <sz val="11"/>
        <color theme="0"/>
        <rFont val="David"/>
        <family val="2"/>
      </rPr>
      <t>/k</t>
    </r>
    <r>
      <rPr>
        <vertAlign val="subscript"/>
        <sz val="11"/>
        <color theme="0"/>
        <rFont val="David"/>
        <family val="2"/>
      </rPr>
      <t>11</t>
    </r>
    <r>
      <rPr>
        <sz val="11"/>
        <color theme="0"/>
        <rFont val="David"/>
        <family val="2"/>
      </rPr>
      <t>k</t>
    </r>
    <r>
      <rPr>
        <vertAlign val="subscript"/>
        <sz val="11"/>
        <color theme="0"/>
        <rFont val="David"/>
        <family val="2"/>
      </rPr>
      <t>12</t>
    </r>
    <r>
      <rPr>
        <sz val="11"/>
        <color theme="0"/>
        <rFont val="David"/>
        <family val="2"/>
      </rPr>
      <t>k</t>
    </r>
    <r>
      <rPr>
        <vertAlign val="subscript"/>
        <sz val="11"/>
        <color theme="0"/>
        <rFont val="David"/>
        <family val="2"/>
      </rPr>
      <t>13</t>
    </r>
    <r>
      <rPr>
        <sz val="11"/>
        <color theme="0"/>
        <rFont val="David"/>
        <family val="2"/>
      </rPr>
      <t xml:space="preserve"> [m]</t>
    </r>
  </si>
  <si>
    <t>30 ס"מ</t>
  </si>
  <si>
    <t>בדיקת אילוצים - הגבלת התמירות וסעיף 23.2</t>
  </si>
  <si>
    <t>40 ס"מ</t>
  </si>
  <si>
    <r>
      <t>ℓ</t>
    </r>
    <r>
      <rPr>
        <vertAlign val="subscript"/>
        <sz val="11"/>
        <color theme="0"/>
        <rFont val="David"/>
        <family val="2"/>
      </rPr>
      <t>0</t>
    </r>
    <r>
      <rPr>
        <sz val="11"/>
        <color theme="0"/>
        <rFont val="David"/>
        <family val="2"/>
      </rPr>
      <t>/k</t>
    </r>
    <r>
      <rPr>
        <vertAlign val="subscript"/>
        <sz val="11"/>
        <color theme="0"/>
        <rFont val="David"/>
        <family val="2"/>
      </rPr>
      <t>11</t>
    </r>
    <r>
      <rPr>
        <sz val="11"/>
        <color theme="0"/>
        <rFont val="David"/>
        <family val="2"/>
      </rPr>
      <t>k</t>
    </r>
    <r>
      <rPr>
        <vertAlign val="subscript"/>
        <sz val="11"/>
        <color theme="0"/>
        <rFont val="David"/>
        <family val="2"/>
      </rPr>
      <t>12</t>
    </r>
    <r>
      <rPr>
        <sz val="11"/>
        <color theme="0"/>
        <rFont val="David"/>
        <family val="2"/>
      </rPr>
      <t>k</t>
    </r>
    <r>
      <rPr>
        <vertAlign val="subscript"/>
        <sz val="11"/>
        <color theme="0"/>
        <rFont val="David"/>
        <family val="2"/>
      </rPr>
      <t>13</t>
    </r>
    <r>
      <rPr>
        <sz val="11"/>
        <color theme="0"/>
        <rFont val="David"/>
        <family val="2"/>
      </rPr>
      <t xml:space="preserve"> &lt; h</t>
    </r>
  </si>
  <si>
    <t>50 ס"מ</t>
  </si>
  <si>
    <t>תקרה מקשית מתוחה בשני כיוונים ללא קורות</t>
  </si>
  <si>
    <t>h &gt;= 20cm</t>
  </si>
  <si>
    <t>לוח"ד נבחר</t>
  </si>
  <si>
    <r>
      <t>t</t>
    </r>
    <r>
      <rPr>
        <vertAlign val="subscript"/>
        <sz val="11"/>
        <color theme="0"/>
        <rFont val="David"/>
        <family val="2"/>
      </rPr>
      <t>f</t>
    </r>
    <r>
      <rPr>
        <sz val="11"/>
        <color theme="0"/>
        <rFont val="David"/>
        <family val="2"/>
      </rPr>
      <t xml:space="preserve"> &gt;= 50mm</t>
    </r>
  </si>
  <si>
    <r>
      <t>b</t>
    </r>
    <r>
      <rPr>
        <vertAlign val="subscript"/>
        <sz val="11"/>
        <color theme="0"/>
        <rFont val="David"/>
        <family val="2"/>
      </rPr>
      <t>w</t>
    </r>
    <r>
      <rPr>
        <sz val="11"/>
        <color theme="0"/>
        <rFont val="David"/>
        <family val="2"/>
      </rPr>
      <t xml:space="preserve"> &gt;= 100mm</t>
    </r>
  </si>
  <si>
    <r>
      <t>t</t>
    </r>
    <r>
      <rPr>
        <vertAlign val="subscript"/>
        <sz val="11"/>
        <color theme="0"/>
        <rFont val="David"/>
        <family val="2"/>
      </rPr>
      <t>f</t>
    </r>
    <r>
      <rPr>
        <sz val="11"/>
        <color theme="0"/>
        <rFont val="David"/>
        <family val="2"/>
      </rPr>
      <t xml:space="preserve"> &gt;= h/10</t>
    </r>
  </si>
  <si>
    <r>
      <t>b</t>
    </r>
    <r>
      <rPr>
        <vertAlign val="subscript"/>
        <sz val="11"/>
        <color theme="0"/>
        <rFont val="David"/>
        <family val="2"/>
      </rPr>
      <t>f</t>
    </r>
    <r>
      <rPr>
        <sz val="11"/>
        <color theme="0"/>
        <rFont val="David"/>
        <family val="2"/>
      </rPr>
      <t>-b</t>
    </r>
    <r>
      <rPr>
        <vertAlign val="subscript"/>
        <sz val="11"/>
        <color theme="0"/>
        <rFont val="David"/>
        <family val="2"/>
      </rPr>
      <t>w</t>
    </r>
    <r>
      <rPr>
        <sz val="11"/>
        <color theme="0"/>
        <rFont val="David"/>
        <family val="2"/>
      </rPr>
      <t xml:space="preserve"> &lt;= 75cm</t>
    </r>
  </si>
  <si>
    <r>
      <t>b</t>
    </r>
    <r>
      <rPr>
        <vertAlign val="subscript"/>
        <sz val="11"/>
        <color theme="0"/>
        <rFont val="David"/>
        <family val="2"/>
      </rPr>
      <t>w</t>
    </r>
    <r>
      <rPr>
        <sz val="11"/>
        <color theme="0"/>
        <rFont val="David"/>
        <family val="2"/>
      </rPr>
      <t xml:space="preserve"> &gt;= (h-t</t>
    </r>
    <r>
      <rPr>
        <vertAlign val="subscript"/>
        <sz val="11"/>
        <color theme="0"/>
        <rFont val="David"/>
        <family val="2"/>
      </rPr>
      <t>f</t>
    </r>
    <r>
      <rPr>
        <sz val="11"/>
        <color theme="0"/>
        <rFont val="David"/>
        <family val="2"/>
      </rPr>
      <t>)/3.5</t>
    </r>
  </si>
  <si>
    <r>
      <t>t</t>
    </r>
    <r>
      <rPr>
        <vertAlign val="subscript"/>
        <sz val="11"/>
        <color theme="0"/>
        <rFont val="David"/>
        <family val="2"/>
      </rPr>
      <t>f</t>
    </r>
    <r>
      <rPr>
        <sz val="11"/>
        <color theme="0"/>
        <rFont val="David"/>
        <family val="2"/>
      </rPr>
      <t xml:space="preserve"> &gt;= (b</t>
    </r>
    <r>
      <rPr>
        <vertAlign val="subscript"/>
        <sz val="11"/>
        <color theme="0"/>
        <rFont val="David"/>
        <family val="2"/>
      </rPr>
      <t>f</t>
    </r>
    <r>
      <rPr>
        <sz val="11"/>
        <color theme="0"/>
        <rFont val="David"/>
        <family val="2"/>
      </rPr>
      <t>-b</t>
    </r>
    <r>
      <rPr>
        <vertAlign val="subscript"/>
        <sz val="11"/>
        <color theme="0"/>
        <rFont val="David"/>
        <family val="2"/>
      </rPr>
      <t>w</t>
    </r>
    <r>
      <rPr>
        <sz val="11"/>
        <color theme="0"/>
        <rFont val="David"/>
        <family val="2"/>
      </rPr>
      <t>)/12</t>
    </r>
  </si>
  <si>
    <t>התקרה תקינה?</t>
  </si>
  <si>
    <t>תקרת ערוגות</t>
  </si>
  <si>
    <t>תמוכה על גבי קורות 🔻</t>
  </si>
  <si>
    <t>כן</t>
  </si>
  <si>
    <t>tf [cm]</t>
  </si>
  <si>
    <t>B = D = bf - bw [cm]</t>
  </si>
  <si>
    <t>k13</t>
  </si>
  <si>
    <r>
      <t>(L/I</t>
    </r>
    <r>
      <rPr>
        <vertAlign val="subscript"/>
        <sz val="11"/>
        <color theme="0"/>
        <rFont val="David"/>
        <family val="2"/>
      </rPr>
      <t>g</t>
    </r>
    <r>
      <rPr>
        <sz val="11"/>
        <color theme="0"/>
        <rFont val="David"/>
        <family val="2"/>
      </rPr>
      <t>)</t>
    </r>
    <r>
      <rPr>
        <vertAlign val="subscript"/>
        <sz val="11"/>
        <color theme="0"/>
        <rFont val="David"/>
        <family val="2"/>
      </rPr>
      <t>max</t>
    </r>
    <r>
      <rPr>
        <sz val="11"/>
        <color theme="0"/>
        <rFont val="David"/>
        <family val="2"/>
      </rPr>
      <t xml:space="preserve"> / (L/I</t>
    </r>
    <r>
      <rPr>
        <vertAlign val="subscript"/>
        <sz val="11"/>
        <color theme="0"/>
        <rFont val="David"/>
        <family val="2"/>
      </rPr>
      <t>g</t>
    </r>
    <r>
      <rPr>
        <sz val="11"/>
        <color theme="0"/>
        <rFont val="David"/>
        <family val="2"/>
      </rPr>
      <t>)</t>
    </r>
    <r>
      <rPr>
        <vertAlign val="subscript"/>
        <sz val="11"/>
        <color theme="0"/>
        <rFont val="David"/>
        <family val="2"/>
      </rPr>
      <t>min</t>
    </r>
  </si>
  <si>
    <t>גיליון עזר - אין לשנות!</t>
  </si>
  <si>
    <t>סוג</t>
  </si>
  <si>
    <t>תסבולת</t>
  </si>
  <si>
    <t>לא</t>
  </si>
  <si>
    <t>L/250</t>
  </si>
  <si>
    <t>ניחוש עובי ראשוני (עיקרי תכן)</t>
  </si>
  <si>
    <t>ב-60, אגרגט גירי</t>
  </si>
  <si>
    <t>יש (אולם אירועים, חדר כושר וכו')</t>
  </si>
  <si>
    <t>16066T</t>
  </si>
  <si>
    <t>N</t>
  </si>
  <si>
    <t>ב-50, אגרגט דולומיטי</t>
  </si>
  <si>
    <t>16076T</t>
  </si>
  <si>
    <t>ב-60, אגרגט דולומיטי</t>
  </si>
  <si>
    <t>16086T</t>
  </si>
  <si>
    <t>קורה</t>
  </si>
  <si>
    <t>16096T</t>
  </si>
  <si>
    <t>20076T</t>
  </si>
  <si>
    <t>2018066T</t>
  </si>
  <si>
    <t>2028056T</t>
  </si>
  <si>
    <t>2038046T</t>
  </si>
  <si>
    <t>כפולת טבלות</t>
  </si>
  <si>
    <t>2048036T</t>
  </si>
  <si>
    <t>2058026T</t>
  </si>
  <si>
    <t>30068ET</t>
  </si>
  <si>
    <t>30078ET</t>
  </si>
  <si>
    <t>30088ET</t>
  </si>
  <si>
    <t>30098ET</t>
  </si>
  <si>
    <t>30108ET</t>
  </si>
  <si>
    <t>30118ET</t>
  </si>
  <si>
    <t>40068 T</t>
  </si>
  <si>
    <t>40078 T</t>
  </si>
  <si>
    <t>40088 T</t>
  </si>
  <si>
    <t>40098 T</t>
  </si>
  <si>
    <t>40108 T</t>
  </si>
  <si>
    <t>40118 T</t>
  </si>
  <si>
    <t>50808 T</t>
  </si>
  <si>
    <t>50810 T</t>
  </si>
  <si>
    <t>50812 T</t>
  </si>
  <si>
    <t>50814 T</t>
  </si>
  <si>
    <t>50816 T</t>
  </si>
  <si>
    <t>מינימום עובי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</si>
</sst>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General\ \ס\'\'\מ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David"/>
      <family val="2"/>
    </font>
    <font>
      <sz val="11"/>
      <color theme="0"/>
      <name val="David"/>
      <family val="2"/>
    </font>
    <font>
      <sz val="8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David"/>
      <family val="2"/>
    </font>
    <font>
      <b/>
      <sz val="22"/>
      <color theme="0"/>
      <name val="David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6100"/>
      <name val="Calibri"/>
      <family val="2"/>
      <scheme val="minor"/>
    </font>
    <font>
      <vertAlign val="subscript"/>
      <sz val="11"/>
      <color theme="0"/>
      <name val="David"/>
      <family val="2"/>
    </font>
    <font>
      <sz val="18"/>
      <color theme="0"/>
      <name val="David"/>
      <family val="2"/>
    </font>
    <font>
      <sz val="9"/>
      <color theme="0"/>
      <name val="David"/>
      <family val="2"/>
    </font>
    <font>
      <sz val="11"/>
      <name val="Calibri"/>
      <family val="2"/>
      <scheme val="minor"/>
    </font>
    <font>
      <vertAlign val="subscript"/>
      <sz val="9"/>
      <color theme="0"/>
      <name val="David"/>
      <family val="2"/>
    </font>
    <font>
      <vertAlign val="superscript"/>
      <sz val="9"/>
      <color theme="0"/>
      <name val="David"/>
      <family val="2"/>
    </font>
    <font>
      <sz val="6"/>
      <color indexed="81"/>
      <name val="Tahoma"/>
      <family val="2"/>
    </font>
    <font>
      <sz val="11"/>
      <color rgb="FFFF0000"/>
      <name val="David"/>
      <family val="2"/>
    </font>
    <font>
      <sz val="11"/>
      <color rgb="FF00FF00"/>
      <name val="David"/>
      <family val="2"/>
    </font>
    <font>
      <sz val="8"/>
      <name val="David"/>
      <family val="2"/>
    </font>
    <font>
      <sz val="10"/>
      <name val="David"/>
      <family val="2"/>
    </font>
    <font>
      <vertAlign val="superscript"/>
      <sz val="11"/>
      <color theme="0"/>
      <name val="David"/>
      <family val="2"/>
    </font>
    <font>
      <sz val="20"/>
      <name val="David"/>
      <family val="2"/>
    </font>
    <font>
      <sz val="12"/>
      <name val="Tahoma"/>
      <family val="2"/>
    </font>
    <font>
      <sz val="12"/>
      <color theme="0"/>
      <name val="David"/>
      <family val="2"/>
    </font>
    <font>
      <sz val="7"/>
      <color indexed="81"/>
      <name val="Tahoma"/>
      <family val="2"/>
    </font>
    <font>
      <b/>
      <sz val="10"/>
      <name val="David"/>
      <family val="2"/>
    </font>
  </fonts>
  <fills count="1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97CC"/>
        <bgColor indexed="64"/>
      </patternFill>
    </fill>
    <fill>
      <patternFill patternType="solid">
        <fgColor rgb="FFFFC7CE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1F4E78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1" tint="0.499984740745262"/>
        <bgColor indexed="64"/>
      </patternFill>
    </fill>
  </fills>
  <borders count="1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/>
      <right/>
      <top/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</borders>
  <cellStyleXfs count="3">
    <xf numFmtId="0" fontId="0" fillId="0" borderId="0"/>
    <xf numFmtId="0" fontId="4" fillId="9" borderId="0" applyNumberFormat="0" applyBorder="0" applyAlignment="0" applyProtection="0"/>
    <xf numFmtId="0" fontId="9" fillId="13" borderId="0" applyNumberFormat="0" applyBorder="0" applyAlignment="0" applyProtection="0"/>
  </cellStyleXfs>
  <cellXfs count="102">
    <xf numFmtId="0" fontId="0" fillId="0" borderId="0" xfId="0"/>
    <xf numFmtId="0" fontId="5" fillId="12" borderId="1" xfId="0" applyFont="1" applyFill="1" applyBorder="1" applyAlignment="1" applyProtection="1">
      <alignment horizontal="center"/>
      <protection locked="0"/>
    </xf>
    <xf numFmtId="0" fontId="5" fillId="11" borderId="1" xfId="0" applyFont="1" applyFill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 readingOrder="2"/>
      <protection locked="0"/>
    </xf>
    <xf numFmtId="0" fontId="17" fillId="6" borderId="1" xfId="1" applyFont="1" applyFill="1" applyBorder="1" applyAlignment="1" applyProtection="1">
      <alignment horizontal="center"/>
    </xf>
    <xf numFmtId="0" fontId="2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 readingOrder="2"/>
    </xf>
    <xf numFmtId="0" fontId="2" fillId="5" borderId="1" xfId="0" applyFont="1" applyFill="1" applyBorder="1"/>
    <xf numFmtId="0" fontId="2" fillId="6" borderId="1" xfId="0" applyFont="1" applyFill="1" applyBorder="1"/>
    <xf numFmtId="0" fontId="2" fillId="8" borderId="1" xfId="0" applyFont="1" applyFill="1" applyBorder="1"/>
    <xf numFmtId="0" fontId="2" fillId="7" borderId="1" xfId="0" applyFont="1" applyFill="1" applyBorder="1" applyAlignment="1">
      <alignment readingOrder="1"/>
    </xf>
    <xf numFmtId="0" fontId="2" fillId="7" borderId="1" xfId="0" applyFont="1" applyFill="1" applyBorder="1"/>
    <xf numFmtId="0" fontId="2" fillId="10" borderId="1" xfId="0" applyFont="1" applyFill="1" applyBorder="1"/>
    <xf numFmtId="0" fontId="2" fillId="3" borderId="1" xfId="0" applyFont="1" applyFill="1" applyBorder="1"/>
    <xf numFmtId="0" fontId="2" fillId="15" borderId="1" xfId="0" applyFont="1" applyFill="1" applyBorder="1"/>
    <xf numFmtId="0" fontId="2" fillId="0" borderId="0" xfId="0" applyFont="1" applyAlignment="1">
      <alignment horizontal="right"/>
    </xf>
    <xf numFmtId="0" fontId="2" fillId="8" borderId="1" xfId="0" applyFont="1" applyFill="1" applyBorder="1" applyAlignment="1">
      <alignment readingOrder="1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5" fillId="0" borderId="0" xfId="0" applyFont="1"/>
    <xf numFmtId="0" fontId="23" fillId="0" borderId="0" xfId="0" applyFont="1"/>
    <xf numFmtId="0" fontId="2" fillId="15" borderId="1" xfId="0" applyFont="1" applyFill="1" applyBorder="1" applyAlignment="1">
      <alignment horizontal="left"/>
    </xf>
    <xf numFmtId="0" fontId="5" fillId="0" borderId="0" xfId="0" applyFont="1" applyAlignment="1">
      <alignment readingOrder="2"/>
    </xf>
    <xf numFmtId="164" fontId="5" fillId="11" borderId="1" xfId="0" applyNumberFormat="1" applyFont="1" applyFill="1" applyBorder="1" applyAlignment="1" applyProtection="1">
      <alignment horizontal="center"/>
      <protection locked="0"/>
    </xf>
    <xf numFmtId="165" fontId="2" fillId="16" borderId="1" xfId="0" applyNumberFormat="1" applyFont="1" applyFill="1" applyBorder="1" applyAlignment="1" applyProtection="1">
      <alignment horizontal="center"/>
      <protection locked="0"/>
    </xf>
    <xf numFmtId="0" fontId="2" fillId="16" borderId="1" xfId="0" applyFont="1" applyFill="1" applyBorder="1" applyAlignment="1" applyProtection="1">
      <alignment horizontal="center"/>
      <protection locked="0"/>
    </xf>
    <xf numFmtId="2" fontId="5" fillId="11" borderId="1" xfId="0" applyNumberFormat="1" applyFont="1" applyFill="1" applyBorder="1" applyAlignment="1" applyProtection="1">
      <alignment horizontal="center"/>
      <protection locked="0"/>
    </xf>
    <xf numFmtId="164" fontId="20" fillId="11" borderId="1" xfId="0" applyNumberFormat="1" applyFont="1" applyFill="1" applyBorder="1" applyAlignment="1" applyProtection="1">
      <alignment horizontal="center"/>
      <protection locked="0"/>
    </xf>
    <xf numFmtId="0" fontId="19" fillId="11" borderId="1" xfId="0" applyFont="1" applyFill="1" applyBorder="1" applyAlignment="1" applyProtection="1">
      <alignment horizontal="center"/>
      <protection locked="0"/>
    </xf>
    <xf numFmtId="0" fontId="12" fillId="14" borderId="7" xfId="0" applyFont="1" applyFill="1" applyBorder="1" applyAlignment="1" applyProtection="1">
      <alignment horizontal="center" vertical="center"/>
      <protection locked="0"/>
    </xf>
    <xf numFmtId="0" fontId="12" fillId="14" borderId="11" xfId="0" applyFont="1" applyFill="1" applyBorder="1" applyAlignment="1" applyProtection="1">
      <alignment horizontal="center" vertical="center"/>
      <protection locked="0"/>
    </xf>
    <xf numFmtId="0" fontId="12" fillId="14" borderId="3" xfId="0" applyFont="1" applyFill="1" applyBorder="1" applyAlignment="1" applyProtection="1">
      <alignment horizontal="center" vertical="center"/>
      <protection locked="0"/>
    </xf>
    <xf numFmtId="0" fontId="2" fillId="14" borderId="3" xfId="0" applyFont="1" applyFill="1" applyBorder="1" applyAlignment="1" applyProtection="1">
      <alignment horizontal="center" vertical="center"/>
      <protection locked="0"/>
    </xf>
    <xf numFmtId="0" fontId="2" fillId="14" borderId="11" xfId="0" applyFont="1" applyFill="1" applyBorder="1" applyAlignment="1" applyProtection="1">
      <alignment horizontal="center" vertical="center"/>
      <protection locked="0"/>
    </xf>
    <xf numFmtId="0" fontId="12" fillId="14" borderId="8" xfId="0" applyFont="1" applyFill="1" applyBorder="1" applyAlignment="1" applyProtection="1">
      <alignment horizontal="center" vertical="center"/>
      <protection locked="0"/>
    </xf>
    <xf numFmtId="0" fontId="12" fillId="14" borderId="12" xfId="0" applyFont="1" applyFill="1" applyBorder="1" applyAlignment="1" applyProtection="1">
      <alignment horizontal="center" vertical="center"/>
      <protection locked="0"/>
    </xf>
    <xf numFmtId="0" fontId="12" fillId="14" borderId="4" xfId="0" applyFont="1" applyFill="1" applyBorder="1" applyAlignment="1" applyProtection="1">
      <alignment horizontal="center" vertical="center"/>
      <protection locked="0"/>
    </xf>
    <xf numFmtId="0" fontId="2" fillId="14" borderId="4" xfId="0" applyFont="1" applyFill="1" applyBorder="1" applyAlignment="1" applyProtection="1">
      <alignment horizontal="center" vertical="center"/>
      <protection locked="0"/>
    </xf>
    <xf numFmtId="0" fontId="2" fillId="14" borderId="12" xfId="0" applyFont="1" applyFill="1" applyBorder="1" applyAlignment="1" applyProtection="1">
      <alignment horizontal="center" vertical="center"/>
      <protection locked="0"/>
    </xf>
    <xf numFmtId="0" fontId="2" fillId="15" borderId="8" xfId="0" applyFont="1" applyFill="1" applyBorder="1" applyAlignment="1" applyProtection="1">
      <alignment horizontal="center" vertical="center" readingOrder="2"/>
      <protection locked="0"/>
    </xf>
    <xf numFmtId="0" fontId="12" fillId="15" borderId="8" xfId="0" applyFont="1" applyFill="1" applyBorder="1" applyAlignment="1" applyProtection="1">
      <alignment horizontal="center" vertical="center" readingOrder="2"/>
      <protection locked="0"/>
    </xf>
    <xf numFmtId="0" fontId="12" fillId="15" borderId="10" xfId="0" applyFont="1" applyFill="1" applyBorder="1" applyAlignment="1" applyProtection="1">
      <alignment horizontal="center" vertical="center" readingOrder="2"/>
      <protection locked="0"/>
    </xf>
    <xf numFmtId="165" fontId="18" fillId="6" borderId="15" xfId="2" applyNumberFormat="1" applyFont="1" applyFill="1" applyBorder="1" applyAlignment="1" applyProtection="1">
      <alignment horizontal="center"/>
      <protection locked="0"/>
    </xf>
    <xf numFmtId="1" fontId="18" fillId="6" borderId="0" xfId="2" applyNumberFormat="1" applyFont="1" applyFill="1" applyBorder="1" applyAlignment="1" applyProtection="1">
      <alignment horizontal="center"/>
      <protection locked="0"/>
    </xf>
    <xf numFmtId="165" fontId="17" fillId="6" borderId="16" xfId="1" applyNumberFormat="1" applyFont="1" applyFill="1" applyBorder="1" applyAlignment="1" applyProtection="1">
      <alignment horizontal="center"/>
      <protection locked="0"/>
    </xf>
    <xf numFmtId="0" fontId="2" fillId="15" borderId="1" xfId="0" applyFont="1" applyFill="1" applyBorder="1" applyAlignment="1" applyProtection="1">
      <alignment horizontal="center" vertical="center" readingOrder="2"/>
      <protection locked="0"/>
    </xf>
    <xf numFmtId="0" fontId="12" fillId="15" borderId="1" xfId="0" applyFont="1" applyFill="1" applyBorder="1" applyAlignment="1" applyProtection="1">
      <alignment horizontal="center" vertical="center" readingOrder="2"/>
      <protection locked="0"/>
    </xf>
    <xf numFmtId="165" fontId="18" fillId="6" borderId="10" xfId="2" applyNumberFormat="1" applyFont="1" applyFill="1" applyBorder="1" applyAlignment="1" applyProtection="1">
      <alignment horizontal="center"/>
      <protection locked="0"/>
    </xf>
    <xf numFmtId="1" fontId="18" fillId="6" borderId="4" xfId="2" applyNumberFormat="1" applyFont="1" applyFill="1" applyBorder="1" applyAlignment="1" applyProtection="1">
      <alignment horizontal="center"/>
      <protection locked="0"/>
    </xf>
    <xf numFmtId="165" fontId="17" fillId="6" borderId="12" xfId="1" applyNumberFormat="1" applyFont="1" applyFill="1" applyBorder="1" applyAlignment="1" applyProtection="1">
      <alignment horizontal="center"/>
      <protection locked="0"/>
    </xf>
    <xf numFmtId="0" fontId="2" fillId="0" borderId="0" xfId="0" applyFont="1" applyAlignment="1">
      <alignment vertical="center" wrapText="1"/>
    </xf>
    <xf numFmtId="0" fontId="6" fillId="6" borderId="13" xfId="0" applyFont="1" applyFill="1" applyBorder="1" applyAlignment="1">
      <alignment vertical="center"/>
    </xf>
    <xf numFmtId="166" fontId="2" fillId="0" borderId="1" xfId="0" applyNumberFormat="1" applyFont="1" applyBorder="1" applyAlignment="1" applyProtection="1">
      <alignment horizontal="center" readingOrder="2"/>
      <protection locked="0"/>
    </xf>
    <xf numFmtId="0" fontId="26" fillId="6" borderId="14" xfId="0" applyFont="1" applyFill="1" applyBorder="1" applyAlignment="1">
      <alignment vertical="center"/>
    </xf>
    <xf numFmtId="0" fontId="26" fillId="6" borderId="0" xfId="0" applyFont="1" applyFill="1" applyAlignment="1">
      <alignment vertical="center"/>
    </xf>
    <xf numFmtId="0" fontId="24" fillId="0" borderId="0" xfId="0" applyFont="1" applyAlignment="1">
      <alignment vertical="center" wrapText="1"/>
    </xf>
    <xf numFmtId="0" fontId="6" fillId="6" borderId="14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14" borderId="5" xfId="0" applyFont="1" applyFill="1" applyBorder="1" applyAlignment="1">
      <alignment horizontal="center" vertical="center"/>
    </xf>
    <xf numFmtId="0" fontId="2" fillId="14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 vertical="center"/>
    </xf>
    <xf numFmtId="0" fontId="2" fillId="4" borderId="1" xfId="0" applyFont="1" applyFill="1" applyBorder="1" applyAlignment="1">
      <alignment horizontal="center"/>
    </xf>
    <xf numFmtId="0" fontId="5" fillId="12" borderId="5" xfId="0" applyFont="1" applyFill="1" applyBorder="1" applyAlignment="1" applyProtection="1">
      <alignment horizontal="center"/>
      <protection locked="0"/>
    </xf>
    <xf numFmtId="0" fontId="5" fillId="12" borderId="2" xfId="0" applyFont="1" applyFill="1" applyBorder="1" applyAlignment="1" applyProtection="1">
      <alignment horizontal="center"/>
      <protection locked="0"/>
    </xf>
    <xf numFmtId="0" fontId="5" fillId="12" borderId="6" xfId="0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>
      <alignment horizontal="left" vertical="center"/>
    </xf>
    <xf numFmtId="0" fontId="5" fillId="11" borderId="5" xfId="0" applyFont="1" applyFill="1" applyBorder="1" applyAlignment="1" applyProtection="1">
      <alignment horizontal="center" readingOrder="2"/>
      <protection locked="0"/>
    </xf>
    <xf numFmtId="0" fontId="5" fillId="11" borderId="2" xfId="0" applyFont="1" applyFill="1" applyBorder="1" applyAlignment="1" applyProtection="1">
      <alignment horizontal="center" readingOrder="2"/>
      <protection locked="0"/>
    </xf>
    <xf numFmtId="0" fontId="5" fillId="11" borderId="6" xfId="0" applyFont="1" applyFill="1" applyBorder="1" applyAlignment="1" applyProtection="1">
      <alignment horizontal="center" readingOrder="2"/>
      <protection locked="0"/>
    </xf>
    <xf numFmtId="0" fontId="5" fillId="11" borderId="5" xfId="0" applyFont="1" applyFill="1" applyBorder="1" applyAlignment="1" applyProtection="1">
      <alignment horizontal="center"/>
      <protection locked="0"/>
    </xf>
    <xf numFmtId="0" fontId="5" fillId="11" borderId="2" xfId="0" applyFont="1" applyFill="1" applyBorder="1" applyAlignment="1" applyProtection="1">
      <alignment horizontal="center"/>
      <protection locked="0"/>
    </xf>
    <xf numFmtId="0" fontId="5" fillId="11" borderId="6" xfId="0" applyFont="1" applyFill="1" applyBorder="1" applyAlignment="1" applyProtection="1">
      <alignment horizontal="center"/>
      <protection locked="0"/>
    </xf>
    <xf numFmtId="0" fontId="2" fillId="5" borderId="1" xfId="0" applyFont="1" applyFill="1" applyBorder="1" applyAlignment="1">
      <alignment horizontal="right"/>
    </xf>
    <xf numFmtId="2" fontId="5" fillId="11" borderId="5" xfId="0" applyNumberFormat="1" applyFont="1" applyFill="1" applyBorder="1" applyAlignment="1" applyProtection="1">
      <alignment horizontal="center"/>
      <protection locked="0"/>
    </xf>
    <xf numFmtId="2" fontId="5" fillId="11" borderId="2" xfId="0" applyNumberFormat="1" applyFont="1" applyFill="1" applyBorder="1" applyAlignment="1" applyProtection="1">
      <alignment horizontal="center"/>
      <protection locked="0"/>
    </xf>
    <xf numFmtId="2" fontId="5" fillId="11" borderId="6" xfId="0" applyNumberFormat="1" applyFont="1" applyFill="1" applyBorder="1" applyAlignment="1" applyProtection="1">
      <alignment horizontal="center"/>
      <protection locked="0"/>
    </xf>
    <xf numFmtId="0" fontId="1" fillId="12" borderId="10" xfId="0" applyFont="1" applyFill="1" applyBorder="1" applyAlignment="1" applyProtection="1">
      <alignment horizontal="center" readingOrder="2"/>
      <protection locked="0"/>
    </xf>
    <xf numFmtId="0" fontId="1" fillId="12" borderId="4" xfId="0" applyFont="1" applyFill="1" applyBorder="1" applyAlignment="1" applyProtection="1">
      <alignment horizontal="center" readingOrder="2"/>
      <protection locked="0"/>
    </xf>
    <xf numFmtId="0" fontId="1" fillId="12" borderId="12" xfId="0" applyFont="1" applyFill="1" applyBorder="1" applyAlignment="1" applyProtection="1">
      <alignment horizontal="center" readingOrder="2"/>
      <protection locked="0"/>
    </xf>
    <xf numFmtId="0" fontId="1" fillId="12" borderId="15" xfId="0" applyFont="1" applyFill="1" applyBorder="1" applyAlignment="1" applyProtection="1">
      <alignment horizontal="center"/>
      <protection locked="0"/>
    </xf>
    <xf numFmtId="0" fontId="1" fillId="12" borderId="0" xfId="0" applyFont="1" applyFill="1" applyAlignment="1" applyProtection="1">
      <alignment horizontal="center"/>
      <protection locked="0"/>
    </xf>
    <xf numFmtId="0" fontId="1" fillId="12" borderId="16" xfId="0" applyFont="1" applyFill="1" applyBorder="1" applyAlignment="1" applyProtection="1">
      <alignment horizontal="center"/>
      <protection locked="0"/>
    </xf>
    <xf numFmtId="0" fontId="2" fillId="14" borderId="9" xfId="0" applyFont="1" applyFill="1" applyBorder="1" applyAlignment="1" applyProtection="1">
      <alignment horizontal="center" vertical="center" wrapText="1"/>
      <protection locked="0"/>
    </xf>
    <xf numFmtId="0" fontId="2" fillId="14" borderId="10" xfId="0" applyFont="1" applyFill="1" applyBorder="1" applyAlignment="1" applyProtection="1">
      <alignment horizontal="center" vertical="center" wrapText="1"/>
      <protection locked="0"/>
    </xf>
    <xf numFmtId="0" fontId="2" fillId="5" borderId="7" xfId="0" applyFont="1" applyFill="1" applyBorder="1" applyAlignment="1">
      <alignment horizontal="right"/>
    </xf>
    <xf numFmtId="1" fontId="5" fillId="11" borderId="9" xfId="0" applyNumberFormat="1" applyFont="1" applyFill="1" applyBorder="1" applyAlignment="1" applyProtection="1">
      <alignment horizontal="center"/>
      <protection locked="0"/>
    </xf>
    <xf numFmtId="1" fontId="5" fillId="11" borderId="3" xfId="0" applyNumberFormat="1" applyFont="1" applyFill="1" applyBorder="1" applyAlignment="1" applyProtection="1">
      <alignment horizontal="center"/>
      <protection locked="0"/>
    </xf>
    <xf numFmtId="1" fontId="5" fillId="11" borderId="11" xfId="0" applyNumberFormat="1" applyFont="1" applyFill="1" applyBorder="1" applyAlignment="1" applyProtection="1">
      <alignment horizontal="center"/>
      <protection locked="0"/>
    </xf>
    <xf numFmtId="0" fontId="2" fillId="14" borderId="10" xfId="0" applyFont="1" applyFill="1" applyBorder="1" applyAlignment="1" applyProtection="1">
      <alignment horizontal="center" vertical="center"/>
      <protection locked="0"/>
    </xf>
    <xf numFmtId="0" fontId="11" fillId="6" borderId="9" xfId="0" applyFont="1" applyFill="1" applyBorder="1" applyAlignment="1" applyProtection="1">
      <alignment horizontal="center" vertical="center" readingOrder="2"/>
      <protection locked="0"/>
    </xf>
    <xf numFmtId="0" fontId="11" fillId="6" borderId="3" xfId="0" applyFont="1" applyFill="1" applyBorder="1" applyAlignment="1" applyProtection="1">
      <alignment horizontal="center" vertical="center" readingOrder="2"/>
      <protection locked="0"/>
    </xf>
    <xf numFmtId="0" fontId="11" fillId="6" borderId="11" xfId="0" applyFont="1" applyFill="1" applyBorder="1" applyAlignment="1" applyProtection="1">
      <alignment horizontal="center" vertical="center" readingOrder="2"/>
      <protection locked="0"/>
    </xf>
    <xf numFmtId="0" fontId="11" fillId="6" borderId="10" xfId="0" applyFont="1" applyFill="1" applyBorder="1" applyAlignment="1" applyProtection="1">
      <alignment horizontal="center" vertical="center" readingOrder="2"/>
      <protection locked="0"/>
    </xf>
    <xf numFmtId="0" fontId="11" fillId="6" borderId="4" xfId="0" applyFont="1" applyFill="1" applyBorder="1" applyAlignment="1" applyProtection="1">
      <alignment horizontal="center" vertical="center" readingOrder="2"/>
      <protection locked="0"/>
    </xf>
    <xf numFmtId="0" fontId="11" fillId="6" borderId="12" xfId="0" applyFont="1" applyFill="1" applyBorder="1" applyAlignment="1" applyProtection="1">
      <alignment horizontal="center" vertical="center" readingOrder="2"/>
      <protection locked="0"/>
    </xf>
    <xf numFmtId="0" fontId="22" fillId="0" borderId="0" xfId="0" applyFont="1" applyAlignment="1">
      <alignment horizontal="center" vertical="center"/>
    </xf>
  </cellXfs>
  <cellStyles count="3">
    <cellStyle name="Bad" xfId="1" builtinId="27"/>
    <cellStyle name="Good" xfId="2" builtinId="26"/>
    <cellStyle name="Normal" xfId="0" builtinId="0"/>
  </cellStyles>
  <dxfs count="10">
    <dxf>
      <font>
        <color rgb="FF00FF00"/>
      </font>
      <fill>
        <patternFill>
          <fgColor rgb="FFC6EFCE"/>
          <bgColor theme="1"/>
        </patternFill>
      </fill>
    </dxf>
    <dxf>
      <font>
        <color rgb="FFFF0000"/>
      </font>
    </dxf>
    <dxf>
      <font>
        <color rgb="FFFF0000"/>
      </font>
      <fill>
        <patternFill>
          <bgColor theme="1"/>
        </patternFill>
      </fill>
    </dxf>
    <dxf>
      <font>
        <color rgb="FF00FF00"/>
      </font>
      <fill>
        <patternFill>
          <bgColor theme="1"/>
        </patternFill>
      </fill>
    </dxf>
    <dxf>
      <font>
        <color rgb="FFFFC000"/>
      </font>
      <fill>
        <patternFill>
          <bgColor theme="1"/>
        </patternFill>
      </fill>
    </dxf>
    <dxf>
      <font>
        <color rgb="FF00FF00"/>
      </font>
      <fill>
        <patternFill patternType="solid">
          <fgColor indexed="64"/>
          <bgColor theme="1"/>
        </patternFill>
      </fill>
    </dxf>
    <dxf>
      <font>
        <color rgb="FF00FF00"/>
      </font>
      <fill>
        <patternFill>
          <bgColor theme="1"/>
        </patternFill>
      </fill>
    </dxf>
    <dxf>
      <font>
        <color rgb="FFFFC000"/>
      </font>
      <fill>
        <patternFill>
          <bgColor theme="1"/>
        </patternFill>
      </fill>
    </dxf>
    <dxf>
      <font>
        <color rgb="FF00FF00"/>
      </font>
      <fill>
        <patternFill patternType="solid">
          <fgColor indexed="64"/>
          <bgColor theme="1"/>
        </patternFill>
      </fill>
    </dxf>
    <dxf>
      <font>
        <color rgb="FFFF0000"/>
      </font>
      <fill>
        <patternFill>
          <bgColor rgb="FF640000"/>
        </patternFill>
      </fill>
    </dxf>
  </dxfs>
  <tableStyles count="0" defaultTableStyle="TableStyleMedium2" defaultPivotStyle="PivotStyleLight16"/>
  <colors>
    <mruColors>
      <color rgb="FF334EBF"/>
      <color rgb="FF3975B9"/>
      <color rgb="FF000000"/>
      <color rgb="FFFFFFFF"/>
      <color rgb="FF640000"/>
      <color rgb="FF320000"/>
      <color rgb="FF600000"/>
      <color rgb="FF7E0000"/>
      <color rgb="FFA80000"/>
      <color rgb="FF1F4E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image" Target="../media/image1.jpeg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473DC-D36D-4CCB-BEA4-1BEBB7243258}">
  <sheetPr codeName="Worksheet______1"/>
  <dimension ref="A1:R89"/>
  <sheetViews>
    <sheetView showGridLines="0" rightToLeft="1" tabSelected="1" zoomScaleNormal="100" workbookViewId="0">
      <selection activeCell="I14" sqref="I14"/>
    </sheetView>
  </sheetViews>
  <sheetFormatPr defaultColWidth="9.140625" defaultRowHeight="0" customHeight="1" zeroHeight="1" x14ac:dyDescent="0.25"/>
  <cols>
    <col min="1" max="1" width="6.7109375" style="5" customWidth="1"/>
    <col min="2" max="2" width="20" style="5" bestFit="1" customWidth="1"/>
    <col min="3" max="3" width="25" style="5" customWidth="1"/>
    <col min="4" max="4" width="3.28515625" style="5" customWidth="1"/>
    <col min="5" max="5" width="22.28515625" style="5" bestFit="1" customWidth="1"/>
    <col min="6" max="6" width="38.28515625" style="5" bestFit="1" customWidth="1"/>
    <col min="7" max="7" width="3.28515625" style="5" customWidth="1"/>
    <col min="8" max="8" width="33.85546875" style="5" bestFit="1" customWidth="1"/>
    <col min="9" max="9" width="29.85546875" style="5" customWidth="1"/>
    <col min="10" max="10" width="3.28515625" style="5" customWidth="1"/>
    <col min="11" max="11" width="13.140625" style="5" customWidth="1"/>
    <col min="12" max="12" width="6.28515625" style="5" bestFit="1" customWidth="1"/>
    <col min="13" max="13" width="8.28515625" style="5" bestFit="1" customWidth="1"/>
    <col min="14" max="14" width="5.85546875" style="5" bestFit="1" customWidth="1"/>
    <col min="15" max="15" width="16.28515625" style="5" customWidth="1"/>
    <col min="16" max="16" width="7.85546875" style="5" bestFit="1" customWidth="1"/>
    <col min="17" max="17" width="9.7109375" style="5" customWidth="1"/>
    <col min="18" max="18" width="9.140625" style="5"/>
    <col min="19" max="19" width="9.7109375" style="5" customWidth="1"/>
    <col min="20" max="16384" width="9.140625" style="5"/>
  </cols>
  <sheetData>
    <row r="1" spans="1:17" ht="14.25" customHeight="1" thickBot="1" x14ac:dyDescent="0.3">
      <c r="A1" s="5" t="s">
        <v>0</v>
      </c>
    </row>
    <row r="2" spans="1:17" ht="14.25" customHeight="1" thickTop="1" x14ac:dyDescent="0.25">
      <c r="B2" s="59" t="s">
        <v>1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6">
        <f>IF(I7="בעלת טבלה עליונה",1,0)</f>
        <v>1</v>
      </c>
    </row>
    <row r="3" spans="1:17" ht="14.25" customHeight="1" x14ac:dyDescent="0.25"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57">
        <f>IF(I39="בעלת טבלה עליונה",1,0)</f>
        <v>1</v>
      </c>
    </row>
    <row r="4" spans="1:17" ht="14.25" customHeight="1" thickBot="1" x14ac:dyDescent="0.3"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54"/>
    </row>
    <row r="5" spans="1:17" ht="14.25" customHeight="1" thickTop="1" x14ac:dyDescent="0.25"/>
    <row r="6" spans="1:17" ht="14.25" customHeight="1" x14ac:dyDescent="0.25">
      <c r="B6" s="62" t="s">
        <v>2</v>
      </c>
      <c r="C6" s="63"/>
      <c r="E6" s="62" t="s">
        <v>3</v>
      </c>
      <c r="F6" s="63"/>
      <c r="H6" s="62" t="s">
        <v>4</v>
      </c>
      <c r="I6" s="63"/>
      <c r="K6" s="67" t="s">
        <v>5</v>
      </c>
      <c r="L6" s="67"/>
      <c r="M6" s="67"/>
      <c r="N6" s="67"/>
      <c r="O6" s="67"/>
      <c r="P6" s="67"/>
      <c r="Q6" s="67"/>
    </row>
    <row r="7" spans="1:17" ht="14.25" customHeight="1" x14ac:dyDescent="0.3">
      <c r="B7" s="6" t="s">
        <v>6</v>
      </c>
      <c r="C7" s="1">
        <v>5</v>
      </c>
      <c r="E7" s="6" t="s">
        <v>7</v>
      </c>
      <c r="F7" s="1">
        <v>17</v>
      </c>
      <c r="H7" s="7" t="s">
        <v>8</v>
      </c>
      <c r="I7" s="1" t="s">
        <v>9</v>
      </c>
      <c r="K7" s="71" t="s">
        <v>10</v>
      </c>
      <c r="L7" s="71"/>
      <c r="M7" s="71"/>
      <c r="N7" s="71"/>
      <c r="O7" s="68">
        <v>10</v>
      </c>
      <c r="P7" s="69"/>
      <c r="Q7" s="70"/>
    </row>
    <row r="8" spans="1:17" ht="14.25" customHeight="1" x14ac:dyDescent="0.3">
      <c r="B8" s="6" t="s">
        <v>11</v>
      </c>
      <c r="C8" s="1">
        <v>2</v>
      </c>
      <c r="E8" s="6" t="s">
        <v>12</v>
      </c>
      <c r="F8" s="1">
        <v>0.6</v>
      </c>
      <c r="H8" s="6" t="s">
        <v>6</v>
      </c>
      <c r="I8" s="1">
        <v>11</v>
      </c>
      <c r="K8" s="71" t="s">
        <v>13</v>
      </c>
      <c r="L8" s="71"/>
      <c r="M8" s="71"/>
      <c r="N8" s="71"/>
      <c r="O8" s="68">
        <v>5</v>
      </c>
      <c r="P8" s="69"/>
      <c r="Q8" s="70"/>
    </row>
    <row r="9" spans="1:17" ht="14.25" customHeight="1" x14ac:dyDescent="0.3">
      <c r="B9" s="6" t="s">
        <v>14</v>
      </c>
      <c r="C9" s="1">
        <v>1</v>
      </c>
      <c r="E9" s="6" t="s">
        <v>15</v>
      </c>
      <c r="F9" s="1">
        <v>8.1999999999999993</v>
      </c>
      <c r="H9" s="9" t="str">
        <f>IF(I7="בעלת טבלה עליונה","tf [cm]","tf [cm] - וודא/י שהיחס h/tf בין 5 ל-9!")</f>
        <v>tf [cm]</v>
      </c>
      <c r="I9" s="1">
        <v>6</v>
      </c>
      <c r="K9" s="71" t="s">
        <v>16</v>
      </c>
      <c r="L9" s="71"/>
      <c r="M9" s="71"/>
      <c r="N9" s="71"/>
      <c r="O9" s="68">
        <v>2</v>
      </c>
      <c r="P9" s="69"/>
      <c r="Q9" s="70"/>
    </row>
    <row r="10" spans="1:17" ht="14.25" customHeight="1" x14ac:dyDescent="0.25">
      <c r="B10" s="10" t="s">
        <v>17</v>
      </c>
      <c r="C10" s="2" cm="1">
        <f t="array" ref="C10">Floor1DN(C7,C8,C9)</f>
        <v>1</v>
      </c>
      <c r="E10" s="6" t="s">
        <v>18</v>
      </c>
      <c r="F10" s="1">
        <v>0.8</v>
      </c>
      <c r="H10" s="8" t="s">
        <v>19</v>
      </c>
      <c r="I10" s="1">
        <v>30</v>
      </c>
      <c r="K10" s="66" t="s">
        <v>20</v>
      </c>
      <c r="L10" s="66"/>
      <c r="M10" s="66"/>
      <c r="N10" s="66"/>
      <c r="O10" s="68" t="s">
        <v>21</v>
      </c>
      <c r="P10" s="69"/>
      <c r="Q10" s="70"/>
    </row>
    <row r="11" spans="1:17" ht="14.25" customHeight="1" x14ac:dyDescent="0.25">
      <c r="B11" s="10" t="s">
        <v>22</v>
      </c>
      <c r="C11" s="26" cm="1">
        <f t="array" ref="C11">Floor1DS(C7,C8,C9)</f>
        <v>0.17676984821536204</v>
      </c>
      <c r="E11" s="6" t="s">
        <v>11</v>
      </c>
      <c r="F11" s="1">
        <v>4.5</v>
      </c>
      <c r="H11" s="8" t="s">
        <v>23</v>
      </c>
      <c r="I11" s="1">
        <v>50</v>
      </c>
      <c r="K11" s="66" t="s">
        <v>24</v>
      </c>
      <c r="L11" s="66"/>
      <c r="M11" s="66"/>
      <c r="N11" s="66"/>
      <c r="O11" s="68" t="s">
        <v>25</v>
      </c>
      <c r="P11" s="69"/>
      <c r="Q11" s="70"/>
    </row>
    <row r="12" spans="1:17" ht="14.25" customHeight="1" x14ac:dyDescent="0.3">
      <c r="B12" s="11" t="s">
        <v>26</v>
      </c>
      <c r="C12" s="3" t="str" cm="1">
        <f t="array" ref="C12">IF(MOD(Floor1DR(C7,C8,C9),0.01)=0,Floor1DR(C7,C8,C9),Floor1DR(C7,C8,C9)-MOD(Floor1DR(C7,C8,C9),0.01)+0.01)*100&amp;" ס""מ"</f>
        <v>18 ס"מ</v>
      </c>
      <c r="E12" s="6" t="s">
        <v>14</v>
      </c>
      <c r="F12" s="1">
        <v>1</v>
      </c>
      <c r="H12" s="6" t="s">
        <v>13</v>
      </c>
      <c r="I12" s="1">
        <v>1</v>
      </c>
      <c r="K12" s="66" t="s">
        <v>27</v>
      </c>
      <c r="L12" s="66"/>
      <c r="M12" s="66"/>
      <c r="N12" s="66"/>
      <c r="O12" s="68" t="s">
        <v>28</v>
      </c>
      <c r="P12" s="69"/>
      <c r="Q12" s="70"/>
    </row>
    <row r="13" spans="1:17" ht="14.25" customHeight="1" x14ac:dyDescent="0.3">
      <c r="E13" s="12" t="s">
        <v>29</v>
      </c>
      <c r="F13" s="2">
        <f>IF(F7&gt;F9,F7,F9)</f>
        <v>17</v>
      </c>
      <c r="H13" s="6" t="s">
        <v>16</v>
      </c>
      <c r="I13" s="1">
        <v>2</v>
      </c>
      <c r="K13" s="66" t="s">
        <v>30</v>
      </c>
      <c r="L13" s="66"/>
      <c r="M13" s="66"/>
      <c r="N13" s="66"/>
      <c r="O13" s="68" t="s">
        <v>31</v>
      </c>
      <c r="P13" s="69"/>
      <c r="Q13" s="70"/>
    </row>
    <row r="14" spans="1:17" ht="14.25" customHeight="1" x14ac:dyDescent="0.3">
      <c r="B14" s="67" t="s">
        <v>32</v>
      </c>
      <c r="C14" s="67"/>
      <c r="E14" s="12" t="s">
        <v>33</v>
      </c>
      <c r="F14" s="2">
        <f>IF(F7&gt;F9,F8,F10)</f>
        <v>0.6</v>
      </c>
      <c r="H14" s="6" t="s">
        <v>14</v>
      </c>
      <c r="I14" s="1">
        <v>1</v>
      </c>
      <c r="K14" s="78" t="s">
        <v>34</v>
      </c>
      <c r="L14" s="78"/>
      <c r="M14" s="78"/>
      <c r="N14" s="78"/>
      <c r="O14" s="79">
        <f>(O7/30)*100+0.000000001</f>
        <v>33.333333334333325</v>
      </c>
      <c r="P14" s="80"/>
      <c r="Q14" s="81"/>
    </row>
    <row r="15" spans="1:17" ht="14.25" customHeight="1" x14ac:dyDescent="0.3">
      <c r="B15" s="6" t="s">
        <v>6</v>
      </c>
      <c r="C15" s="1">
        <v>10</v>
      </c>
      <c r="E15" s="12" t="s">
        <v>35</v>
      </c>
      <c r="F15" s="2">
        <f>F13*F14</f>
        <v>10.199999999999999</v>
      </c>
      <c r="H15" s="11" t="s">
        <v>26</v>
      </c>
      <c r="I15" s="55" cm="1">
        <f t="array" ref="I15">TikratTzlaot(Q2,I8, I9, I10, I11, I12, I13, I14, I19, I20, 300)</f>
        <v>60</v>
      </c>
      <c r="K15" s="78" t="s">
        <v>36</v>
      </c>
      <c r="L15" s="78"/>
      <c r="M15" s="78"/>
      <c r="N15" s="78"/>
      <c r="O15" s="72" t="str">
        <f>IF(O14&lt;=24,"16 ס""מ + 8 ס""מ טופינג",IF(O14&lt;=28,"20 ס""מ + 8 ס""מ טופינג",IF(O14&lt;=33,"25 ס""מ + 8 ס""מ טופינג",IF(O14&lt;=38,"30 ס""מ + 8 ס""מ טופינג",IF(O14&lt;=48,"40 ס""מ + 8 ס""מ טופינג",IF(O14&lt;=58,"50 ס""מ + 8 ס""מ טופינג","אין לוח""ד מתאים"))))))</f>
        <v>30 ס"מ + 8 ס"מ טופינג</v>
      </c>
      <c r="P15" s="73"/>
      <c r="Q15" s="74"/>
    </row>
    <row r="16" spans="1:17" ht="14.25" customHeight="1" x14ac:dyDescent="0.3">
      <c r="B16" s="6" t="s">
        <v>37</v>
      </c>
      <c r="C16" s="1">
        <v>30</v>
      </c>
      <c r="E16" s="12" t="s">
        <v>38</v>
      </c>
      <c r="F16" s="2">
        <f>IF(F7&gt;F9,F9,F7)</f>
        <v>8.1999999999999993</v>
      </c>
      <c r="H16" s="13" t="str">
        <f>"h_0 = ℓ_0/"&amp;IF(I7="בעלת טבלה עליונה",17,25)&amp;" [cm] - הנחה ראשונית"</f>
        <v>h_0 = ℓ_0/17 [cm] - הנחה ראשונית</v>
      </c>
      <c r="I16" s="29">
        <f>(I8/IF(I7="בעלת טבלה עליונה",17,25))*100</f>
        <v>64.705882352941174</v>
      </c>
      <c r="K16" s="78" t="s">
        <v>39</v>
      </c>
      <c r="L16" s="78"/>
      <c r="M16" s="78"/>
      <c r="N16" s="78"/>
      <c r="O16" s="75">
        <f>IF(O7&lt;=10,15,20)</f>
        <v>15</v>
      </c>
      <c r="P16" s="76"/>
      <c r="Q16" s="77"/>
    </row>
    <row r="17" spans="2:17" ht="14.25" customHeight="1" x14ac:dyDescent="0.3">
      <c r="B17" s="6" t="s">
        <v>40</v>
      </c>
      <c r="C17" s="1">
        <v>0</v>
      </c>
      <c r="E17" s="12" t="s">
        <v>41</v>
      </c>
      <c r="F17" s="2">
        <f>IF(F7&gt;F9,F10,F8)</f>
        <v>0.8</v>
      </c>
      <c r="H17" s="14" t="s">
        <v>42</v>
      </c>
      <c r="I17" s="2">
        <f>I11+I10</f>
        <v>80</v>
      </c>
      <c r="K17" s="78" t="s">
        <v>43</v>
      </c>
      <c r="L17" s="78"/>
      <c r="M17" s="78"/>
      <c r="N17" s="78"/>
      <c r="O17" s="75">
        <f>IF(O12="אין (מבנה רגיל)",5.5,8)</f>
        <v>5.5</v>
      </c>
      <c r="P17" s="76"/>
      <c r="Q17" s="77"/>
    </row>
    <row r="18" spans="2:17" ht="14.25" customHeight="1" x14ac:dyDescent="0.3">
      <c r="B18" s="6" t="s">
        <v>44</v>
      </c>
      <c r="C18" s="1">
        <v>1</v>
      </c>
      <c r="E18" s="12" t="s">
        <v>45</v>
      </c>
      <c r="F18" s="2">
        <f>F16*F17</f>
        <v>6.56</v>
      </c>
      <c r="H18" s="14" t="s">
        <v>46</v>
      </c>
      <c r="I18" s="2">
        <f>IF(I13&gt;=3,2,2.5)*IF(I7="בעלת טבלה עליונה",1,2)</f>
        <v>2.5</v>
      </c>
      <c r="K18" s="78" t="s">
        <v>47</v>
      </c>
      <c r="L18" s="78"/>
      <c r="M18" s="78"/>
      <c r="N18" s="78"/>
      <c r="O18" s="75">
        <f>INDEX('S2'!R2:R5,MATCH(O11,'S2'!Q2:Q5,0))</f>
        <v>30000</v>
      </c>
      <c r="P18" s="76"/>
      <c r="Q18" s="77"/>
    </row>
    <row r="19" spans="2:17" ht="14.25" customHeight="1" x14ac:dyDescent="0.3">
      <c r="B19" s="6" t="s">
        <v>14</v>
      </c>
      <c r="C19" s="1">
        <v>1</v>
      </c>
      <c r="E19" s="12" t="s">
        <v>48</v>
      </c>
      <c r="F19" s="27">
        <f>F13/F16</f>
        <v>2.0731707317073171</v>
      </c>
      <c r="H19" s="15" t="s">
        <v>49</v>
      </c>
      <c r="I19" s="2">
        <v>25</v>
      </c>
      <c r="K19" s="78" t="s">
        <v>50</v>
      </c>
      <c r="L19" s="78"/>
      <c r="M19" s="78"/>
      <c r="N19" s="78"/>
      <c r="O19" s="75">
        <f>IF(IF(MOD(O7,0.25)=0,O7,O7-MOD(O7,0.25)+0.25)*100&lt;=325,350,IF(MOD(O7,0.25)=0,O7,O7-MOD(O7,0.25)+0.25)*100)</f>
        <v>1000</v>
      </c>
      <c r="P19" s="76"/>
      <c r="Q19" s="77"/>
    </row>
    <row r="20" spans="2:17" ht="14.25" customHeight="1" x14ac:dyDescent="0.3">
      <c r="B20" s="14" t="s">
        <v>51</v>
      </c>
      <c r="C20" s="2" t="str">
        <f>C18&amp;"+25*(h-0."&amp;C17&amp;")"</f>
        <v>1+25*(h-0.0)</v>
      </c>
      <c r="E20" s="12" t="s">
        <v>52</v>
      </c>
      <c r="F20" s="28" t="str">
        <f>IF(AND(F19&gt;=1.15,F19&lt;=2),"1.15&lt;ℓ_max/ℓ_min&lt;2",IF(F19&lt;1.15,"ℓ_max/ℓ_min&lt;1.15","ℓ_max/ℓ_min&gt;2"))</f>
        <v>ℓ_max/ℓ_min&gt;2</v>
      </c>
      <c r="H20" s="15" t="s">
        <v>53</v>
      </c>
      <c r="I20" s="2">
        <v>6</v>
      </c>
      <c r="K20" s="90" t="s">
        <v>54</v>
      </c>
      <c r="L20" s="90"/>
      <c r="M20" s="90"/>
      <c r="N20" s="90"/>
      <c r="O20" s="91">
        <f>(O8+O9)*100-0.0000000000001</f>
        <v>699.99999999999989</v>
      </c>
      <c r="P20" s="92"/>
      <c r="Q20" s="93"/>
    </row>
    <row r="21" spans="2:17" ht="14.25" customHeight="1" x14ac:dyDescent="0.3">
      <c r="B21" s="10" t="s">
        <v>17</v>
      </c>
      <c r="C21" s="2" cm="1">
        <f t="array" ref="C21">BeamN(C15,C16,C17,C18,C19)</f>
        <v>3</v>
      </c>
      <c r="E21" s="12" t="s">
        <v>55</v>
      </c>
      <c r="F21" s="28" t="str">
        <f>IF(AND(F19&gt;=1.15,F19&lt;=2),"המפתח השקיל הקצר בשדה, ℓ0_min",IF(F19&lt;1.15,"ממוצע המפתחים השקילים, (ℓ0x+ℓ0y)/2","תקרה מקשית חד כיוונית בכיוון המפתח הקצר"))</f>
        <v>תקרה מקשית חד כיוונית בכיוון המפתח הקצר</v>
      </c>
      <c r="H21" s="14" t="s">
        <v>51</v>
      </c>
      <c r="I21" s="26">
        <f>IF(I7="בעלת טבלה עליונה",          I19*(I15/100)-((I15-I9)/100)*(I19-I20)*(I18)*(I11/100)/((I18+I10/100)*(I17/100))+I12+I13,          I19*(I15/100)-((I15-2*I9)/100)*(I19-I20)*(I18)*(I11/100)/((I18+I10/100)*(I17/100))+I12+I13)</f>
        <v>12.274553571428569</v>
      </c>
      <c r="K21" s="88" t="s">
        <v>56</v>
      </c>
      <c r="L21" s="32" t="s">
        <v>57</v>
      </c>
      <c r="M21" s="33" t="s">
        <v>58</v>
      </c>
      <c r="N21" s="34" t="s">
        <v>59</v>
      </c>
      <c r="O21" s="88" t="s">
        <v>60</v>
      </c>
      <c r="P21" s="35" t="s">
        <v>61</v>
      </c>
      <c r="Q21" s="36" t="s">
        <v>62</v>
      </c>
    </row>
    <row r="22" spans="2:17" ht="14.25" customHeight="1" x14ac:dyDescent="0.25">
      <c r="B22" s="10" t="s">
        <v>22</v>
      </c>
      <c r="C22" s="26" t="str" cm="1">
        <f t="array" ref="C22">BeamS(C15,C16,C17,C18,C19)</f>
        <v>0.47, -0.3151, -0.155</v>
      </c>
      <c r="E22" s="12" t="s">
        <v>63</v>
      </c>
      <c r="F22" s="28">
        <f>F19^(1/3)</f>
        <v>1.2751022820331817</v>
      </c>
      <c r="H22" s="14" t="s">
        <v>64</v>
      </c>
      <c r="I22" s="2">
        <f>I15/I9</f>
        <v>10</v>
      </c>
      <c r="K22" s="94"/>
      <c r="L22" s="37" t="s">
        <v>65</v>
      </c>
      <c r="M22" s="38" t="s">
        <v>66</v>
      </c>
      <c r="N22" s="39" t="s">
        <v>67</v>
      </c>
      <c r="O22" s="89"/>
      <c r="P22" s="40" t="s">
        <v>68</v>
      </c>
      <c r="Q22" s="41" t="s">
        <v>69</v>
      </c>
    </row>
    <row r="23" spans="2:17" ht="14.25" customHeight="1" x14ac:dyDescent="0.3">
      <c r="B23" s="11" t="s">
        <v>70</v>
      </c>
      <c r="C23" s="3" t="str" cm="1">
        <f t="array" ref="C23">IF(MOD(BeamR(C15,C16,C17,C18,C19),0.05)=0,BeamR(C15,C16,C17,C18,C19),BeamR(C15,C16,C17,C18,C19)-MOD(BeamR(C15,C16,C17,C18,C19),0.05)+0.05)*100&amp;" ס""מ"</f>
        <v>50 ס"מ</v>
      </c>
      <c r="E23" s="12" t="s">
        <v>71</v>
      </c>
      <c r="F23" s="28">
        <f>1.22/F22</f>
        <v>0.95678599057534452</v>
      </c>
      <c r="H23" s="14" t="s">
        <v>72</v>
      </c>
      <c r="I23" s="26">
        <f>I17/I10</f>
        <v>2.6666666666666665</v>
      </c>
      <c r="K23" s="42" t="s">
        <v>73</v>
      </c>
      <c r="L23" s="43">
        <v>75812</v>
      </c>
      <c r="M23" s="43">
        <v>2.46</v>
      </c>
      <c r="N23" s="44">
        <f>(M23+O$8+25*0.08)*1.2*100</f>
        <v>1135.2</v>
      </c>
      <c r="O23" s="45" t="str" cm="1">
        <f t="array" ref="O23">IF(O10="L/350",
_xlfn.IFNA(INDEX('S2'!X3:X6,5-MATCH(O20,'S2'!DB3:DB6,-1)),"אין לוח""ד מתאים"),
_xlfn.IFNA(INDEX('S2'!X37:X40,5-MATCH(O20,'S2'!DB37:DB40,-1)),"אין לוח""ד מתאים"))</f>
        <v>אין לוח"ד מתאים</v>
      </c>
      <c r="P23" s="46" t="str">
        <f>IF(O10="L/350",
_xlfn.IFNA(INDEX('S2'!DB3:DB6,MATCH(O20,'S2'!DB3:DB6,-1)),"X"),
_xlfn.IFNA(INDEX('S2'!DB37:DB40,MATCH(O20,'S2'!DB37:DB40,-1)),"X")
)</f>
        <v>X</v>
      </c>
      <c r="Q23" s="47">
        <f>(PI()/(2*O$7^2))*SQRT((O$18*L23*(10^(6-8)))/N23)</f>
        <v>2.2233779286673609</v>
      </c>
    </row>
    <row r="24" spans="2:17" ht="14.25" customHeight="1" x14ac:dyDescent="0.3">
      <c r="E24" s="16" t="s">
        <v>6</v>
      </c>
      <c r="F24" s="2">
        <f>IF(AND(F19&gt;=1.15,F19&lt;=2),MIN(F15,F18),IF(F19&lt;1.15,(F15+F18)/2,F18))</f>
        <v>6.56</v>
      </c>
      <c r="H24" s="14" t="s">
        <v>71</v>
      </c>
      <c r="I24" s="30" cm="1">
        <f t="array" ref="I24">_xlfn.IFNA(IF(I7="בעלת טבלה עליונה",K11T(I15,I9,I17,I10),K11D(I15,I9,I17,I10)),
IF(I7="בעלת טבלה עליונה",
IF(I15/I9&gt;10,"יש להקטין את h או להגדיל את tf",IF(I15/I9&lt;1,"יש להקטין את tf או להגדיל את h","???")),
IF(I15/I9&gt;9,"יש להקטין את h או להגדיל את tf",IF(I15/I9&lt;5,"יש להקטין את tf או להגדיל את h","???"))
))</f>
        <v>0.81416666666666671</v>
      </c>
      <c r="K24" s="48" t="s">
        <v>74</v>
      </c>
      <c r="L24" s="49">
        <v>122416</v>
      </c>
      <c r="M24" s="49">
        <v>2.73</v>
      </c>
      <c r="N24" s="44">
        <f t="shared" ref="N24:N28" si="0">(M24+O$8+25*0.08)*1.2*100</f>
        <v>1167.5999999999999</v>
      </c>
      <c r="O24" s="45" t="str" cm="1">
        <f t="array" ref="O24">IF(O10="L/350",
_xlfn.IFNA(INDEX('S2'!X7:X12,7-MATCH(O$20,'S2'!DB7:DB12,-1)),"אין לוח""ד מתאים"),
_xlfn.IFNA(INDEX('S2'!X41:X46,7-MATCH(O$20,'S2'!DB41:DB46,-1)),"אין לוח""ד מתאים"))</f>
        <v>אין לוח"ד מתאים</v>
      </c>
      <c r="P24" s="46" t="str">
        <f>IF(O10="L/350",
_xlfn.IFNA(INDEX('S2'!DB7:DB12,MATCH(O20,'S2'!DB7:DB12,-1)),"X"),
_xlfn.IFNA(INDEX('S2'!DB41:DB46,MATCH(O20,'S2'!DB41:DB46,-1)),"X")
)</f>
        <v>X</v>
      </c>
      <c r="Q24" s="47">
        <f>(PI()/(2*O$7^2))*SQRT((O$18*L24*(10^-2))/N24)</f>
        <v>2.7858168028917234</v>
      </c>
    </row>
    <row r="25" spans="2:17" ht="14.25" customHeight="1" x14ac:dyDescent="0.3">
      <c r="E25" s="10" t="s">
        <v>17</v>
      </c>
      <c r="F25" s="2" cm="1">
        <f t="array" ref="F25">Floor2dN(F24,F11,F12,F22)</f>
        <v>1</v>
      </c>
      <c r="H25" s="14" t="s">
        <v>75</v>
      </c>
      <c r="I25" s="26">
        <f>24.4*(10/I21)^(1/3)</f>
        <v>22.788789549090094</v>
      </c>
      <c r="K25" s="48" t="s">
        <v>76</v>
      </c>
      <c r="L25" s="49">
        <v>210083</v>
      </c>
      <c r="M25" s="49">
        <v>3.28</v>
      </c>
      <c r="N25" s="44">
        <f>(M25+O$8+25*0.08)*1.2*100</f>
        <v>1233.5999999999999</v>
      </c>
      <c r="O25" s="45" t="str" cm="1">
        <f t="array" ref="O25">IF(O10="L/350",
_xlfn.IFNA(INDEX('S2'!X13:X17,6-MATCH(O$20,'S2'!DB13:DB17,-1)),"אין לוח""ד מתאים"),
_xlfn.IFNA(INDEX('S2'!X47:X51,6-MATCH(O$20,'S2'!DB47:DB51,-1)),"אין לוח""ד מתאים"))</f>
        <v>25088026</v>
      </c>
      <c r="P25" s="46">
        <f>IF(O10="L/350",
_xlfn.IFNA(INDEX('S2'!DB13:DB17,MATCH(O20,'S2'!DB13:DB17,-1)),"X"),
_xlfn.IFNA(INDEX('S2'!DB47:DB51,MATCH(O20,'S2'!DB47:DB51,-1)),"X")
)</f>
        <v>790</v>
      </c>
      <c r="Q25" s="47">
        <f>(PI()/(2*O$7^2))*SQRT((O$18*L25*(10^-2))/N25)</f>
        <v>3.5504939692655038</v>
      </c>
    </row>
    <row r="26" spans="2:17" ht="14.25" customHeight="1" x14ac:dyDescent="0.3">
      <c r="E26" s="10" t="s">
        <v>22</v>
      </c>
      <c r="F26" s="26" cm="1">
        <f t="array" ref="F26">Floor2DS(F24,F11,F12,F22)</f>
        <v>0.29823591110693981</v>
      </c>
      <c r="H26" s="14" t="s">
        <v>77</v>
      </c>
      <c r="I26" s="26">
        <f>I8/(I24*I25*I14)</f>
        <v>0.59286813615778278</v>
      </c>
      <c r="K26" s="48" t="s">
        <v>78</v>
      </c>
      <c r="L26" s="49">
        <v>332685</v>
      </c>
      <c r="M26" s="49">
        <v>3.86</v>
      </c>
      <c r="N26" s="44">
        <f>(M26+O$8+25*0.08)*1.2*100</f>
        <v>1303.1999999999998</v>
      </c>
      <c r="O26" s="45" t="str" cm="1">
        <f t="array" ref="O26">IF(O10="L/350",
_xlfn.IFNA(INDEX('S2'!X18:X23,7-MATCH(O$20,'S2'!DB18:DB23,-1)),"אין לוח""ד מתאים"),
_xlfn.IFNA(INDEX('S2'!X52:X57,7-MATCH(O$20,'S2'!DB52:DB57,-1)),"אין לוח""ד מתאים"))</f>
        <v>30078ET</v>
      </c>
      <c r="P26" s="46">
        <f>IF(O10="L/350",
_xlfn.IFNA(INDEX('S2'!DB18:DB23,MATCH(O20,'S2'!DB18:DB23,-1)),"X"),
_xlfn.IFNA(INDEX('S2'!DB52:DB57,MATCH(O20,'S2'!DB52:DB57,-1)),"X")
)</f>
        <v>780</v>
      </c>
      <c r="Q26" s="47">
        <f>(PI()/(2*O$7^2))*SQRT((O$18*L26*(10^-2))/N26)</f>
        <v>4.3470194034976926</v>
      </c>
    </row>
    <row r="27" spans="2:17" ht="14.25" customHeight="1" x14ac:dyDescent="0.25">
      <c r="C27" s="58"/>
      <c r="E27" s="11" t="s">
        <v>26</v>
      </c>
      <c r="F27" s="3" t="str" cm="1">
        <f t="array" ref="F27">IF(MOD(Floor2DR(F24,F11,F12,F22),0.01)=0,Floor2DR(F24,F11,F12,F22),Floor2DR(F24,F11,F12,F22)-MOD(Floor2DR(F24,F11,F12,F22),0.01)+0.01)*100&amp;" ס""מ"</f>
        <v>30 ס"מ</v>
      </c>
      <c r="H27" s="64" t="s">
        <v>79</v>
      </c>
      <c r="I27" s="65"/>
      <c r="K27" s="48" t="s">
        <v>80</v>
      </c>
      <c r="L27" s="49">
        <v>699237</v>
      </c>
      <c r="M27" s="49">
        <v>5.55</v>
      </c>
      <c r="N27" s="44">
        <f t="shared" si="0"/>
        <v>1506</v>
      </c>
      <c r="O27" s="45" t="str" cm="1">
        <f t="array" ref="O27">IF(O10="L/350",
_xlfn.IFNA(INDEX('S2'!X24:X29,7-MATCH(O$20,'S2'!DB24:DB29,-1)),"אין לוח""ד מתאים"),
_xlfn.IFNA(INDEX('S2'!X58:X63,7-MATCH(O$20,'S2'!DB58:DB63,-1)),"אין לוח""ד מתאים"))</f>
        <v>40068 T</v>
      </c>
      <c r="P27" s="46">
        <f>IF(O10="L/350",
_xlfn.IFNA(INDEX('S2'!DB24:DB29,MATCH(O20,'S2'!DB24:DB29,-1)),"X"),
_xlfn.IFNA(INDEX('S2'!DB58:DB63,MATCH(O20,'S2'!DB58:DB63,-1)),"X")
)</f>
        <v>880</v>
      </c>
      <c r="Q27" s="47">
        <f>(PI()/(2*O$7^2))*SQRT((O$18*L27*(10^-2))/N27)</f>
        <v>5.8624644056397504</v>
      </c>
    </row>
    <row r="28" spans="2:17" ht="14.25" customHeight="1" x14ac:dyDescent="0.3">
      <c r="C28" s="58"/>
      <c r="H28" s="17" t="s">
        <v>81</v>
      </c>
      <c r="I28" s="4" t="str">
        <f>IF(I26&lt;I15/100,"כן","לא")</f>
        <v>כן</v>
      </c>
      <c r="K28" s="48" t="s">
        <v>82</v>
      </c>
      <c r="L28" s="49">
        <v>1254520</v>
      </c>
      <c r="M28" s="49">
        <v>8.33</v>
      </c>
      <c r="N28" s="44">
        <f t="shared" si="0"/>
        <v>1839.6000000000001</v>
      </c>
      <c r="O28" s="50" t="str" cm="1">
        <f t="array" ref="O28">IF(O10="L/350",
_xlfn.IFNA(INDEX('S2'!X30:X34,6-MATCH(O$20,'S2'!DB30:DB34,-1)),"אין לוח""ד מתאים"),
_xlfn.IFNA(INDEX('S2'!X64:X68,6-MATCH(O$20,'S2'!DB64:DB68,-1)),"אין לוח""ד מתאים"))</f>
        <v>50808 T</v>
      </c>
      <c r="P28" s="51">
        <f>IF(O10="L/350",
_xlfn.IFNA(INDEX('S2'!DB30:DB34,MATCH(O20,'S2'!DB30:DB34,-1)),"X"),
_xlfn.IFNA(INDEX('S2'!DB64:DB68,MATCH(O20,'S2'!DB64:DB68,-1)),"X")
)</f>
        <v>1900</v>
      </c>
      <c r="Q28" s="52">
        <f>(PI()/(2*O$7^2))*SQRT((O$18*L28*(10^-2))/N28)</f>
        <v>7.1048939294054678</v>
      </c>
    </row>
    <row r="29" spans="2:17" ht="14.25" customHeight="1" x14ac:dyDescent="0.25">
      <c r="C29" s="53"/>
      <c r="E29" s="67" t="s">
        <v>83</v>
      </c>
      <c r="F29" s="67"/>
      <c r="H29" s="17" t="s">
        <v>84</v>
      </c>
      <c r="I29" s="4" t="str">
        <f>IF(Calculator!I15&gt;=20,"כן","לא")</f>
        <v>כן</v>
      </c>
      <c r="K29" s="95" t="s">
        <v>85</v>
      </c>
      <c r="L29" s="96"/>
      <c r="M29" s="96"/>
      <c r="N29" s="97"/>
      <c r="O29" s="85" t="str" cm="1">
        <f t="array" ref="O29">INDEX(O23:O28,'S2'!W79)</f>
        <v>40068 T</v>
      </c>
      <c r="P29" s="86"/>
      <c r="Q29" s="87"/>
    </row>
    <row r="30" spans="2:17" ht="14.25" customHeight="1" x14ac:dyDescent="0.3">
      <c r="C30" s="58"/>
      <c r="E30" s="6" t="s">
        <v>7</v>
      </c>
      <c r="F30" s="1">
        <v>8.1999999999999993</v>
      </c>
      <c r="H30" s="17" t="s">
        <v>86</v>
      </c>
      <c r="I30" s="4" t="str">
        <f>IF(Calculator!I9&gt;=5,"כן","לא")</f>
        <v>כן</v>
      </c>
      <c r="K30" s="98"/>
      <c r="L30" s="99"/>
      <c r="M30" s="99"/>
      <c r="N30" s="100"/>
      <c r="O30" s="82" t="str" cm="1">
        <f t="array" ref="O30">_xlfn.IFNA(INDEX(K23:K28,'S2'!W79)&amp;" + 8 ס""מ טופינג", "ERR")</f>
        <v>40 ס"מ + 8 ס"מ טופינג</v>
      </c>
      <c r="P30" s="83"/>
      <c r="Q30" s="84"/>
    </row>
    <row r="31" spans="2:17" ht="14.25" customHeight="1" x14ac:dyDescent="0.3">
      <c r="C31" s="58"/>
      <c r="E31" s="6" t="s">
        <v>12</v>
      </c>
      <c r="F31" s="1">
        <v>0.6</v>
      </c>
      <c r="H31" s="17" t="s">
        <v>87</v>
      </c>
      <c r="I31" s="4" t="str">
        <f>IF(Calculator!I10&gt;=10,"כן","לא")</f>
        <v>כן</v>
      </c>
    </row>
    <row r="32" spans="2:17" ht="14.25" customHeight="1" x14ac:dyDescent="0.3">
      <c r="E32" s="6" t="s">
        <v>15</v>
      </c>
      <c r="F32" s="1">
        <v>8.1999999999999993</v>
      </c>
      <c r="H32" s="17" t="s">
        <v>88</v>
      </c>
      <c r="I32" s="4" t="str">
        <f>IF(Calculator!I9&gt;=Calculator!I15/10,"כן","לא")</f>
        <v>כן</v>
      </c>
    </row>
    <row r="33" spans="3:9" ht="14.25" customHeight="1" x14ac:dyDescent="0.3">
      <c r="C33" s="58"/>
      <c r="E33" s="6" t="s">
        <v>18</v>
      </c>
      <c r="F33" s="1">
        <v>0.8</v>
      </c>
      <c r="H33" s="17" t="s">
        <v>89</v>
      </c>
      <c r="I33" s="4" t="str">
        <f>IF(Calculator!I11&lt;=75,"כן","לא")</f>
        <v>כן</v>
      </c>
    </row>
    <row r="34" spans="3:9" ht="14.25" customHeight="1" x14ac:dyDescent="0.3">
      <c r="C34" s="58"/>
      <c r="E34" s="6" t="s">
        <v>11</v>
      </c>
      <c r="F34" s="1">
        <v>4.5</v>
      </c>
      <c r="H34" s="17" t="s">
        <v>90</v>
      </c>
      <c r="I34" s="4" t="str">
        <f>IF(I7="בעלת טבלה עליונה",IF(I10&gt;=(I15-I9)/3.5,"כן","לא"),IF(I10&gt;=(I15-2*I9)/3.5,"כן","לא"))</f>
        <v>כן</v>
      </c>
    </row>
    <row r="35" spans="3:9" ht="14.25" customHeight="1" x14ac:dyDescent="0.35">
      <c r="E35" s="6" t="s">
        <v>14</v>
      </c>
      <c r="F35" s="1">
        <v>1</v>
      </c>
      <c r="H35" s="17" t="s">
        <v>91</v>
      </c>
      <c r="I35" s="4" t="str">
        <f>IF(I9&gt;=(I11)/12,"כן","לא")</f>
        <v>כן</v>
      </c>
    </row>
    <row r="36" spans="3:9" ht="14.25" customHeight="1" x14ac:dyDescent="0.3">
      <c r="E36" s="12" t="s">
        <v>29</v>
      </c>
      <c r="F36" s="2">
        <f>IF(F30&gt;F32,F30,F32)</f>
        <v>8.1999999999999993</v>
      </c>
      <c r="H36" s="24" t="s">
        <v>92</v>
      </c>
      <c r="I36" s="4" t="str">
        <f>IF(AND(I28="כן",I29="כן",I30="כן",I31="כן",I32="כן",I33="כן",I34="כן",I35="כן"),"כן","לא")</f>
        <v>כן</v>
      </c>
    </row>
    <row r="37" spans="3:9" ht="14.25" customHeight="1" x14ac:dyDescent="0.3">
      <c r="E37" s="12" t="s">
        <v>33</v>
      </c>
      <c r="F37" s="2">
        <f>IF(F30&gt;F32,F31,F33)</f>
        <v>0.8</v>
      </c>
    </row>
    <row r="38" spans="3:9" ht="14.25" customHeight="1" x14ac:dyDescent="0.3">
      <c r="E38" s="12" t="s">
        <v>35</v>
      </c>
      <c r="F38" s="2">
        <f>F36*F37</f>
        <v>6.56</v>
      </c>
      <c r="H38" s="62" t="s">
        <v>93</v>
      </c>
      <c r="I38" s="63"/>
    </row>
    <row r="39" spans="3:9" ht="14.25" customHeight="1" x14ac:dyDescent="0.3">
      <c r="E39" s="12" t="s">
        <v>38</v>
      </c>
      <c r="F39" s="2">
        <f>IF(F30&gt;F32,F32,F30)</f>
        <v>8.1999999999999993</v>
      </c>
      <c r="H39" s="7" t="s">
        <v>8</v>
      </c>
      <c r="I39" s="1" t="s">
        <v>9</v>
      </c>
    </row>
    <row r="40" spans="3:9" ht="14.25" customHeight="1" x14ac:dyDescent="0.3">
      <c r="E40" s="12" t="s">
        <v>41</v>
      </c>
      <c r="F40" s="2">
        <f>IF(F30&gt;F32,F33,F31)</f>
        <v>0.6</v>
      </c>
      <c r="H40" s="7" t="s">
        <v>94</v>
      </c>
      <c r="I40" s="1" t="s">
        <v>95</v>
      </c>
    </row>
    <row r="41" spans="3:9" ht="14.25" customHeight="1" x14ac:dyDescent="0.3">
      <c r="E41" s="12" t="s">
        <v>45</v>
      </c>
      <c r="F41" s="2">
        <f>F39*F40</f>
        <v>4.919999999999999</v>
      </c>
      <c r="H41" s="6" t="s">
        <v>7</v>
      </c>
      <c r="I41" s="1">
        <v>10</v>
      </c>
    </row>
    <row r="42" spans="3:9" ht="14.25" customHeight="1" x14ac:dyDescent="0.3">
      <c r="E42" s="12" t="s">
        <v>48</v>
      </c>
      <c r="F42" s="28">
        <f>F36/F39</f>
        <v>1</v>
      </c>
      <c r="H42" s="6" t="s">
        <v>12</v>
      </c>
      <c r="I42" s="1">
        <v>1</v>
      </c>
    </row>
    <row r="43" spans="3:9" ht="14.25" customHeight="1" x14ac:dyDescent="0.25">
      <c r="E43" s="12" t="s">
        <v>52</v>
      </c>
      <c r="F43" s="28" t="str">
        <f>IF(F42&lt;=1.5,"ℓ_max/ℓ_min&lt;1.5","ℓ_max/ℓ_min&gt;1.5")</f>
        <v>ℓ_max/ℓ_min&lt;1.5</v>
      </c>
      <c r="H43" s="6" t="s">
        <v>15</v>
      </c>
      <c r="I43" s="1">
        <v>7</v>
      </c>
    </row>
    <row r="44" spans="3:9" ht="14.25" customHeight="1" x14ac:dyDescent="0.25">
      <c r="E44" s="12" t="s">
        <v>55</v>
      </c>
      <c r="F44" s="28" t="str">
        <f>IF(F42&lt;=1.5,"המפתח השקיל הארוך בשדה, ℓ0,max","תקרה מקשית חד כיוונית בכיוון המפתח הארוך")</f>
        <v>המפתח השקיל הארוך בשדה, ℓ0,max</v>
      </c>
      <c r="H44" s="6" t="s">
        <v>18</v>
      </c>
      <c r="I44" s="1">
        <v>1</v>
      </c>
    </row>
    <row r="45" spans="3:9" ht="14.25" customHeight="1" x14ac:dyDescent="0.3">
      <c r="E45" s="16" t="s">
        <v>6</v>
      </c>
      <c r="F45" s="2">
        <f>IF(F42&lt;=1.5,MAX(F38,F41),F38)</f>
        <v>6.56</v>
      </c>
      <c r="H45" s="8" t="s">
        <v>96</v>
      </c>
      <c r="I45" s="1">
        <v>10</v>
      </c>
    </row>
    <row r="46" spans="3:9" ht="14.25" customHeight="1" x14ac:dyDescent="0.25">
      <c r="E46" s="10" t="s">
        <v>17</v>
      </c>
      <c r="F46" s="2" cm="1">
        <f t="array" ref="F46">Floor2DNN(F45,F34,F35)</f>
        <v>1</v>
      </c>
      <c r="H46" s="8" t="s">
        <v>19</v>
      </c>
      <c r="I46" s="1">
        <v>25</v>
      </c>
    </row>
    <row r="47" spans="3:9" ht="14.25" customHeight="1" x14ac:dyDescent="0.25">
      <c r="E47" s="10" t="s">
        <v>22</v>
      </c>
      <c r="F47" s="2" cm="1">
        <f t="array" ref="F47">Floor2DNS(F45,F34,F35)</f>
        <v>0.34667513699545094</v>
      </c>
      <c r="H47" s="8" t="s">
        <v>97</v>
      </c>
      <c r="I47" s="1">
        <v>50</v>
      </c>
    </row>
    <row r="48" spans="3:9" ht="14.25" customHeight="1" x14ac:dyDescent="0.25">
      <c r="E48" s="11" t="s">
        <v>26</v>
      </c>
      <c r="F48" s="3" t="str" cm="1">
        <f t="array" ref="F48">IF(MOD(Floor2DNR(F45,F34,F35),0.01)=0,Floor2DNR(F45,F34,F35),Floor2DNR(F45,F34,F35)-MOD(Floor2DNR(F45,F34,F35),0.01)+0.01)*100&amp;" ס""מ"</f>
        <v>35 ס"מ</v>
      </c>
      <c r="H48" s="6" t="s">
        <v>11</v>
      </c>
      <c r="I48" s="1">
        <v>5</v>
      </c>
    </row>
    <row r="49" spans="8:9" ht="14.25" customHeight="1" x14ac:dyDescent="0.25">
      <c r="H49" s="6" t="s">
        <v>98</v>
      </c>
      <c r="I49" s="1">
        <v>1</v>
      </c>
    </row>
    <row r="50" spans="8:9" ht="14.25" customHeight="1" x14ac:dyDescent="0.25">
      <c r="H50" s="11" t="s">
        <v>26</v>
      </c>
      <c r="I50" s="55" cm="1">
        <f t="array" ref="I50">TikratArugot(Q3,I61,I45,I46,I47,I48,I49,I64,I65,I67,300)</f>
        <v>38</v>
      </c>
    </row>
    <row r="51" spans="8:9" ht="14.25" customHeight="1" x14ac:dyDescent="0.3">
      <c r="H51" s="12" t="s">
        <v>29</v>
      </c>
      <c r="I51" s="2">
        <f>IF(I41&gt;I43,I41,I43)</f>
        <v>10</v>
      </c>
    </row>
    <row r="52" spans="8:9" ht="14.25" customHeight="1" x14ac:dyDescent="0.3">
      <c r="H52" s="12" t="s">
        <v>33</v>
      </c>
      <c r="I52" s="2">
        <f>IF(I41&gt;I43,I42,I44)</f>
        <v>1</v>
      </c>
    </row>
    <row r="53" spans="8:9" ht="14.25" customHeight="1" x14ac:dyDescent="0.3">
      <c r="H53" s="12" t="s">
        <v>35</v>
      </c>
      <c r="I53" s="2">
        <f>I51*I52</f>
        <v>10</v>
      </c>
    </row>
    <row r="54" spans="8:9" ht="14.25" customHeight="1" x14ac:dyDescent="0.3">
      <c r="H54" s="12" t="s">
        <v>38</v>
      </c>
      <c r="I54" s="2">
        <f>IF(I41&gt;I43,I43,I41)</f>
        <v>7</v>
      </c>
    </row>
    <row r="55" spans="8:9" ht="14.25" customHeight="1" x14ac:dyDescent="0.3">
      <c r="H55" s="12" t="s">
        <v>41</v>
      </c>
      <c r="I55" s="2">
        <f>IF(I41&gt;I43,I44,I42)</f>
        <v>1</v>
      </c>
    </row>
    <row r="56" spans="8:9" ht="14.25" customHeight="1" x14ac:dyDescent="0.3">
      <c r="H56" s="12" t="s">
        <v>45</v>
      </c>
      <c r="I56" s="2">
        <f>I54*I55</f>
        <v>7</v>
      </c>
    </row>
    <row r="57" spans="8:9" ht="14.25" customHeight="1" x14ac:dyDescent="0.3">
      <c r="H57" s="19" t="s">
        <v>99</v>
      </c>
      <c r="I57" s="2">
        <f>I51/I54</f>
        <v>1.4285714285714286</v>
      </c>
    </row>
    <row r="58" spans="8:9" ht="14.25" customHeight="1" x14ac:dyDescent="0.25">
      <c r="H58" s="19" t="s">
        <v>52</v>
      </c>
      <c r="I58" s="31" t="str">
        <f>IF(I57&lt;=1.5,"(L/Ig)max / (L/Ig)min &lt; 1.5","(L/Ig)max / (L/Ig)min &gt; 1.5")</f>
        <v>(L/Ig)max / (L/Ig)min &lt; 1.5</v>
      </c>
    </row>
    <row r="59" spans="8:9" ht="14.25" customHeight="1" x14ac:dyDescent="0.25">
      <c r="H59" s="12" t="s">
        <v>55</v>
      </c>
      <c r="I59" s="31" t="str">
        <f>IF(I40="כן",
IF(I57&lt;=1.5,"המפתח השקיל הקצר של השדה - l0min","תקרת צלעות בכיוון המפתח הקצר"),
IF(I57&lt;=1.5,"המפתח השקיל הארוך של השדה - l0max","תקרת צלעות בכיוון המפתח הארוך"))</f>
        <v>המפתח השקיל הקצר של השדה - l0min</v>
      </c>
    </row>
    <row r="60" spans="8:9" ht="14.25" customHeight="1" x14ac:dyDescent="0.25">
      <c r="H60" s="12" t="s">
        <v>63</v>
      </c>
      <c r="I60" s="2">
        <f>I57^(1/3)</f>
        <v>1.126247880443606</v>
      </c>
    </row>
    <row r="61" spans="8:9" ht="14.25" customHeight="1" x14ac:dyDescent="0.3">
      <c r="H61" s="16" t="s">
        <v>6</v>
      </c>
      <c r="I61" s="2">
        <f>IF(I40="כן",
IF(I57&lt;=1.5,MIN(I56,I53),"פנה לחישוב תקרת צלעות"),
IF(I57&lt;=1.5,MAX(I56,I53),"פנה לחישוב תקרת צלעות"))</f>
        <v>7</v>
      </c>
    </row>
    <row r="62" spans="8:9" ht="14.25" customHeight="1" x14ac:dyDescent="0.25">
      <c r="H62" s="13" t="str">
        <f>"h_0 = ℓ_0/"&amp;IF(I39="בעלת טבלה עליונה",IF(I40="כן",23,17),IF(I40="כן",28,20))&amp;" [cm] - הנחה ראשונית"</f>
        <v>h_0 = ℓ_0/23 [cm] - הנחה ראשונית</v>
      </c>
      <c r="I62" s="29">
        <f>(I61/IF(I39="בעלת טבלה עליונה",IF(I40="כן",23,17),IF(I40="כן",28,20)))*100</f>
        <v>30.434782608695656</v>
      </c>
    </row>
    <row r="63" spans="8:9" ht="14.25" customHeight="1" x14ac:dyDescent="0.25">
      <c r="H63" s="14" t="s">
        <v>42</v>
      </c>
      <c r="I63" s="2">
        <f>I47+I46</f>
        <v>75</v>
      </c>
    </row>
    <row r="64" spans="8:9" ht="14.25" customHeight="1" x14ac:dyDescent="0.3">
      <c r="H64" s="15" t="s">
        <v>49</v>
      </c>
      <c r="I64" s="2">
        <v>25</v>
      </c>
    </row>
    <row r="65" spans="8:18" ht="14.25" customHeight="1" x14ac:dyDescent="0.3">
      <c r="H65" s="15" t="s">
        <v>53</v>
      </c>
      <c r="I65" s="2">
        <v>6</v>
      </c>
    </row>
    <row r="66" spans="8:18" ht="14.25" customHeight="1" x14ac:dyDescent="0.3">
      <c r="H66" s="14" t="s">
        <v>51</v>
      </c>
      <c r="I66" s="26">
        <f>IF(I39="בעלת טבלה עליונה",I64*(I50/100)-((I50-I45)/100)*(I64-I65)*((I47/100)^2)/((I63/100)^2)+I48,I64*(I50/100)-((I50-2*I45)/100)*(I64-I65)*((I47/100)^2)/((I63/100)^2)+I48)</f>
        <v>12.135555555555555</v>
      </c>
    </row>
    <row r="67" spans="8:18" ht="14.25" customHeight="1" x14ac:dyDescent="0.3">
      <c r="H67" s="14" t="s">
        <v>71</v>
      </c>
      <c r="I67" s="26">
        <f>IF(I40="כן",
IF(I39="בעלת טבלה עליונה",0.92/I60,1.1/I60),
IF(I39="בעלת טבלה עליונה",0.69,0.8))</f>
        <v>0.81687168160319279</v>
      </c>
    </row>
    <row r="68" spans="8:18" ht="14.25" customHeight="1" x14ac:dyDescent="0.3">
      <c r="H68" s="14" t="s">
        <v>75</v>
      </c>
      <c r="I68" s="26">
        <f>24.4*(10/I66)^(1/3)</f>
        <v>22.875465412004196</v>
      </c>
    </row>
    <row r="69" spans="8:18" ht="14.25" customHeight="1" x14ac:dyDescent="0.3">
      <c r="H69" s="14" t="s">
        <v>77</v>
      </c>
      <c r="I69" s="26">
        <f>I61/(I67*I68*I49)</f>
        <v>0.37460559585836928</v>
      </c>
    </row>
    <row r="70" spans="8:18" ht="14.25" customHeight="1" x14ac:dyDescent="0.25">
      <c r="H70" s="64" t="s">
        <v>79</v>
      </c>
      <c r="I70" s="65"/>
    </row>
    <row r="71" spans="8:18" ht="14.25" customHeight="1" x14ac:dyDescent="0.3">
      <c r="H71" s="17" t="s">
        <v>81</v>
      </c>
      <c r="I71" s="4" t="str">
        <f>IF(I69&lt;I50/100,"כן","לא")</f>
        <v>כן</v>
      </c>
    </row>
    <row r="72" spans="8:18" ht="14.25" customHeight="1" x14ac:dyDescent="0.25">
      <c r="H72" s="17" t="s">
        <v>84</v>
      </c>
      <c r="I72" s="4" t="str">
        <f>IF(I50&gt;=20,"כן","לא")</f>
        <v>כן</v>
      </c>
    </row>
    <row r="73" spans="8:18" ht="14.25" customHeight="1" x14ac:dyDescent="0.3">
      <c r="H73" s="17" t="s">
        <v>86</v>
      </c>
      <c r="I73" s="4" t="str">
        <f>IF(I45&gt;=5,"כן","לא")</f>
        <v>כן</v>
      </c>
    </row>
    <row r="74" spans="8:18" ht="14.25" customHeight="1" x14ac:dyDescent="0.3">
      <c r="H74" s="17" t="s">
        <v>87</v>
      </c>
      <c r="I74" s="4" t="str">
        <f>IF(I46&gt;=10,"כן","לא")</f>
        <v>כן</v>
      </c>
    </row>
    <row r="75" spans="8:18" ht="14.25" customHeight="1" x14ac:dyDescent="0.3">
      <c r="H75" s="17" t="s">
        <v>88</v>
      </c>
      <c r="I75" s="4" t="str">
        <f>IF(I45&gt;=I50/10,"כן","לא")</f>
        <v>כן</v>
      </c>
    </row>
    <row r="76" spans="8:18" ht="14.25" customHeight="1" x14ac:dyDescent="0.3">
      <c r="H76" s="17" t="s">
        <v>89</v>
      </c>
      <c r="I76" s="4" t="str">
        <f>IF(I47&lt;=75,"כן","לא")</f>
        <v>כן</v>
      </c>
    </row>
    <row r="77" spans="8:18" ht="14.25" customHeight="1" x14ac:dyDescent="0.3">
      <c r="H77" s="17" t="s">
        <v>90</v>
      </c>
      <c r="I77" s="4" t="str">
        <f>IF(I7="בעלת טבלה עליונה",IF(I46&gt;=(I50-I45)/3.5,"כן","לא"),IF(I46&gt;=(I50-2*I45)/3.5,"כן","לא"))</f>
        <v>כן</v>
      </c>
    </row>
    <row r="78" spans="8:18" ht="14.25" customHeight="1" x14ac:dyDescent="0.3">
      <c r="H78" s="17" t="s">
        <v>91</v>
      </c>
      <c r="I78" s="4" t="str">
        <f>IF(I45&gt;=I47/10,"כן","לא")</f>
        <v>כן</v>
      </c>
    </row>
    <row r="79" spans="8:18" ht="14.25" customHeight="1" x14ac:dyDescent="0.25">
      <c r="H79" s="24" t="s">
        <v>92</v>
      </c>
      <c r="I79" s="4" t="str">
        <f>IF(AND(I71="כן",I72="כן",I73="כן",I74="כן",I75="כן",I76="כן",I77="כן",I78="כן"),IF(I69-MOD(I69,0.01)+0.01=I50/100,"כן","כן אבל אפשר לנסות להקטין גובה..."),"לא!")</f>
        <v>כן</v>
      </c>
      <c r="R79" s="18"/>
    </row>
    <row r="80" spans="8:18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</sheetData>
  <sheetProtection algorithmName="SHA-512" hashValue="NKvGiirFsxPsPSkoZlJvSlVCj4Z28rEb76/d47vaqEXyEnFHXbNbIfS4gpjRwyEs8aoGY/GXR/xkKRhEwifMdA==" saltValue="wqZ+iQDKKjfVpS8gH3UvLQ==" spinCount="100000" sheet="1" objects="1" scenarios="1" selectLockedCells="1"/>
  <mergeCells count="43">
    <mergeCell ref="H70:I70"/>
    <mergeCell ref="K16:N16"/>
    <mergeCell ref="K21:K22"/>
    <mergeCell ref="K18:N18"/>
    <mergeCell ref="K29:N30"/>
    <mergeCell ref="H38:I38"/>
    <mergeCell ref="E29:F29"/>
    <mergeCell ref="O30:Q30"/>
    <mergeCell ref="O29:Q29"/>
    <mergeCell ref="O21:O22"/>
    <mergeCell ref="K17:N17"/>
    <mergeCell ref="O17:Q17"/>
    <mergeCell ref="O18:Q18"/>
    <mergeCell ref="K19:N19"/>
    <mergeCell ref="O19:Q19"/>
    <mergeCell ref="K20:N20"/>
    <mergeCell ref="O20:Q20"/>
    <mergeCell ref="O12:Q12"/>
    <mergeCell ref="O15:Q15"/>
    <mergeCell ref="B14:C14"/>
    <mergeCell ref="O16:Q16"/>
    <mergeCell ref="K12:N12"/>
    <mergeCell ref="K14:N14"/>
    <mergeCell ref="K13:N13"/>
    <mergeCell ref="K15:N15"/>
    <mergeCell ref="O13:Q13"/>
    <mergeCell ref="O14:Q14"/>
    <mergeCell ref="B2:P4"/>
    <mergeCell ref="B6:C6"/>
    <mergeCell ref="E6:F6"/>
    <mergeCell ref="H6:I6"/>
    <mergeCell ref="H27:I27"/>
    <mergeCell ref="K11:N11"/>
    <mergeCell ref="K6:Q6"/>
    <mergeCell ref="O11:Q11"/>
    <mergeCell ref="O9:Q9"/>
    <mergeCell ref="K7:N7"/>
    <mergeCell ref="K8:N8"/>
    <mergeCell ref="K9:N9"/>
    <mergeCell ref="K10:N10"/>
    <mergeCell ref="O7:Q7"/>
    <mergeCell ref="O8:Q8"/>
    <mergeCell ref="O10:Q10"/>
  </mergeCells>
  <conditionalFormatting sqref="I24">
    <cfRule type="expression" dxfId="9" priority="2">
      <formula>NOT(ISNUMBER(I24))</formula>
    </cfRule>
  </conditionalFormatting>
  <conditionalFormatting sqref="I28:I35">
    <cfRule type="expression" dxfId="8" priority="19">
      <formula>I28="כן"</formula>
    </cfRule>
  </conditionalFormatting>
  <conditionalFormatting sqref="I36">
    <cfRule type="expression" dxfId="7" priority="17">
      <formula>I36="כן אבל אפשר לנסות להקטין גובה..."</formula>
    </cfRule>
    <cfRule type="expression" dxfId="6" priority="18">
      <formula>I36="כן"</formula>
    </cfRule>
  </conditionalFormatting>
  <conditionalFormatting sqref="I71:I78">
    <cfRule type="expression" dxfId="5" priority="5">
      <formula>I71="כן"</formula>
    </cfRule>
  </conditionalFormatting>
  <conditionalFormatting sqref="I79">
    <cfRule type="expression" dxfId="4" priority="3">
      <formula>I79="כן אבל אפשר לנסות להקטין גובה..."</formula>
    </cfRule>
    <cfRule type="expression" dxfId="3" priority="4">
      <formula>I79="כן"</formula>
    </cfRule>
  </conditionalFormatting>
  <conditionalFormatting sqref="O23:O28">
    <cfRule type="expression" dxfId="2" priority="15">
      <formula>O23="אין לוח""ד מתאים"</formula>
    </cfRule>
  </conditionalFormatting>
  <conditionalFormatting sqref="P23:P28">
    <cfRule type="expression" dxfId="1" priority="1">
      <formula>P23="X"</formula>
    </cfRule>
  </conditionalFormatting>
  <conditionalFormatting sqref="Q23:Q28">
    <cfRule type="expression" dxfId="0" priority="16">
      <formula>Q23&gt;$O$17</formula>
    </cfRule>
  </conditionalFormatting>
  <dataValidations count="8">
    <dataValidation type="decimal" operator="lessThanOrEqual" allowBlank="1" showInputMessage="1" showErrorMessage="1" error="אסור שההפרש bf-bw יהיה מעל 75 ס&quot;מ" sqref="I47" xr:uid="{652647C4-A801-4468-9B79-DCD3DBCBEB07}">
      <formula1>75-I46</formula1>
    </dataValidation>
    <dataValidation type="decimal" operator="greaterThanOrEqual" allowBlank="1" showInputMessage="1" showErrorMessage="1" error="bw חייב להיות גדול מ-10 ס&quot;מ" sqref="I10 I46" xr:uid="{7ECBED74-F28F-48D3-94B5-ED225AA4B437}">
      <formula1>10</formula1>
    </dataValidation>
    <dataValidation type="decimal" operator="greaterThanOrEqual" allowBlank="1" showInputMessage="1" showErrorMessage="1" errorTitle="שגיאה" error="צריך ערך גבוה מ-5 ס&quot;מ..." sqref="I45" xr:uid="{0A7E8690-A847-4A43-920A-36F873DFF486}">
      <formula1>5</formula1>
    </dataValidation>
    <dataValidation type="decimal" operator="greaterThanOrEqual" allowBlank="1" showInputMessage="1" showErrorMessage="1" error="&quot;העובי הכולל של התקרה לא יהיה קטן מ-200 מ&quot;מ.&quot;_x000a__x000a_סעיף 23.2.2" sqref="I63" xr:uid="{F07BD2DA-49C2-4F99-8C1C-ADD583140B68}">
      <formula1>20</formula1>
    </dataValidation>
    <dataValidation type="decimal" operator="lessThanOrEqual" allowBlank="1" showInputMessage="1" showErrorMessage="1" error="אין לוח&quot;ד המתאים למפתח הגדול מ-23 מ'" sqref="O7:P7" xr:uid="{EDD5DD9E-0A99-48CE-BA82-CEC5B8DD0F03}">
      <formula1>23</formula1>
    </dataValidation>
    <dataValidation type="decimal" operator="greaterThan" allowBlank="1" showInputMessage="1" showErrorMessage="1" error="אורך חייב להיות מספר חיובי" sqref="I8" xr:uid="{29D636B6-19A2-454C-953B-F742307066A5}">
      <formula1>0</formula1>
    </dataValidation>
    <dataValidation type="decimal" operator="greaterThanOrEqual" allowBlank="1" showInputMessage="1" showErrorMessage="1" error="צריך ערך גבוה מ-5 ס&quot;מ..." sqref="I9" xr:uid="{A4118459-776A-4176-8425-261737948603}">
      <formula1>5</formula1>
    </dataValidation>
    <dataValidation type="decimal" operator="lessThanOrEqual" allowBlank="1" showInputMessage="1" showErrorMessage="1" error="אסור שההפרש bf-bw יהיה מעל 75 ס&quot;מ" sqref="I11" xr:uid="{072B5A2F-8C5D-4EB0-B151-D024C77FF950}">
      <formula1>75</formula1>
    </dataValidation>
  </dataValidations>
  <pageMargins left="0.7" right="0.7" top="0.75" bottom="0.75" header="0.3" footer="0.3"/>
  <ignoredErrors>
    <ignoredError sqref="O29:O30 C23 F27" unlockedFormula="1"/>
  </ignoredErrors>
  <legacy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D124B7F-59FA-4751-9DAB-E879E48D6D75}">
          <x14:formula1>
            <xm:f>'S2'!$B$13:$B$16</xm:f>
          </x14:formula1>
          <xm:sqref>I18</xm:sqref>
        </x14:dataValidation>
        <x14:dataValidation type="list" allowBlank="1" showInputMessage="1" showErrorMessage="1" xr:uid="{12BB3A31-5F91-4E07-9444-73683106C2F3}">
          <x14:formula1>
            <xm:f>'S2'!$B$10:$B$11</xm:f>
          </x14:formula1>
          <xm:sqref>I7 I39</xm:sqref>
        </x14:dataValidation>
        <x14:dataValidation type="list" allowBlank="1" showInputMessage="1" showErrorMessage="1" xr:uid="{BF586853-82F5-414E-81E7-F39FB32D4AE7}">
          <x14:formula1>
            <xm:f>'S2'!$B$5:$B$8</xm:f>
          </x14:formula1>
          <xm:sqref>F8 F10 F31 F33 I42 I44</xm:sqref>
        </x14:dataValidation>
        <x14:dataValidation type="list" allowBlank="1" showInputMessage="1" showErrorMessage="1" xr:uid="{9BDAD530-AA85-4F2C-BD35-BDAD7593A42B}">
          <x14:formula1>
            <xm:f>'S2'!$O$2:$O$3</xm:f>
          </x14:formula1>
          <xm:sqref>O13:P13</xm:sqref>
        </x14:dataValidation>
        <x14:dataValidation type="list" allowBlank="1" showInputMessage="1" showErrorMessage="1" xr:uid="{4DCA8BAD-6E17-4E67-94D1-565DB05D470F}">
          <x14:formula1>
            <xm:f>'S2'!$S$2:$S$3</xm:f>
          </x14:formula1>
          <xm:sqref>O12:P12</xm:sqref>
        </x14:dataValidation>
        <x14:dataValidation type="list" operator="greaterThanOrEqual" allowBlank="1" showInputMessage="1" showErrorMessage="1" errorTitle="שגיאה" error="צריך ערך גבוה מ-5 ס&quot;מ..." xr:uid="{24E8DBC2-BFE5-44EC-B587-391829F386D3}">
          <x14:formula1>
            <xm:f>'S2'!$Q$2:$Q$5</xm:f>
          </x14:formula1>
          <xm:sqref>O11:P11</xm:sqref>
        </x14:dataValidation>
        <x14:dataValidation type="list" operator="greaterThanOrEqual" allowBlank="1" showInputMessage="1" showErrorMessage="1" errorTitle="שגיאה" error="תבחר מהרשימה ערך מתאים!! 😡" xr:uid="{2E387D51-1A40-4C5B-BF8E-582C8E2552C0}">
          <x14:formula1>
            <xm:f>'S2'!$M$2:$M$3</xm:f>
          </x14:formula1>
          <xm:sqref>O10:P10</xm:sqref>
        </x14:dataValidation>
        <x14:dataValidation type="list" allowBlank="1" showInputMessage="1" showErrorMessage="1" xr:uid="{2FE93562-BAE2-4D16-9AB1-2D3876AED20B}">
          <x14:formula1>
            <xm:f>'S2'!$I$2:$I$3</xm:f>
          </x14:formula1>
          <xm:sqref>I40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D91E4-4768-4A51-8B6A-B24669AD9F6C}">
  <sheetPr codeName="Sheet2"/>
  <dimension ref="B2:DB79"/>
  <sheetViews>
    <sheetView rightToLeft="1" topLeftCell="BK1" zoomScale="70" zoomScaleNormal="70" workbookViewId="0">
      <selection activeCell="B25" sqref="B25"/>
    </sheetView>
  </sheetViews>
  <sheetFormatPr defaultColWidth="9.140625" defaultRowHeight="15" x14ac:dyDescent="0.25"/>
  <cols>
    <col min="1" max="1" width="9.140625" style="20"/>
    <col min="2" max="2" width="18.140625" style="20" bestFit="1" customWidth="1"/>
    <col min="3" max="3" width="9.140625" style="20"/>
    <col min="4" max="4" width="40.140625" style="20" bestFit="1" customWidth="1"/>
    <col min="5" max="5" width="13.7109375" style="20" bestFit="1" customWidth="1"/>
    <col min="6" max="6" width="9.28515625" style="20" bestFit="1" customWidth="1"/>
    <col min="7" max="7" width="16.85546875" style="20" bestFit="1" customWidth="1"/>
    <col min="8" max="9" width="9.28515625" style="20" bestFit="1" customWidth="1"/>
    <col min="10" max="10" width="9.28515625" style="20" customWidth="1"/>
    <col min="11" max="11" width="10" style="20" bestFit="1" customWidth="1"/>
    <col min="12" max="12" width="9.28515625" style="20" bestFit="1" customWidth="1"/>
    <col min="13" max="13" width="15.85546875" style="20" bestFit="1" customWidth="1"/>
    <col min="14" max="15" width="9.28515625" style="20" bestFit="1" customWidth="1"/>
    <col min="16" max="16" width="12.7109375" style="20" bestFit="1" customWidth="1"/>
    <col min="17" max="17" width="19" style="20" bestFit="1" customWidth="1"/>
    <col min="18" max="18" width="10.7109375" style="20" bestFit="1" customWidth="1"/>
    <col min="19" max="19" width="27.28515625" style="20" bestFit="1" customWidth="1"/>
    <col min="20" max="22" width="27.28515625" style="20" customWidth="1"/>
    <col min="23" max="104" width="9.28515625" style="20" bestFit="1" customWidth="1"/>
    <col min="105" max="105" width="9.140625" style="20"/>
    <col min="106" max="106" width="9.28515625" style="20" bestFit="1" customWidth="1"/>
    <col min="107" max="16384" width="9.140625" style="20"/>
  </cols>
  <sheetData>
    <row r="2" spans="2:106" x14ac:dyDescent="0.25">
      <c r="B2" s="101" t="s">
        <v>100</v>
      </c>
      <c r="C2" s="101"/>
      <c r="D2" s="101"/>
      <c r="G2" s="20">
        <v>1</v>
      </c>
      <c r="I2" s="20" t="s">
        <v>95</v>
      </c>
      <c r="M2" s="20" t="s">
        <v>21</v>
      </c>
      <c r="O2" s="20" t="s">
        <v>31</v>
      </c>
      <c r="Q2" s="20" t="s">
        <v>25</v>
      </c>
      <c r="R2" s="20">
        <v>30000</v>
      </c>
      <c r="S2" s="20" t="s">
        <v>28</v>
      </c>
      <c r="W2" s="20" t="s">
        <v>56</v>
      </c>
      <c r="X2" s="20" t="s">
        <v>101</v>
      </c>
      <c r="Y2" s="21" t="s">
        <v>102</v>
      </c>
      <c r="Z2" s="20">
        <v>350</v>
      </c>
      <c r="AA2" s="20">
        <v>375</v>
      </c>
      <c r="AB2" s="20">
        <v>400</v>
      </c>
      <c r="AC2" s="20">
        <v>425</v>
      </c>
      <c r="AD2" s="20">
        <v>450</v>
      </c>
      <c r="AE2" s="20">
        <v>475</v>
      </c>
      <c r="AF2" s="20">
        <v>500</v>
      </c>
      <c r="AG2" s="20">
        <v>525</v>
      </c>
      <c r="AH2" s="20">
        <v>550</v>
      </c>
      <c r="AI2" s="20">
        <v>575</v>
      </c>
      <c r="AJ2" s="20">
        <v>600</v>
      </c>
      <c r="AK2" s="20">
        <v>625</v>
      </c>
      <c r="AL2" s="20">
        <v>650</v>
      </c>
      <c r="AM2" s="20">
        <v>675</v>
      </c>
      <c r="AN2" s="20">
        <v>700</v>
      </c>
      <c r="AO2" s="20">
        <v>725</v>
      </c>
      <c r="AP2" s="20">
        <v>750</v>
      </c>
      <c r="AQ2" s="20">
        <v>775</v>
      </c>
      <c r="AR2" s="20">
        <v>800</v>
      </c>
      <c r="AS2" s="20">
        <v>825</v>
      </c>
      <c r="AT2" s="20">
        <v>850</v>
      </c>
      <c r="AU2" s="20">
        <v>875</v>
      </c>
      <c r="AV2" s="20">
        <v>900</v>
      </c>
      <c r="AW2" s="20">
        <v>925</v>
      </c>
      <c r="AX2" s="20">
        <v>950</v>
      </c>
      <c r="AY2" s="20">
        <v>975</v>
      </c>
      <c r="AZ2" s="20">
        <v>1000</v>
      </c>
      <c r="BA2" s="20">
        <v>1025</v>
      </c>
      <c r="BB2" s="20">
        <v>1050</v>
      </c>
      <c r="BC2" s="20">
        <v>1075</v>
      </c>
      <c r="BD2" s="20">
        <v>1100</v>
      </c>
      <c r="BE2" s="20">
        <v>1125</v>
      </c>
      <c r="BF2" s="20">
        <v>1150</v>
      </c>
      <c r="BG2" s="20">
        <v>1175</v>
      </c>
      <c r="BH2" s="20">
        <v>1200</v>
      </c>
      <c r="BI2" s="20">
        <v>1225</v>
      </c>
      <c r="BJ2" s="20">
        <v>1250</v>
      </c>
      <c r="BK2" s="20">
        <v>1275</v>
      </c>
      <c r="BL2" s="20">
        <v>1300</v>
      </c>
      <c r="BM2" s="20">
        <v>1325</v>
      </c>
      <c r="BN2" s="20">
        <v>1350</v>
      </c>
      <c r="BO2" s="20">
        <v>1375</v>
      </c>
      <c r="BP2" s="20">
        <v>1400</v>
      </c>
      <c r="BQ2" s="20">
        <v>1425</v>
      </c>
      <c r="BR2" s="20">
        <v>1450</v>
      </c>
      <c r="BS2" s="20">
        <v>1475</v>
      </c>
      <c r="BT2" s="20">
        <v>1500</v>
      </c>
      <c r="BU2" s="20">
        <v>1525</v>
      </c>
      <c r="BV2" s="20">
        <v>1550</v>
      </c>
      <c r="BW2" s="20">
        <v>1575</v>
      </c>
      <c r="BX2" s="20">
        <v>1600</v>
      </c>
      <c r="BY2" s="20">
        <v>1625</v>
      </c>
      <c r="BZ2" s="20">
        <v>1650</v>
      </c>
      <c r="CA2" s="20">
        <v>1675</v>
      </c>
      <c r="CB2" s="20">
        <v>1700</v>
      </c>
      <c r="CC2" s="20">
        <v>1725</v>
      </c>
      <c r="CD2" s="20">
        <v>1750</v>
      </c>
      <c r="CE2" s="20">
        <v>1775</v>
      </c>
      <c r="CF2" s="20">
        <v>1800</v>
      </c>
      <c r="CG2" s="20">
        <v>1825</v>
      </c>
      <c r="CH2" s="20">
        <v>1850</v>
      </c>
      <c r="CI2" s="20">
        <v>1875</v>
      </c>
      <c r="CJ2" s="20">
        <v>1900</v>
      </c>
      <c r="CK2" s="20">
        <v>1925</v>
      </c>
      <c r="CL2" s="20">
        <v>1950</v>
      </c>
      <c r="CM2" s="20">
        <v>1975</v>
      </c>
      <c r="CN2" s="20">
        <v>2000</v>
      </c>
      <c r="CO2" s="20">
        <v>2025</v>
      </c>
      <c r="CP2" s="20">
        <v>2050</v>
      </c>
      <c r="CQ2" s="20">
        <v>2075</v>
      </c>
      <c r="CR2" s="20">
        <v>2100</v>
      </c>
      <c r="CS2" s="20">
        <v>2125</v>
      </c>
      <c r="CT2" s="20">
        <v>2150</v>
      </c>
      <c r="CU2" s="20">
        <v>2175</v>
      </c>
      <c r="CV2" s="20">
        <v>2200</v>
      </c>
      <c r="CW2" s="20">
        <v>2225</v>
      </c>
      <c r="CX2" s="20">
        <v>2250</v>
      </c>
      <c r="CY2" s="20">
        <v>2275</v>
      </c>
      <c r="CZ2" s="20">
        <v>2300</v>
      </c>
    </row>
    <row r="3" spans="2:106" x14ac:dyDescent="0.25">
      <c r="B3" s="101"/>
      <c r="C3" s="101"/>
      <c r="D3" s="101"/>
      <c r="G3" s="20">
        <v>0.95</v>
      </c>
      <c r="I3" s="20" t="s">
        <v>103</v>
      </c>
      <c r="M3" s="20" t="s">
        <v>104</v>
      </c>
      <c r="O3" s="20" t="s">
        <v>105</v>
      </c>
      <c r="Q3" s="20" t="s">
        <v>106</v>
      </c>
      <c r="R3" s="20">
        <v>31700</v>
      </c>
      <c r="S3" s="20" t="s">
        <v>107</v>
      </c>
      <c r="W3" s="20">
        <v>16</v>
      </c>
      <c r="X3" s="21" t="s">
        <v>108</v>
      </c>
      <c r="Y3" s="21">
        <v>6.19</v>
      </c>
      <c r="Z3" s="21">
        <v>2220</v>
      </c>
      <c r="AA3" s="21">
        <v>1890</v>
      </c>
      <c r="AB3" s="21">
        <v>1630</v>
      </c>
      <c r="AC3" s="21">
        <v>1410</v>
      </c>
      <c r="AD3" s="21">
        <v>1220</v>
      </c>
      <c r="AE3" s="21">
        <v>1060</v>
      </c>
      <c r="AF3" s="21">
        <v>930</v>
      </c>
      <c r="AG3" s="21">
        <v>810</v>
      </c>
      <c r="AH3" s="21">
        <v>680</v>
      </c>
      <c r="AI3" s="21">
        <v>580</v>
      </c>
      <c r="AJ3" s="21">
        <v>490</v>
      </c>
      <c r="AK3" s="21">
        <v>400</v>
      </c>
      <c r="AL3" s="21">
        <v>330</v>
      </c>
      <c r="AM3" s="21">
        <v>270</v>
      </c>
      <c r="AN3" s="21">
        <v>210</v>
      </c>
      <c r="AO3" s="21">
        <v>160</v>
      </c>
      <c r="AP3" s="21" t="s">
        <v>109</v>
      </c>
      <c r="AQ3" s="21" t="s">
        <v>109</v>
      </c>
      <c r="AR3" s="21" t="s">
        <v>109</v>
      </c>
      <c r="AS3" s="21" t="s">
        <v>109</v>
      </c>
      <c r="AT3" s="21" t="s">
        <v>109</v>
      </c>
      <c r="AU3" s="21" t="s">
        <v>109</v>
      </c>
      <c r="AV3" s="21" t="s">
        <v>109</v>
      </c>
      <c r="AW3" s="21" t="s">
        <v>109</v>
      </c>
      <c r="AX3" s="21" t="s">
        <v>109</v>
      </c>
      <c r="AY3" s="21" t="s">
        <v>109</v>
      </c>
      <c r="AZ3" s="21" t="s">
        <v>109</v>
      </c>
      <c r="BA3" s="21" t="s">
        <v>109</v>
      </c>
      <c r="BB3" s="21" t="s">
        <v>109</v>
      </c>
      <c r="BC3" s="21" t="s">
        <v>109</v>
      </c>
      <c r="BD3" s="21" t="s">
        <v>109</v>
      </c>
      <c r="BE3" s="21" t="s">
        <v>109</v>
      </c>
      <c r="BF3" s="21" t="s">
        <v>109</v>
      </c>
      <c r="BG3" s="21" t="s">
        <v>109</v>
      </c>
      <c r="BH3" s="21" t="s">
        <v>109</v>
      </c>
      <c r="BI3" s="21" t="s">
        <v>109</v>
      </c>
      <c r="BJ3" s="21" t="s">
        <v>109</v>
      </c>
      <c r="BK3" s="21" t="s">
        <v>109</v>
      </c>
      <c r="BL3" s="21" t="s">
        <v>109</v>
      </c>
      <c r="BM3" s="21" t="s">
        <v>109</v>
      </c>
      <c r="BN3" s="21" t="s">
        <v>109</v>
      </c>
      <c r="BO3" s="21" t="s">
        <v>109</v>
      </c>
      <c r="BP3" s="21" t="s">
        <v>109</v>
      </c>
      <c r="BQ3" s="21" t="s">
        <v>109</v>
      </c>
      <c r="BR3" s="21" t="s">
        <v>109</v>
      </c>
      <c r="BS3" s="21" t="s">
        <v>109</v>
      </c>
      <c r="BT3" s="21" t="s">
        <v>109</v>
      </c>
      <c r="BU3" s="21" t="s">
        <v>109</v>
      </c>
      <c r="BV3" s="21" t="s">
        <v>109</v>
      </c>
      <c r="BW3" s="21" t="s">
        <v>109</v>
      </c>
      <c r="BX3" s="21" t="s">
        <v>109</v>
      </c>
      <c r="BY3" s="21" t="s">
        <v>109</v>
      </c>
      <c r="BZ3" s="21" t="s">
        <v>109</v>
      </c>
      <c r="CA3" s="21" t="s">
        <v>109</v>
      </c>
      <c r="CB3" s="21" t="s">
        <v>109</v>
      </c>
      <c r="CC3" s="21" t="s">
        <v>109</v>
      </c>
      <c r="CD3" s="21" t="s">
        <v>109</v>
      </c>
      <c r="CE3" s="21" t="s">
        <v>109</v>
      </c>
      <c r="CF3" s="21" t="s">
        <v>109</v>
      </c>
      <c r="CG3" s="21" t="s">
        <v>109</v>
      </c>
      <c r="CH3" s="21" t="s">
        <v>109</v>
      </c>
      <c r="CI3" s="21" t="s">
        <v>109</v>
      </c>
      <c r="CJ3" s="21" t="s">
        <v>109</v>
      </c>
      <c r="CK3" s="21" t="s">
        <v>109</v>
      </c>
      <c r="CL3" s="21" t="s">
        <v>109</v>
      </c>
      <c r="CM3" s="21" t="s">
        <v>109</v>
      </c>
      <c r="CN3" s="21" t="s">
        <v>109</v>
      </c>
      <c r="CO3" s="21" t="s">
        <v>109</v>
      </c>
      <c r="CP3" s="21" t="s">
        <v>109</v>
      </c>
      <c r="CQ3" s="21" t="s">
        <v>109</v>
      </c>
      <c r="CR3" s="21" t="s">
        <v>109</v>
      </c>
      <c r="CS3" s="21" t="s">
        <v>109</v>
      </c>
      <c r="CT3" s="21" t="s">
        <v>109</v>
      </c>
      <c r="CU3" s="21" t="s">
        <v>109</v>
      </c>
      <c r="CV3" s="21" t="s">
        <v>109</v>
      </c>
      <c r="CW3" s="21" t="s">
        <v>109</v>
      </c>
      <c r="CX3" s="21" t="s">
        <v>109</v>
      </c>
      <c r="CY3" s="21" t="s">
        <v>109</v>
      </c>
      <c r="CZ3" s="21" t="s">
        <v>109</v>
      </c>
      <c r="DB3" s="21" t="str">
        <f>INDEX(Z$3:CZ$6,4,MATCH(Calculator!$O$19,Z$2:CZ$2))</f>
        <v>N</v>
      </c>
    </row>
    <row r="4" spans="2:106" x14ac:dyDescent="0.25">
      <c r="G4" s="20">
        <v>0.9</v>
      </c>
      <c r="Q4" s="20" t="s">
        <v>110</v>
      </c>
      <c r="R4" s="20">
        <v>33400</v>
      </c>
      <c r="W4" s="20">
        <v>16</v>
      </c>
      <c r="X4" s="21" t="s">
        <v>111</v>
      </c>
      <c r="Y4" s="21">
        <v>7.06</v>
      </c>
      <c r="Z4" s="21">
        <v>2340</v>
      </c>
      <c r="AA4" s="21">
        <v>2160</v>
      </c>
      <c r="AB4" s="21">
        <v>1900</v>
      </c>
      <c r="AC4" s="21">
        <v>1650</v>
      </c>
      <c r="AD4" s="21">
        <v>1440</v>
      </c>
      <c r="AE4" s="21">
        <v>1260</v>
      </c>
      <c r="AF4" s="21">
        <v>1100</v>
      </c>
      <c r="AG4" s="21">
        <v>960</v>
      </c>
      <c r="AH4" s="21">
        <v>820</v>
      </c>
      <c r="AI4" s="21">
        <v>710</v>
      </c>
      <c r="AJ4" s="21">
        <v>600</v>
      </c>
      <c r="AK4" s="21">
        <v>510</v>
      </c>
      <c r="AL4" s="21">
        <v>430</v>
      </c>
      <c r="AM4" s="21">
        <v>360</v>
      </c>
      <c r="AN4" s="21">
        <v>300</v>
      </c>
      <c r="AO4" s="21">
        <v>240</v>
      </c>
      <c r="AP4" s="21">
        <v>190</v>
      </c>
      <c r="AQ4" s="21" t="s">
        <v>109</v>
      </c>
      <c r="AR4" s="21" t="s">
        <v>109</v>
      </c>
      <c r="AS4" s="21" t="s">
        <v>109</v>
      </c>
      <c r="AT4" s="21" t="s">
        <v>109</v>
      </c>
      <c r="AU4" s="21" t="s">
        <v>109</v>
      </c>
      <c r="AV4" s="21" t="s">
        <v>109</v>
      </c>
      <c r="AW4" s="21" t="s">
        <v>109</v>
      </c>
      <c r="AX4" s="21" t="s">
        <v>109</v>
      </c>
      <c r="AY4" s="21" t="s">
        <v>109</v>
      </c>
      <c r="AZ4" s="21" t="s">
        <v>109</v>
      </c>
      <c r="BA4" s="21" t="s">
        <v>109</v>
      </c>
      <c r="BB4" s="21" t="s">
        <v>109</v>
      </c>
      <c r="BC4" s="21" t="s">
        <v>109</v>
      </c>
      <c r="BD4" s="21" t="s">
        <v>109</v>
      </c>
      <c r="BE4" s="21" t="s">
        <v>109</v>
      </c>
      <c r="BF4" s="21" t="s">
        <v>109</v>
      </c>
      <c r="BG4" s="21" t="s">
        <v>109</v>
      </c>
      <c r="BH4" s="21" t="s">
        <v>109</v>
      </c>
      <c r="BI4" s="21" t="s">
        <v>109</v>
      </c>
      <c r="BJ4" s="21" t="s">
        <v>109</v>
      </c>
      <c r="BK4" s="21" t="s">
        <v>109</v>
      </c>
      <c r="BL4" s="21" t="s">
        <v>109</v>
      </c>
      <c r="BM4" s="21" t="s">
        <v>109</v>
      </c>
      <c r="BN4" s="21" t="s">
        <v>109</v>
      </c>
      <c r="BO4" s="21" t="s">
        <v>109</v>
      </c>
      <c r="BP4" s="21" t="s">
        <v>109</v>
      </c>
      <c r="BQ4" s="21" t="s">
        <v>109</v>
      </c>
      <c r="BR4" s="21" t="s">
        <v>109</v>
      </c>
      <c r="BS4" s="21" t="s">
        <v>109</v>
      </c>
      <c r="BT4" s="21" t="s">
        <v>109</v>
      </c>
      <c r="BU4" s="21" t="s">
        <v>109</v>
      </c>
      <c r="BV4" s="21" t="s">
        <v>109</v>
      </c>
      <c r="BW4" s="21" t="s">
        <v>109</v>
      </c>
      <c r="BX4" s="21" t="s">
        <v>109</v>
      </c>
      <c r="BY4" s="21" t="s">
        <v>109</v>
      </c>
      <c r="BZ4" s="21" t="s">
        <v>109</v>
      </c>
      <c r="CA4" s="21" t="s">
        <v>109</v>
      </c>
      <c r="CB4" s="21" t="s">
        <v>109</v>
      </c>
      <c r="CC4" s="21" t="s">
        <v>109</v>
      </c>
      <c r="CD4" s="21" t="s">
        <v>109</v>
      </c>
      <c r="CE4" s="21" t="s">
        <v>109</v>
      </c>
      <c r="CF4" s="21" t="s">
        <v>109</v>
      </c>
      <c r="CG4" s="21" t="s">
        <v>109</v>
      </c>
      <c r="CH4" s="21" t="s">
        <v>109</v>
      </c>
      <c r="CI4" s="21" t="s">
        <v>109</v>
      </c>
      <c r="CJ4" s="21" t="s">
        <v>109</v>
      </c>
      <c r="CK4" s="21" t="s">
        <v>109</v>
      </c>
      <c r="CL4" s="21" t="s">
        <v>109</v>
      </c>
      <c r="CM4" s="21" t="s">
        <v>109</v>
      </c>
      <c r="CN4" s="21" t="s">
        <v>109</v>
      </c>
      <c r="CO4" s="21" t="s">
        <v>109</v>
      </c>
      <c r="CP4" s="21" t="s">
        <v>109</v>
      </c>
      <c r="CQ4" s="21" t="s">
        <v>109</v>
      </c>
      <c r="CR4" s="21" t="s">
        <v>109</v>
      </c>
      <c r="CS4" s="21" t="s">
        <v>109</v>
      </c>
      <c r="CT4" s="21" t="s">
        <v>109</v>
      </c>
      <c r="CU4" s="21" t="s">
        <v>109</v>
      </c>
      <c r="CV4" s="21" t="s">
        <v>109</v>
      </c>
      <c r="CW4" s="21" t="s">
        <v>109</v>
      </c>
      <c r="CX4" s="21" t="s">
        <v>109</v>
      </c>
      <c r="CY4" s="21" t="s">
        <v>109</v>
      </c>
      <c r="CZ4" s="21" t="s">
        <v>109</v>
      </c>
      <c r="DB4" s="21" t="str">
        <f>INDEX(Z$3:CZ$6,3,MATCH(Calculator!$O$19,Z$2:CZ$2))</f>
        <v>N</v>
      </c>
    </row>
    <row r="5" spans="2:106" x14ac:dyDescent="0.25">
      <c r="B5" s="22">
        <v>1</v>
      </c>
      <c r="D5" s="22" t="s">
        <v>2</v>
      </c>
      <c r="G5" s="20">
        <v>0.85</v>
      </c>
      <c r="Q5" s="20" t="s">
        <v>112</v>
      </c>
      <c r="R5" s="20">
        <v>35200</v>
      </c>
      <c r="W5" s="20">
        <v>16</v>
      </c>
      <c r="X5" s="21" t="s">
        <v>113</v>
      </c>
      <c r="Y5" s="21">
        <v>7.9</v>
      </c>
      <c r="Z5" s="21">
        <v>2400</v>
      </c>
      <c r="AA5" s="21">
        <v>2220</v>
      </c>
      <c r="AB5" s="21">
        <v>2060</v>
      </c>
      <c r="AC5" s="21">
        <v>1880</v>
      </c>
      <c r="AD5" s="21">
        <v>1640</v>
      </c>
      <c r="AE5" s="21">
        <v>1440</v>
      </c>
      <c r="AF5" s="21">
        <v>1270</v>
      </c>
      <c r="AG5" s="21">
        <v>1110</v>
      </c>
      <c r="AH5" s="21">
        <v>960</v>
      </c>
      <c r="AI5" s="21">
        <v>830</v>
      </c>
      <c r="AJ5" s="21">
        <v>720</v>
      </c>
      <c r="AK5" s="21">
        <v>620</v>
      </c>
      <c r="AL5" s="21">
        <v>530</v>
      </c>
      <c r="AM5" s="21">
        <v>450</v>
      </c>
      <c r="AN5" s="21">
        <v>380</v>
      </c>
      <c r="AO5" s="21">
        <v>320</v>
      </c>
      <c r="AP5" s="21">
        <v>260</v>
      </c>
      <c r="AQ5" s="21">
        <v>210</v>
      </c>
      <c r="AR5" s="21" t="s">
        <v>109</v>
      </c>
      <c r="AS5" s="21" t="s">
        <v>109</v>
      </c>
      <c r="AT5" s="21" t="s">
        <v>109</v>
      </c>
      <c r="AU5" s="21" t="s">
        <v>109</v>
      </c>
      <c r="AV5" s="21" t="s">
        <v>109</v>
      </c>
      <c r="AW5" s="21" t="s">
        <v>109</v>
      </c>
      <c r="AX5" s="21" t="s">
        <v>109</v>
      </c>
      <c r="AY5" s="21" t="s">
        <v>109</v>
      </c>
      <c r="AZ5" s="21" t="s">
        <v>109</v>
      </c>
      <c r="BA5" s="21" t="s">
        <v>109</v>
      </c>
      <c r="BB5" s="21" t="s">
        <v>109</v>
      </c>
      <c r="BC5" s="21" t="s">
        <v>109</v>
      </c>
      <c r="BD5" s="21" t="s">
        <v>109</v>
      </c>
      <c r="BE5" s="21" t="s">
        <v>109</v>
      </c>
      <c r="BF5" s="21" t="s">
        <v>109</v>
      </c>
      <c r="BG5" s="21" t="s">
        <v>109</v>
      </c>
      <c r="BH5" s="21" t="s">
        <v>109</v>
      </c>
      <c r="BI5" s="21" t="s">
        <v>109</v>
      </c>
      <c r="BJ5" s="21" t="s">
        <v>109</v>
      </c>
      <c r="BK5" s="21" t="s">
        <v>109</v>
      </c>
      <c r="BL5" s="21" t="s">
        <v>109</v>
      </c>
      <c r="BM5" s="21" t="s">
        <v>109</v>
      </c>
      <c r="BN5" s="21" t="s">
        <v>109</v>
      </c>
      <c r="BO5" s="21" t="s">
        <v>109</v>
      </c>
      <c r="BP5" s="21" t="s">
        <v>109</v>
      </c>
      <c r="BQ5" s="21" t="s">
        <v>109</v>
      </c>
      <c r="BR5" s="21" t="s">
        <v>109</v>
      </c>
      <c r="BS5" s="21" t="s">
        <v>109</v>
      </c>
      <c r="BT5" s="21" t="s">
        <v>109</v>
      </c>
      <c r="BU5" s="21" t="s">
        <v>109</v>
      </c>
      <c r="BV5" s="21" t="s">
        <v>109</v>
      </c>
      <c r="BW5" s="21" t="s">
        <v>109</v>
      </c>
      <c r="BX5" s="21" t="s">
        <v>109</v>
      </c>
      <c r="BY5" s="21" t="s">
        <v>109</v>
      </c>
      <c r="BZ5" s="21" t="s">
        <v>109</v>
      </c>
      <c r="CA5" s="21" t="s">
        <v>109</v>
      </c>
      <c r="CB5" s="21" t="s">
        <v>109</v>
      </c>
      <c r="CC5" s="21" t="s">
        <v>109</v>
      </c>
      <c r="CD5" s="21" t="s">
        <v>109</v>
      </c>
      <c r="CE5" s="21" t="s">
        <v>109</v>
      </c>
      <c r="CF5" s="21" t="s">
        <v>109</v>
      </c>
      <c r="CG5" s="21" t="s">
        <v>109</v>
      </c>
      <c r="CH5" s="21" t="s">
        <v>109</v>
      </c>
      <c r="CI5" s="21" t="s">
        <v>109</v>
      </c>
      <c r="CJ5" s="21" t="s">
        <v>109</v>
      </c>
      <c r="CK5" s="21" t="s">
        <v>109</v>
      </c>
      <c r="CL5" s="21" t="s">
        <v>109</v>
      </c>
      <c r="CM5" s="21" t="s">
        <v>109</v>
      </c>
      <c r="CN5" s="21" t="s">
        <v>109</v>
      </c>
      <c r="CO5" s="21" t="s">
        <v>109</v>
      </c>
      <c r="CP5" s="21" t="s">
        <v>109</v>
      </c>
      <c r="CQ5" s="21" t="s">
        <v>109</v>
      </c>
      <c r="CR5" s="21" t="s">
        <v>109</v>
      </c>
      <c r="CS5" s="21" t="s">
        <v>109</v>
      </c>
      <c r="CT5" s="21" t="s">
        <v>109</v>
      </c>
      <c r="CU5" s="21" t="s">
        <v>109</v>
      </c>
      <c r="CV5" s="21" t="s">
        <v>109</v>
      </c>
      <c r="CW5" s="21" t="s">
        <v>109</v>
      </c>
      <c r="CX5" s="21" t="s">
        <v>109</v>
      </c>
      <c r="CY5" s="21" t="s">
        <v>109</v>
      </c>
      <c r="CZ5" s="21" t="s">
        <v>109</v>
      </c>
      <c r="DB5" s="21" t="str">
        <f>INDEX(Z$3:CZ$6,2,MATCH(Calculator!$O$19,Z$2:CZ$2))</f>
        <v>N</v>
      </c>
    </row>
    <row r="6" spans="2:106" x14ac:dyDescent="0.25">
      <c r="B6" s="22">
        <v>0.8</v>
      </c>
      <c r="D6" s="22" t="s">
        <v>114</v>
      </c>
      <c r="W6" s="20">
        <v>16</v>
      </c>
      <c r="X6" s="21" t="s">
        <v>115</v>
      </c>
      <c r="Y6" s="21">
        <v>8.6999999999999993</v>
      </c>
      <c r="Z6" s="21">
        <v>2470</v>
      </c>
      <c r="AA6" s="21">
        <v>2280</v>
      </c>
      <c r="AB6" s="21">
        <v>2120</v>
      </c>
      <c r="AC6" s="21">
        <v>1980</v>
      </c>
      <c r="AD6" s="21">
        <v>1840</v>
      </c>
      <c r="AE6" s="21">
        <v>1620</v>
      </c>
      <c r="AF6" s="21">
        <v>1430</v>
      </c>
      <c r="AG6" s="21">
        <v>1250</v>
      </c>
      <c r="AH6" s="21">
        <v>1090</v>
      </c>
      <c r="AI6" s="21">
        <v>950</v>
      </c>
      <c r="AJ6" s="21">
        <v>830</v>
      </c>
      <c r="AK6" s="21">
        <v>720</v>
      </c>
      <c r="AL6" s="21">
        <v>620</v>
      </c>
      <c r="AM6" s="21">
        <v>540</v>
      </c>
      <c r="AN6" s="21">
        <v>460</v>
      </c>
      <c r="AO6" s="21">
        <v>390</v>
      </c>
      <c r="AP6" s="21">
        <v>330</v>
      </c>
      <c r="AQ6" s="21">
        <v>280</v>
      </c>
      <c r="AR6" s="21">
        <v>150</v>
      </c>
      <c r="AS6" s="21" t="s">
        <v>109</v>
      </c>
      <c r="AT6" s="21" t="s">
        <v>109</v>
      </c>
      <c r="AU6" s="21" t="s">
        <v>109</v>
      </c>
      <c r="AV6" s="21" t="s">
        <v>109</v>
      </c>
      <c r="AW6" s="21" t="s">
        <v>109</v>
      </c>
      <c r="AX6" s="21" t="s">
        <v>109</v>
      </c>
      <c r="AY6" s="21" t="s">
        <v>109</v>
      </c>
      <c r="AZ6" s="21" t="s">
        <v>109</v>
      </c>
      <c r="BA6" s="21" t="s">
        <v>109</v>
      </c>
      <c r="BB6" s="21" t="s">
        <v>109</v>
      </c>
      <c r="BC6" s="21" t="s">
        <v>109</v>
      </c>
      <c r="BD6" s="21" t="s">
        <v>109</v>
      </c>
      <c r="BE6" s="21" t="s">
        <v>109</v>
      </c>
      <c r="BF6" s="21" t="s">
        <v>109</v>
      </c>
      <c r="BG6" s="21" t="s">
        <v>109</v>
      </c>
      <c r="BH6" s="21" t="s">
        <v>109</v>
      </c>
      <c r="BI6" s="21" t="s">
        <v>109</v>
      </c>
      <c r="BJ6" s="21" t="s">
        <v>109</v>
      </c>
      <c r="BK6" s="21" t="s">
        <v>109</v>
      </c>
      <c r="BL6" s="21" t="s">
        <v>109</v>
      </c>
      <c r="BM6" s="21" t="s">
        <v>109</v>
      </c>
      <c r="BN6" s="21" t="s">
        <v>109</v>
      </c>
      <c r="BO6" s="21" t="s">
        <v>109</v>
      </c>
      <c r="BP6" s="21" t="s">
        <v>109</v>
      </c>
      <c r="BQ6" s="21" t="s">
        <v>109</v>
      </c>
      <c r="BR6" s="21" t="s">
        <v>109</v>
      </c>
      <c r="BS6" s="21" t="s">
        <v>109</v>
      </c>
      <c r="BT6" s="21" t="s">
        <v>109</v>
      </c>
      <c r="BU6" s="21" t="s">
        <v>109</v>
      </c>
      <c r="BV6" s="21" t="s">
        <v>109</v>
      </c>
      <c r="BW6" s="21" t="s">
        <v>109</v>
      </c>
      <c r="BX6" s="21" t="s">
        <v>109</v>
      </c>
      <c r="BY6" s="21" t="s">
        <v>109</v>
      </c>
      <c r="BZ6" s="21" t="s">
        <v>109</v>
      </c>
      <c r="CA6" s="21" t="s">
        <v>109</v>
      </c>
      <c r="CB6" s="21" t="s">
        <v>109</v>
      </c>
      <c r="CC6" s="21" t="s">
        <v>109</v>
      </c>
      <c r="CD6" s="21" t="s">
        <v>109</v>
      </c>
      <c r="CE6" s="21" t="s">
        <v>109</v>
      </c>
      <c r="CF6" s="21" t="s">
        <v>109</v>
      </c>
      <c r="CG6" s="21" t="s">
        <v>109</v>
      </c>
      <c r="CH6" s="21" t="s">
        <v>109</v>
      </c>
      <c r="CI6" s="21" t="s">
        <v>109</v>
      </c>
      <c r="CJ6" s="21" t="s">
        <v>109</v>
      </c>
      <c r="CK6" s="21" t="s">
        <v>109</v>
      </c>
      <c r="CL6" s="21" t="s">
        <v>109</v>
      </c>
      <c r="CM6" s="21" t="s">
        <v>109</v>
      </c>
      <c r="CN6" s="21" t="s">
        <v>109</v>
      </c>
      <c r="CO6" s="21" t="s">
        <v>109</v>
      </c>
      <c r="CP6" s="21" t="s">
        <v>109</v>
      </c>
      <c r="CQ6" s="21" t="s">
        <v>109</v>
      </c>
      <c r="CR6" s="21" t="s">
        <v>109</v>
      </c>
      <c r="CS6" s="21" t="s">
        <v>109</v>
      </c>
      <c r="CT6" s="21" t="s">
        <v>109</v>
      </c>
      <c r="CU6" s="21" t="s">
        <v>109</v>
      </c>
      <c r="CV6" s="21" t="s">
        <v>109</v>
      </c>
      <c r="CW6" s="21" t="s">
        <v>109</v>
      </c>
      <c r="CX6" s="21" t="s">
        <v>109</v>
      </c>
      <c r="CY6" s="21" t="s">
        <v>109</v>
      </c>
      <c r="CZ6" s="21" t="s">
        <v>109</v>
      </c>
      <c r="DB6" s="21" t="str">
        <f>INDEX(Z$3:CZ$6,1,MATCH(Calculator!$O$19,Z$2:CZ$2))</f>
        <v>N</v>
      </c>
    </row>
    <row r="7" spans="2:106" x14ac:dyDescent="0.25">
      <c r="B7" s="22">
        <v>0.6</v>
      </c>
      <c r="D7" s="22" t="s">
        <v>3</v>
      </c>
      <c r="W7" s="20">
        <v>20</v>
      </c>
      <c r="X7" s="21" t="s">
        <v>116</v>
      </c>
      <c r="Y7" s="21">
        <v>8.8800000000000008</v>
      </c>
      <c r="Z7" s="21">
        <v>2290</v>
      </c>
      <c r="AA7" s="21">
        <v>2110</v>
      </c>
      <c r="AB7" s="21">
        <v>1960</v>
      </c>
      <c r="AC7" s="21">
        <v>1820</v>
      </c>
      <c r="AD7" s="21">
        <v>1700</v>
      </c>
      <c r="AE7" s="21">
        <v>1590</v>
      </c>
      <c r="AF7" s="21">
        <v>1430</v>
      </c>
      <c r="AG7" s="21">
        <v>1260</v>
      </c>
      <c r="AH7" s="21">
        <v>1120</v>
      </c>
      <c r="AI7" s="21">
        <v>990</v>
      </c>
      <c r="AJ7" s="21">
        <v>880</v>
      </c>
      <c r="AK7" s="21">
        <v>790</v>
      </c>
      <c r="AL7" s="21">
        <v>700</v>
      </c>
      <c r="AM7" s="21">
        <v>620</v>
      </c>
      <c r="AN7" s="21">
        <v>530</v>
      </c>
      <c r="AO7" s="21">
        <v>460</v>
      </c>
      <c r="AP7" s="21">
        <v>390</v>
      </c>
      <c r="AQ7" s="21">
        <v>330</v>
      </c>
      <c r="AR7" s="21">
        <v>270</v>
      </c>
      <c r="AS7" s="21">
        <v>220</v>
      </c>
      <c r="AT7" s="21">
        <v>180</v>
      </c>
      <c r="AU7" s="21" t="s">
        <v>109</v>
      </c>
      <c r="AV7" s="21" t="s">
        <v>109</v>
      </c>
      <c r="AW7" s="21" t="s">
        <v>109</v>
      </c>
      <c r="AX7" s="21" t="s">
        <v>109</v>
      </c>
      <c r="AY7" s="21" t="s">
        <v>109</v>
      </c>
      <c r="AZ7" s="21" t="s">
        <v>109</v>
      </c>
      <c r="BA7" s="21" t="s">
        <v>109</v>
      </c>
      <c r="BB7" s="21" t="s">
        <v>109</v>
      </c>
      <c r="BC7" s="21" t="s">
        <v>109</v>
      </c>
      <c r="BD7" s="21" t="s">
        <v>109</v>
      </c>
      <c r="BE7" s="21" t="s">
        <v>109</v>
      </c>
      <c r="BF7" s="21" t="s">
        <v>109</v>
      </c>
      <c r="BG7" s="21" t="s">
        <v>109</v>
      </c>
      <c r="BH7" s="21" t="s">
        <v>109</v>
      </c>
      <c r="BI7" s="21" t="s">
        <v>109</v>
      </c>
      <c r="BJ7" s="21" t="s">
        <v>109</v>
      </c>
      <c r="BK7" s="21" t="s">
        <v>109</v>
      </c>
      <c r="BL7" s="21" t="s">
        <v>109</v>
      </c>
      <c r="BM7" s="21" t="s">
        <v>109</v>
      </c>
      <c r="BN7" s="21" t="s">
        <v>109</v>
      </c>
      <c r="BO7" s="21" t="s">
        <v>109</v>
      </c>
      <c r="BP7" s="21" t="s">
        <v>109</v>
      </c>
      <c r="BQ7" s="21" t="s">
        <v>109</v>
      </c>
      <c r="BR7" s="21" t="s">
        <v>109</v>
      </c>
      <c r="BS7" s="21" t="s">
        <v>109</v>
      </c>
      <c r="BT7" s="21" t="s">
        <v>109</v>
      </c>
      <c r="BU7" s="21" t="s">
        <v>109</v>
      </c>
      <c r="BV7" s="21" t="s">
        <v>109</v>
      </c>
      <c r="BW7" s="21" t="s">
        <v>109</v>
      </c>
      <c r="BX7" s="21" t="s">
        <v>109</v>
      </c>
      <c r="BY7" s="21" t="s">
        <v>109</v>
      </c>
      <c r="BZ7" s="21" t="s">
        <v>109</v>
      </c>
      <c r="CA7" s="21" t="s">
        <v>109</v>
      </c>
      <c r="CB7" s="21" t="s">
        <v>109</v>
      </c>
      <c r="CC7" s="21" t="s">
        <v>109</v>
      </c>
      <c r="CD7" s="21" t="s">
        <v>109</v>
      </c>
      <c r="CE7" s="21" t="s">
        <v>109</v>
      </c>
      <c r="CF7" s="21" t="s">
        <v>109</v>
      </c>
      <c r="CG7" s="21" t="s">
        <v>109</v>
      </c>
      <c r="CH7" s="21" t="s">
        <v>109</v>
      </c>
      <c r="CI7" s="21" t="s">
        <v>109</v>
      </c>
      <c r="CJ7" s="21" t="s">
        <v>109</v>
      </c>
      <c r="CK7" s="21" t="s">
        <v>109</v>
      </c>
      <c r="CL7" s="21" t="s">
        <v>109</v>
      </c>
      <c r="CM7" s="21" t="s">
        <v>109</v>
      </c>
      <c r="CN7" s="21" t="s">
        <v>109</v>
      </c>
      <c r="CO7" s="21" t="s">
        <v>109</v>
      </c>
      <c r="CP7" s="21" t="s">
        <v>109</v>
      </c>
      <c r="CQ7" s="21" t="s">
        <v>109</v>
      </c>
      <c r="CR7" s="21" t="s">
        <v>109</v>
      </c>
      <c r="CS7" s="21" t="s">
        <v>109</v>
      </c>
      <c r="CT7" s="21" t="s">
        <v>109</v>
      </c>
      <c r="CU7" s="21" t="s">
        <v>109</v>
      </c>
      <c r="CV7" s="21" t="s">
        <v>109</v>
      </c>
      <c r="CW7" s="21" t="s">
        <v>109</v>
      </c>
      <c r="CX7" s="21" t="s">
        <v>109</v>
      </c>
      <c r="CY7" s="21" t="s">
        <v>109</v>
      </c>
      <c r="CZ7" s="21" t="s">
        <v>109</v>
      </c>
      <c r="DB7" s="21">
        <f>INDEX(Z$7:CZ$12,6,MATCH(Calculator!$O$19,Z$2:CZ$2))</f>
        <v>170</v>
      </c>
    </row>
    <row r="8" spans="2:106" x14ac:dyDescent="0.25">
      <c r="B8" s="22">
        <v>2.2000000000000002</v>
      </c>
      <c r="D8" s="22" t="s">
        <v>83</v>
      </c>
      <c r="W8" s="20">
        <v>20</v>
      </c>
      <c r="X8" s="21" t="s">
        <v>117</v>
      </c>
      <c r="Y8" s="21">
        <v>10.199999999999999</v>
      </c>
      <c r="Z8" s="21">
        <v>2340</v>
      </c>
      <c r="AA8" s="21">
        <v>2160</v>
      </c>
      <c r="AB8" s="21">
        <v>2010</v>
      </c>
      <c r="AC8" s="21">
        <v>1870</v>
      </c>
      <c r="AD8" s="21">
        <v>1740</v>
      </c>
      <c r="AE8" s="21">
        <v>1630</v>
      </c>
      <c r="AF8" s="21">
        <v>1530</v>
      </c>
      <c r="AG8" s="21">
        <v>1440</v>
      </c>
      <c r="AH8" s="21">
        <v>1340</v>
      </c>
      <c r="AI8" s="21">
        <v>1190</v>
      </c>
      <c r="AJ8" s="21">
        <v>1070</v>
      </c>
      <c r="AK8" s="21">
        <v>940</v>
      </c>
      <c r="AL8" s="21">
        <v>820</v>
      </c>
      <c r="AM8" s="21">
        <v>720</v>
      </c>
      <c r="AN8" s="21">
        <v>630</v>
      </c>
      <c r="AO8" s="21">
        <v>550</v>
      </c>
      <c r="AP8" s="21">
        <v>480</v>
      </c>
      <c r="AQ8" s="21">
        <v>410</v>
      </c>
      <c r="AR8" s="21">
        <v>350</v>
      </c>
      <c r="AS8" s="21">
        <v>290</v>
      </c>
      <c r="AT8" s="21">
        <v>240</v>
      </c>
      <c r="AU8" s="21">
        <v>200</v>
      </c>
      <c r="AV8" s="21">
        <v>150</v>
      </c>
      <c r="AW8" s="21" t="s">
        <v>109</v>
      </c>
      <c r="AX8" s="21" t="s">
        <v>109</v>
      </c>
      <c r="AY8" s="21" t="s">
        <v>109</v>
      </c>
      <c r="AZ8" s="21" t="s">
        <v>109</v>
      </c>
      <c r="BA8" s="21" t="s">
        <v>109</v>
      </c>
      <c r="BB8" s="21" t="s">
        <v>109</v>
      </c>
      <c r="BC8" s="21" t="s">
        <v>109</v>
      </c>
      <c r="BD8" s="21" t="s">
        <v>109</v>
      </c>
      <c r="BE8" s="21" t="s">
        <v>109</v>
      </c>
      <c r="BF8" s="21" t="s">
        <v>109</v>
      </c>
      <c r="BG8" s="21" t="s">
        <v>109</v>
      </c>
      <c r="BH8" s="21" t="s">
        <v>109</v>
      </c>
      <c r="BI8" s="21" t="s">
        <v>109</v>
      </c>
      <c r="BJ8" s="21" t="s">
        <v>109</v>
      </c>
      <c r="BK8" s="21" t="s">
        <v>109</v>
      </c>
      <c r="BL8" s="21" t="s">
        <v>109</v>
      </c>
      <c r="BM8" s="21" t="s">
        <v>109</v>
      </c>
      <c r="BN8" s="21" t="s">
        <v>109</v>
      </c>
      <c r="BO8" s="21" t="s">
        <v>109</v>
      </c>
      <c r="BP8" s="21" t="s">
        <v>109</v>
      </c>
      <c r="BQ8" s="21" t="s">
        <v>109</v>
      </c>
      <c r="BR8" s="21" t="s">
        <v>109</v>
      </c>
      <c r="BS8" s="21" t="s">
        <v>109</v>
      </c>
      <c r="BT8" s="21" t="s">
        <v>109</v>
      </c>
      <c r="BU8" s="21" t="s">
        <v>109</v>
      </c>
      <c r="BV8" s="21" t="s">
        <v>109</v>
      </c>
      <c r="BW8" s="21" t="s">
        <v>109</v>
      </c>
      <c r="BX8" s="21" t="s">
        <v>109</v>
      </c>
      <c r="BY8" s="21" t="s">
        <v>109</v>
      </c>
      <c r="BZ8" s="21" t="s">
        <v>109</v>
      </c>
      <c r="CA8" s="21" t="s">
        <v>109</v>
      </c>
      <c r="CB8" s="21" t="s">
        <v>109</v>
      </c>
      <c r="CC8" s="21" t="s">
        <v>109</v>
      </c>
      <c r="CD8" s="21" t="s">
        <v>109</v>
      </c>
      <c r="CE8" s="21" t="s">
        <v>109</v>
      </c>
      <c r="CF8" s="21" t="s">
        <v>109</v>
      </c>
      <c r="CG8" s="21" t="s">
        <v>109</v>
      </c>
      <c r="CH8" s="21" t="s">
        <v>109</v>
      </c>
      <c r="CI8" s="21" t="s">
        <v>109</v>
      </c>
      <c r="CJ8" s="21" t="s">
        <v>109</v>
      </c>
      <c r="CK8" s="21" t="s">
        <v>109</v>
      </c>
      <c r="CL8" s="21" t="s">
        <v>109</v>
      </c>
      <c r="CM8" s="21" t="s">
        <v>109</v>
      </c>
      <c r="CN8" s="21" t="s">
        <v>109</v>
      </c>
      <c r="CO8" s="21" t="s">
        <v>109</v>
      </c>
      <c r="CP8" s="21" t="s">
        <v>109</v>
      </c>
      <c r="CQ8" s="21" t="s">
        <v>109</v>
      </c>
      <c r="CR8" s="21" t="s">
        <v>109</v>
      </c>
      <c r="CS8" s="21" t="s">
        <v>109</v>
      </c>
      <c r="CT8" s="21" t="s">
        <v>109</v>
      </c>
      <c r="CU8" s="21" t="s">
        <v>109</v>
      </c>
      <c r="CV8" s="21" t="s">
        <v>109</v>
      </c>
      <c r="CW8" s="21" t="s">
        <v>109</v>
      </c>
      <c r="CX8" s="21" t="s">
        <v>109</v>
      </c>
      <c r="CY8" s="21" t="s">
        <v>109</v>
      </c>
      <c r="CZ8" s="21" t="s">
        <v>109</v>
      </c>
      <c r="DB8" s="21" t="str">
        <f>INDEX(Z$7:CZ$12,5,MATCH(Calculator!$O$19,Z$2:CZ$2))</f>
        <v>N</v>
      </c>
    </row>
    <row r="9" spans="2:106" x14ac:dyDescent="0.25">
      <c r="W9" s="20">
        <v>20</v>
      </c>
      <c r="X9" s="21" t="s">
        <v>118</v>
      </c>
      <c r="Y9" s="21">
        <v>11.13</v>
      </c>
      <c r="Z9" s="21">
        <v>2390</v>
      </c>
      <c r="AA9" s="21">
        <v>2210</v>
      </c>
      <c r="AB9" s="21">
        <v>2050</v>
      </c>
      <c r="AC9" s="21">
        <v>1910</v>
      </c>
      <c r="AD9" s="21">
        <v>1780</v>
      </c>
      <c r="AE9" s="21">
        <v>1670</v>
      </c>
      <c r="AF9" s="21">
        <v>1570</v>
      </c>
      <c r="AG9" s="21">
        <v>1480</v>
      </c>
      <c r="AH9" s="21">
        <v>1400</v>
      </c>
      <c r="AI9" s="21">
        <v>1320</v>
      </c>
      <c r="AJ9" s="21">
        <v>1190</v>
      </c>
      <c r="AK9" s="21">
        <v>1050</v>
      </c>
      <c r="AL9" s="21">
        <v>930</v>
      </c>
      <c r="AM9" s="21">
        <v>820</v>
      </c>
      <c r="AN9" s="21">
        <v>720</v>
      </c>
      <c r="AO9" s="21">
        <v>640</v>
      </c>
      <c r="AP9" s="21">
        <v>560</v>
      </c>
      <c r="AQ9" s="21">
        <v>480</v>
      </c>
      <c r="AR9" s="21">
        <v>420</v>
      </c>
      <c r="AS9" s="21">
        <v>360</v>
      </c>
      <c r="AT9" s="21">
        <v>310</v>
      </c>
      <c r="AU9" s="21">
        <v>260</v>
      </c>
      <c r="AV9" s="21">
        <v>210</v>
      </c>
      <c r="AW9" s="21">
        <v>170</v>
      </c>
      <c r="AX9" s="21" t="s">
        <v>109</v>
      </c>
      <c r="AY9" s="21" t="s">
        <v>109</v>
      </c>
      <c r="AZ9" s="21" t="s">
        <v>109</v>
      </c>
      <c r="BA9" s="21" t="s">
        <v>109</v>
      </c>
      <c r="BB9" s="21" t="s">
        <v>109</v>
      </c>
      <c r="BC9" s="21" t="s">
        <v>109</v>
      </c>
      <c r="BD9" s="21" t="s">
        <v>109</v>
      </c>
      <c r="BE9" s="21" t="s">
        <v>109</v>
      </c>
      <c r="BF9" s="21" t="s">
        <v>109</v>
      </c>
      <c r="BG9" s="21" t="s">
        <v>109</v>
      </c>
      <c r="BH9" s="21" t="s">
        <v>109</v>
      </c>
      <c r="BI9" s="21" t="s">
        <v>109</v>
      </c>
      <c r="BJ9" s="21" t="s">
        <v>109</v>
      </c>
      <c r="BK9" s="21" t="s">
        <v>109</v>
      </c>
      <c r="BL9" s="21" t="s">
        <v>109</v>
      </c>
      <c r="BM9" s="21" t="s">
        <v>109</v>
      </c>
      <c r="BN9" s="21" t="s">
        <v>109</v>
      </c>
      <c r="BO9" s="21" t="s">
        <v>109</v>
      </c>
      <c r="BP9" s="21" t="s">
        <v>109</v>
      </c>
      <c r="BQ9" s="21" t="s">
        <v>109</v>
      </c>
      <c r="BR9" s="21" t="s">
        <v>109</v>
      </c>
      <c r="BS9" s="21" t="s">
        <v>109</v>
      </c>
      <c r="BT9" s="21" t="s">
        <v>109</v>
      </c>
      <c r="BU9" s="21" t="s">
        <v>109</v>
      </c>
      <c r="BV9" s="21" t="s">
        <v>109</v>
      </c>
      <c r="BW9" s="21" t="s">
        <v>109</v>
      </c>
      <c r="BX9" s="21" t="s">
        <v>109</v>
      </c>
      <c r="BY9" s="21" t="s">
        <v>109</v>
      </c>
      <c r="BZ9" s="21" t="s">
        <v>109</v>
      </c>
      <c r="CA9" s="21" t="s">
        <v>109</v>
      </c>
      <c r="CB9" s="21" t="s">
        <v>109</v>
      </c>
      <c r="CC9" s="21" t="s">
        <v>109</v>
      </c>
      <c r="CD9" s="21" t="s">
        <v>109</v>
      </c>
      <c r="CE9" s="21" t="s">
        <v>109</v>
      </c>
      <c r="CF9" s="21" t="s">
        <v>109</v>
      </c>
      <c r="CG9" s="21" t="s">
        <v>109</v>
      </c>
      <c r="CH9" s="21" t="s">
        <v>109</v>
      </c>
      <c r="CI9" s="21" t="s">
        <v>109</v>
      </c>
      <c r="CJ9" s="21" t="s">
        <v>109</v>
      </c>
      <c r="CK9" s="21" t="s">
        <v>109</v>
      </c>
      <c r="CL9" s="21" t="s">
        <v>109</v>
      </c>
      <c r="CM9" s="21" t="s">
        <v>109</v>
      </c>
      <c r="CN9" s="21" t="s">
        <v>109</v>
      </c>
      <c r="CO9" s="21" t="s">
        <v>109</v>
      </c>
      <c r="CP9" s="21" t="s">
        <v>109</v>
      </c>
      <c r="CQ9" s="21" t="s">
        <v>109</v>
      </c>
      <c r="CR9" s="21" t="s">
        <v>109</v>
      </c>
      <c r="CS9" s="21" t="s">
        <v>109</v>
      </c>
      <c r="CT9" s="21" t="s">
        <v>109</v>
      </c>
      <c r="CU9" s="21" t="s">
        <v>109</v>
      </c>
      <c r="CV9" s="21" t="s">
        <v>109</v>
      </c>
      <c r="CW9" s="21" t="s">
        <v>109</v>
      </c>
      <c r="CX9" s="21" t="s">
        <v>109</v>
      </c>
      <c r="CY9" s="21" t="s">
        <v>109</v>
      </c>
      <c r="CZ9" s="21" t="s">
        <v>109</v>
      </c>
      <c r="DB9" s="21" t="str">
        <f>INDEX(Z$7:CZ$12,4,MATCH(Calculator!$O$19,Z$2:CZ$2))</f>
        <v>N</v>
      </c>
    </row>
    <row r="10" spans="2:106" x14ac:dyDescent="0.25">
      <c r="B10" s="20" t="s">
        <v>9</v>
      </c>
      <c r="W10" s="20">
        <v>20</v>
      </c>
      <c r="X10" s="21" t="s">
        <v>119</v>
      </c>
      <c r="Y10" s="21">
        <v>12.04</v>
      </c>
      <c r="Z10" s="21">
        <v>2440</v>
      </c>
      <c r="AA10" s="21">
        <v>2260</v>
      </c>
      <c r="AB10" s="21">
        <v>2090</v>
      </c>
      <c r="AC10" s="21">
        <v>1950</v>
      </c>
      <c r="AD10" s="21">
        <v>1820</v>
      </c>
      <c r="AE10" s="21">
        <v>1710</v>
      </c>
      <c r="AF10" s="21">
        <v>1600</v>
      </c>
      <c r="AG10" s="21">
        <v>1510</v>
      </c>
      <c r="AH10" s="21">
        <v>1430</v>
      </c>
      <c r="AI10" s="21">
        <v>1350</v>
      </c>
      <c r="AJ10" s="21">
        <v>1280</v>
      </c>
      <c r="AK10" s="21">
        <v>1160</v>
      </c>
      <c r="AL10" s="21">
        <v>1030</v>
      </c>
      <c r="AM10" s="21">
        <v>920</v>
      </c>
      <c r="AN10" s="21">
        <v>810</v>
      </c>
      <c r="AO10" s="21">
        <v>720</v>
      </c>
      <c r="AP10" s="21">
        <v>630</v>
      </c>
      <c r="AQ10" s="21">
        <v>560</v>
      </c>
      <c r="AR10" s="21">
        <v>490</v>
      </c>
      <c r="AS10" s="21">
        <v>430</v>
      </c>
      <c r="AT10" s="21">
        <v>370</v>
      </c>
      <c r="AU10" s="21">
        <v>320</v>
      </c>
      <c r="AV10" s="21">
        <v>270</v>
      </c>
      <c r="AW10" s="21">
        <v>220</v>
      </c>
      <c r="AX10" s="21">
        <v>180</v>
      </c>
      <c r="AY10" s="21" t="s">
        <v>109</v>
      </c>
      <c r="AZ10" s="21" t="s">
        <v>109</v>
      </c>
      <c r="BA10" s="21" t="s">
        <v>109</v>
      </c>
      <c r="BB10" s="21" t="s">
        <v>109</v>
      </c>
      <c r="BC10" s="21" t="s">
        <v>109</v>
      </c>
      <c r="BD10" s="21" t="s">
        <v>109</v>
      </c>
      <c r="BE10" s="21" t="s">
        <v>109</v>
      </c>
      <c r="BF10" s="21" t="s">
        <v>109</v>
      </c>
      <c r="BG10" s="21" t="s">
        <v>109</v>
      </c>
      <c r="BH10" s="21" t="s">
        <v>109</v>
      </c>
      <c r="BI10" s="21" t="s">
        <v>109</v>
      </c>
      <c r="BJ10" s="21" t="s">
        <v>109</v>
      </c>
      <c r="BK10" s="21" t="s">
        <v>109</v>
      </c>
      <c r="BL10" s="21" t="s">
        <v>109</v>
      </c>
      <c r="BM10" s="21" t="s">
        <v>109</v>
      </c>
      <c r="BN10" s="21" t="s">
        <v>109</v>
      </c>
      <c r="BO10" s="21" t="s">
        <v>109</v>
      </c>
      <c r="BP10" s="21" t="s">
        <v>109</v>
      </c>
      <c r="BQ10" s="21" t="s">
        <v>109</v>
      </c>
      <c r="BR10" s="21" t="s">
        <v>109</v>
      </c>
      <c r="BS10" s="21" t="s">
        <v>109</v>
      </c>
      <c r="BT10" s="21" t="s">
        <v>109</v>
      </c>
      <c r="BU10" s="21" t="s">
        <v>109</v>
      </c>
      <c r="BV10" s="21" t="s">
        <v>109</v>
      </c>
      <c r="BW10" s="21" t="s">
        <v>109</v>
      </c>
      <c r="BX10" s="21" t="s">
        <v>109</v>
      </c>
      <c r="BY10" s="21" t="s">
        <v>109</v>
      </c>
      <c r="BZ10" s="21" t="s">
        <v>109</v>
      </c>
      <c r="CA10" s="21" t="s">
        <v>109</v>
      </c>
      <c r="CB10" s="21" t="s">
        <v>109</v>
      </c>
      <c r="CC10" s="21" t="s">
        <v>109</v>
      </c>
      <c r="CD10" s="21" t="s">
        <v>109</v>
      </c>
      <c r="CE10" s="21" t="s">
        <v>109</v>
      </c>
      <c r="CF10" s="21" t="s">
        <v>109</v>
      </c>
      <c r="CG10" s="21" t="s">
        <v>109</v>
      </c>
      <c r="CH10" s="21" t="s">
        <v>109</v>
      </c>
      <c r="CI10" s="21" t="s">
        <v>109</v>
      </c>
      <c r="CJ10" s="21" t="s">
        <v>109</v>
      </c>
      <c r="CK10" s="21" t="s">
        <v>109</v>
      </c>
      <c r="CL10" s="21" t="s">
        <v>109</v>
      </c>
      <c r="CM10" s="21" t="s">
        <v>109</v>
      </c>
      <c r="CN10" s="21" t="s">
        <v>109</v>
      </c>
      <c r="CO10" s="21" t="s">
        <v>109</v>
      </c>
      <c r="CP10" s="21" t="s">
        <v>109</v>
      </c>
      <c r="CQ10" s="21" t="s">
        <v>109</v>
      </c>
      <c r="CR10" s="21" t="s">
        <v>109</v>
      </c>
      <c r="CS10" s="21" t="s">
        <v>109</v>
      </c>
      <c r="CT10" s="21" t="s">
        <v>109</v>
      </c>
      <c r="CU10" s="21" t="s">
        <v>109</v>
      </c>
      <c r="CV10" s="21" t="s">
        <v>109</v>
      </c>
      <c r="CW10" s="21" t="s">
        <v>109</v>
      </c>
      <c r="CX10" s="21" t="s">
        <v>109</v>
      </c>
      <c r="CY10" s="21" t="s">
        <v>109</v>
      </c>
      <c r="CZ10" s="21" t="s">
        <v>109</v>
      </c>
      <c r="DB10" s="21" t="str">
        <f>INDEX(Z$7:CZ$12,3,MATCH(Calculator!$O$19,Z$2:CZ$2))</f>
        <v>N</v>
      </c>
    </row>
    <row r="11" spans="2:106" x14ac:dyDescent="0.25">
      <c r="B11" s="20" t="s">
        <v>120</v>
      </c>
      <c r="W11" s="20">
        <v>20</v>
      </c>
      <c r="X11" s="21" t="s">
        <v>121</v>
      </c>
      <c r="Y11" s="21">
        <v>12.95</v>
      </c>
      <c r="Z11" s="21">
        <v>2490</v>
      </c>
      <c r="AA11" s="21">
        <v>2300</v>
      </c>
      <c r="AB11" s="21">
        <v>2130</v>
      </c>
      <c r="AC11" s="21">
        <v>1990</v>
      </c>
      <c r="AD11" s="21">
        <v>1860</v>
      </c>
      <c r="AE11" s="21">
        <v>1740</v>
      </c>
      <c r="AF11" s="21">
        <v>1640</v>
      </c>
      <c r="AG11" s="21">
        <v>1540</v>
      </c>
      <c r="AH11" s="21">
        <v>1460</v>
      </c>
      <c r="AI11" s="21">
        <v>1380</v>
      </c>
      <c r="AJ11" s="21">
        <v>1310</v>
      </c>
      <c r="AK11" s="21">
        <v>1240</v>
      </c>
      <c r="AL11" s="21">
        <v>1140</v>
      </c>
      <c r="AM11" s="21">
        <v>1010</v>
      </c>
      <c r="AN11" s="21">
        <v>900</v>
      </c>
      <c r="AO11" s="21">
        <v>800</v>
      </c>
      <c r="AP11" s="21">
        <v>710</v>
      </c>
      <c r="AQ11" s="21">
        <v>630</v>
      </c>
      <c r="AR11" s="21">
        <v>560</v>
      </c>
      <c r="AS11" s="21">
        <v>490</v>
      </c>
      <c r="AT11" s="21">
        <v>430</v>
      </c>
      <c r="AU11" s="21">
        <v>370</v>
      </c>
      <c r="AV11" s="21">
        <v>320</v>
      </c>
      <c r="AW11" s="21">
        <v>270</v>
      </c>
      <c r="AX11" s="21">
        <v>230</v>
      </c>
      <c r="AY11" s="21">
        <v>190</v>
      </c>
      <c r="AZ11" s="21" t="s">
        <v>109</v>
      </c>
      <c r="BA11" s="21" t="s">
        <v>109</v>
      </c>
      <c r="BB11" s="21" t="s">
        <v>109</v>
      </c>
      <c r="BC11" s="21" t="s">
        <v>109</v>
      </c>
      <c r="BD11" s="21" t="s">
        <v>109</v>
      </c>
      <c r="BE11" s="21" t="s">
        <v>109</v>
      </c>
      <c r="BF11" s="21" t="s">
        <v>109</v>
      </c>
      <c r="BG11" s="21" t="s">
        <v>109</v>
      </c>
      <c r="BH11" s="21" t="s">
        <v>109</v>
      </c>
      <c r="BI11" s="21" t="s">
        <v>109</v>
      </c>
      <c r="BJ11" s="21" t="s">
        <v>109</v>
      </c>
      <c r="BK11" s="21" t="s">
        <v>109</v>
      </c>
      <c r="BL11" s="21" t="s">
        <v>109</v>
      </c>
      <c r="BM11" s="21" t="s">
        <v>109</v>
      </c>
      <c r="BN11" s="21" t="s">
        <v>109</v>
      </c>
      <c r="BO11" s="21" t="s">
        <v>109</v>
      </c>
      <c r="BP11" s="21" t="s">
        <v>109</v>
      </c>
      <c r="BQ11" s="21" t="s">
        <v>109</v>
      </c>
      <c r="BR11" s="21" t="s">
        <v>109</v>
      </c>
      <c r="BS11" s="21" t="s">
        <v>109</v>
      </c>
      <c r="BT11" s="21" t="s">
        <v>109</v>
      </c>
      <c r="BU11" s="21" t="s">
        <v>109</v>
      </c>
      <c r="BV11" s="21" t="s">
        <v>109</v>
      </c>
      <c r="BW11" s="21" t="s">
        <v>109</v>
      </c>
      <c r="BX11" s="21" t="s">
        <v>109</v>
      </c>
      <c r="BY11" s="21" t="s">
        <v>109</v>
      </c>
      <c r="BZ11" s="21" t="s">
        <v>109</v>
      </c>
      <c r="CA11" s="21" t="s">
        <v>109</v>
      </c>
      <c r="CB11" s="21" t="s">
        <v>109</v>
      </c>
      <c r="CC11" s="21" t="s">
        <v>109</v>
      </c>
      <c r="CD11" s="21" t="s">
        <v>109</v>
      </c>
      <c r="CE11" s="21" t="s">
        <v>109</v>
      </c>
      <c r="CF11" s="21" t="s">
        <v>109</v>
      </c>
      <c r="CG11" s="21" t="s">
        <v>109</v>
      </c>
      <c r="CH11" s="21" t="s">
        <v>109</v>
      </c>
      <c r="CI11" s="21" t="s">
        <v>109</v>
      </c>
      <c r="CJ11" s="21" t="s">
        <v>109</v>
      </c>
      <c r="CK11" s="21" t="s">
        <v>109</v>
      </c>
      <c r="CL11" s="21" t="s">
        <v>109</v>
      </c>
      <c r="CM11" s="21" t="s">
        <v>109</v>
      </c>
      <c r="CN11" s="21" t="s">
        <v>109</v>
      </c>
      <c r="CO11" s="21" t="s">
        <v>109</v>
      </c>
      <c r="CP11" s="21" t="s">
        <v>109</v>
      </c>
      <c r="CQ11" s="21" t="s">
        <v>109</v>
      </c>
      <c r="CR11" s="21" t="s">
        <v>109</v>
      </c>
      <c r="CS11" s="21" t="s">
        <v>109</v>
      </c>
      <c r="CT11" s="21" t="s">
        <v>109</v>
      </c>
      <c r="CU11" s="21" t="s">
        <v>109</v>
      </c>
      <c r="CV11" s="21" t="s">
        <v>109</v>
      </c>
      <c r="CW11" s="21" t="s">
        <v>109</v>
      </c>
      <c r="CX11" s="21" t="s">
        <v>109</v>
      </c>
      <c r="CY11" s="21" t="s">
        <v>109</v>
      </c>
      <c r="CZ11" s="21" t="s">
        <v>109</v>
      </c>
      <c r="DB11" s="21" t="str">
        <f>INDEX(Z$7:CZ$12,2,MATCH(Calculator!$O$19,Z$2:CZ$2))</f>
        <v>N</v>
      </c>
    </row>
    <row r="12" spans="2:106" x14ac:dyDescent="0.25">
      <c r="W12" s="20">
        <v>20</v>
      </c>
      <c r="X12" s="21" t="s">
        <v>122</v>
      </c>
      <c r="Y12" s="21">
        <v>13.8</v>
      </c>
      <c r="Z12" s="21">
        <v>2340</v>
      </c>
      <c r="AA12" s="21">
        <v>2340</v>
      </c>
      <c r="AB12" s="21">
        <v>2170</v>
      </c>
      <c r="AC12" s="21">
        <v>2020</v>
      </c>
      <c r="AD12" s="21">
        <v>1890</v>
      </c>
      <c r="AE12" s="21">
        <v>1770</v>
      </c>
      <c r="AF12" s="21">
        <v>1670</v>
      </c>
      <c r="AG12" s="21">
        <v>1570</v>
      </c>
      <c r="AH12" s="21">
        <v>1480</v>
      </c>
      <c r="AI12" s="21">
        <v>1400</v>
      </c>
      <c r="AJ12" s="21">
        <v>1330</v>
      </c>
      <c r="AK12" s="21">
        <v>1260</v>
      </c>
      <c r="AL12" s="21">
        <v>1200</v>
      </c>
      <c r="AM12" s="21">
        <v>1100</v>
      </c>
      <c r="AN12" s="21">
        <v>990</v>
      </c>
      <c r="AO12" s="21">
        <v>880</v>
      </c>
      <c r="AP12" s="21">
        <v>790</v>
      </c>
      <c r="AQ12" s="21">
        <v>700</v>
      </c>
      <c r="AR12" s="21">
        <v>620</v>
      </c>
      <c r="AS12" s="21">
        <v>550</v>
      </c>
      <c r="AT12" s="21">
        <v>490</v>
      </c>
      <c r="AU12" s="21">
        <v>430</v>
      </c>
      <c r="AV12" s="21">
        <v>370</v>
      </c>
      <c r="AW12" s="21">
        <v>270</v>
      </c>
      <c r="AX12" s="21">
        <v>230</v>
      </c>
      <c r="AY12" s="21">
        <v>220</v>
      </c>
      <c r="AZ12" s="21">
        <v>170</v>
      </c>
      <c r="BA12" s="21" t="s">
        <v>109</v>
      </c>
      <c r="BB12" s="21" t="s">
        <v>109</v>
      </c>
      <c r="BC12" s="21" t="s">
        <v>109</v>
      </c>
      <c r="BD12" s="21" t="s">
        <v>109</v>
      </c>
      <c r="BE12" s="21" t="s">
        <v>109</v>
      </c>
      <c r="BF12" s="21" t="s">
        <v>109</v>
      </c>
      <c r="BG12" s="21" t="s">
        <v>109</v>
      </c>
      <c r="BH12" s="21" t="s">
        <v>109</v>
      </c>
      <c r="BI12" s="21" t="s">
        <v>109</v>
      </c>
      <c r="BJ12" s="21" t="s">
        <v>109</v>
      </c>
      <c r="BK12" s="21" t="s">
        <v>109</v>
      </c>
      <c r="BL12" s="21" t="s">
        <v>109</v>
      </c>
      <c r="BM12" s="21" t="s">
        <v>109</v>
      </c>
      <c r="BN12" s="21" t="s">
        <v>109</v>
      </c>
      <c r="BO12" s="21" t="s">
        <v>109</v>
      </c>
      <c r="BP12" s="21" t="s">
        <v>109</v>
      </c>
      <c r="BQ12" s="21" t="s">
        <v>109</v>
      </c>
      <c r="BR12" s="21" t="s">
        <v>109</v>
      </c>
      <c r="BS12" s="21" t="s">
        <v>109</v>
      </c>
      <c r="BT12" s="21" t="s">
        <v>109</v>
      </c>
      <c r="BU12" s="21" t="s">
        <v>109</v>
      </c>
      <c r="BV12" s="21" t="s">
        <v>109</v>
      </c>
      <c r="BW12" s="21" t="s">
        <v>109</v>
      </c>
      <c r="BX12" s="21" t="s">
        <v>109</v>
      </c>
      <c r="BY12" s="21" t="s">
        <v>109</v>
      </c>
      <c r="BZ12" s="21" t="s">
        <v>109</v>
      </c>
      <c r="CA12" s="21" t="s">
        <v>109</v>
      </c>
      <c r="CB12" s="21" t="s">
        <v>109</v>
      </c>
      <c r="CC12" s="21" t="s">
        <v>109</v>
      </c>
      <c r="CD12" s="21" t="s">
        <v>109</v>
      </c>
      <c r="CE12" s="21" t="s">
        <v>109</v>
      </c>
      <c r="CF12" s="21" t="s">
        <v>109</v>
      </c>
      <c r="CG12" s="21" t="s">
        <v>109</v>
      </c>
      <c r="CH12" s="21" t="s">
        <v>109</v>
      </c>
      <c r="CI12" s="21" t="s">
        <v>109</v>
      </c>
      <c r="CJ12" s="21" t="s">
        <v>109</v>
      </c>
      <c r="CK12" s="21" t="s">
        <v>109</v>
      </c>
      <c r="CL12" s="21" t="s">
        <v>109</v>
      </c>
      <c r="CM12" s="21" t="s">
        <v>109</v>
      </c>
      <c r="CN12" s="21" t="s">
        <v>109</v>
      </c>
      <c r="CO12" s="21" t="s">
        <v>109</v>
      </c>
      <c r="CP12" s="21" t="s">
        <v>109</v>
      </c>
      <c r="CQ12" s="21" t="s">
        <v>109</v>
      </c>
      <c r="CR12" s="21" t="s">
        <v>109</v>
      </c>
      <c r="CS12" s="21" t="s">
        <v>109</v>
      </c>
      <c r="CT12" s="21" t="s">
        <v>109</v>
      </c>
      <c r="CU12" s="21" t="s">
        <v>109</v>
      </c>
      <c r="CV12" s="21" t="s">
        <v>109</v>
      </c>
      <c r="CW12" s="21" t="s">
        <v>109</v>
      </c>
      <c r="CX12" s="21" t="s">
        <v>109</v>
      </c>
      <c r="CY12" s="21" t="s">
        <v>109</v>
      </c>
      <c r="CZ12" s="21" t="s">
        <v>109</v>
      </c>
      <c r="DB12" s="21" t="str">
        <f>INDEX(Z$7:CZ$12,1,MATCH(Calculator!$O$19,Z$2:CZ$2))</f>
        <v>N</v>
      </c>
    </row>
    <row r="13" spans="2:106" x14ac:dyDescent="0.25">
      <c r="B13" s="20">
        <v>2</v>
      </c>
      <c r="W13" s="20">
        <v>25</v>
      </c>
      <c r="X13" s="21" t="str">
        <f>"25066"</f>
        <v>25066</v>
      </c>
      <c r="Y13" s="21">
        <v>9.68</v>
      </c>
      <c r="Z13" s="21">
        <v>2010</v>
      </c>
      <c r="AA13" s="21">
        <v>2010</v>
      </c>
      <c r="AB13" s="21">
        <v>2010</v>
      </c>
      <c r="AC13" s="21">
        <v>2010</v>
      </c>
      <c r="AD13" s="21">
        <v>2010</v>
      </c>
      <c r="AE13" s="21">
        <v>1770</v>
      </c>
      <c r="AF13" s="21">
        <v>1560</v>
      </c>
      <c r="AG13" s="21">
        <v>1380</v>
      </c>
      <c r="AH13" s="21">
        <v>1220</v>
      </c>
      <c r="AI13" s="21">
        <v>1090</v>
      </c>
      <c r="AJ13" s="21">
        <v>970</v>
      </c>
      <c r="AK13" s="21">
        <v>860</v>
      </c>
      <c r="AL13" s="21">
        <v>770</v>
      </c>
      <c r="AM13" s="21">
        <v>690</v>
      </c>
      <c r="AN13" s="21">
        <v>610</v>
      </c>
      <c r="AO13" s="21">
        <v>540</v>
      </c>
      <c r="AP13" s="21">
        <v>480</v>
      </c>
      <c r="AQ13" s="21">
        <v>430</v>
      </c>
      <c r="AR13" s="21">
        <v>380</v>
      </c>
      <c r="AS13" s="21">
        <v>330</v>
      </c>
      <c r="AT13" s="21">
        <v>290</v>
      </c>
      <c r="AU13" s="21">
        <v>260</v>
      </c>
      <c r="AV13" s="21">
        <v>220</v>
      </c>
      <c r="AW13" s="21">
        <v>180</v>
      </c>
      <c r="AX13" s="21" t="s">
        <v>109</v>
      </c>
      <c r="AY13" s="21" t="s">
        <v>109</v>
      </c>
      <c r="AZ13" s="21" t="s">
        <v>109</v>
      </c>
      <c r="BA13" s="21" t="s">
        <v>109</v>
      </c>
      <c r="BB13" s="21" t="s">
        <v>109</v>
      </c>
      <c r="BC13" s="21" t="s">
        <v>109</v>
      </c>
      <c r="BD13" s="21" t="s">
        <v>109</v>
      </c>
      <c r="BE13" s="21" t="s">
        <v>109</v>
      </c>
      <c r="BF13" s="21" t="s">
        <v>109</v>
      </c>
      <c r="BG13" s="21" t="s">
        <v>109</v>
      </c>
      <c r="BH13" s="21" t="s">
        <v>109</v>
      </c>
      <c r="BI13" s="21" t="s">
        <v>109</v>
      </c>
      <c r="BJ13" s="21" t="s">
        <v>109</v>
      </c>
      <c r="BK13" s="21" t="s">
        <v>109</v>
      </c>
      <c r="BL13" s="21" t="s">
        <v>109</v>
      </c>
      <c r="BM13" s="21" t="s">
        <v>109</v>
      </c>
      <c r="BN13" s="21" t="s">
        <v>109</v>
      </c>
      <c r="BO13" s="21" t="s">
        <v>109</v>
      </c>
      <c r="BP13" s="21" t="s">
        <v>109</v>
      </c>
      <c r="BQ13" s="21" t="s">
        <v>109</v>
      </c>
      <c r="BR13" s="21" t="s">
        <v>109</v>
      </c>
      <c r="BS13" s="21" t="s">
        <v>109</v>
      </c>
      <c r="BT13" s="21" t="s">
        <v>109</v>
      </c>
      <c r="BU13" s="21" t="s">
        <v>109</v>
      </c>
      <c r="BV13" s="21" t="s">
        <v>109</v>
      </c>
      <c r="BW13" s="21" t="s">
        <v>109</v>
      </c>
      <c r="BX13" s="21" t="s">
        <v>109</v>
      </c>
      <c r="BY13" s="21" t="s">
        <v>109</v>
      </c>
      <c r="BZ13" s="21" t="s">
        <v>109</v>
      </c>
      <c r="CA13" s="21" t="s">
        <v>109</v>
      </c>
      <c r="CB13" s="21" t="s">
        <v>109</v>
      </c>
      <c r="CC13" s="21" t="s">
        <v>109</v>
      </c>
      <c r="CD13" s="21" t="s">
        <v>109</v>
      </c>
      <c r="CE13" s="21" t="s">
        <v>109</v>
      </c>
      <c r="CF13" s="21" t="s">
        <v>109</v>
      </c>
      <c r="CG13" s="21" t="s">
        <v>109</v>
      </c>
      <c r="CH13" s="21" t="s">
        <v>109</v>
      </c>
      <c r="CI13" s="21" t="s">
        <v>109</v>
      </c>
      <c r="CJ13" s="21" t="s">
        <v>109</v>
      </c>
      <c r="CK13" s="21" t="s">
        <v>109</v>
      </c>
      <c r="CL13" s="21" t="s">
        <v>109</v>
      </c>
      <c r="CM13" s="21" t="s">
        <v>109</v>
      </c>
      <c r="CN13" s="21" t="s">
        <v>109</v>
      </c>
      <c r="CO13" s="21" t="s">
        <v>109</v>
      </c>
      <c r="CP13" s="21" t="s">
        <v>109</v>
      </c>
      <c r="CQ13" s="21" t="s">
        <v>109</v>
      </c>
      <c r="CR13" s="21" t="s">
        <v>109</v>
      </c>
      <c r="CS13" s="21" t="s">
        <v>109</v>
      </c>
      <c r="CT13" s="21" t="s">
        <v>109</v>
      </c>
      <c r="CU13" s="21" t="s">
        <v>109</v>
      </c>
      <c r="CV13" s="21" t="s">
        <v>109</v>
      </c>
      <c r="CW13" s="21" t="s">
        <v>109</v>
      </c>
      <c r="CX13" s="21" t="s">
        <v>109</v>
      </c>
      <c r="CY13" s="21" t="s">
        <v>109</v>
      </c>
      <c r="CZ13" s="21" t="s">
        <v>109</v>
      </c>
      <c r="DB13" s="21">
        <f>INDEX(Z$13:CZ$17,5,MATCH(Calculator!$O$19,Z$2:CZ$2))</f>
        <v>790</v>
      </c>
    </row>
    <row r="14" spans="2:106" x14ac:dyDescent="0.25">
      <c r="B14" s="20">
        <v>2.5</v>
      </c>
      <c r="W14" s="20">
        <v>25</v>
      </c>
      <c r="X14" s="21" t="str">
        <f>"25086"</f>
        <v>25086</v>
      </c>
      <c r="Y14" s="21">
        <v>12.55</v>
      </c>
      <c r="Z14" s="21">
        <v>2310</v>
      </c>
      <c r="AA14" s="21">
        <v>2310</v>
      </c>
      <c r="AB14" s="21">
        <v>2310</v>
      </c>
      <c r="AC14" s="21">
        <v>2310</v>
      </c>
      <c r="AD14" s="21">
        <v>2310</v>
      </c>
      <c r="AE14" s="21">
        <v>2170</v>
      </c>
      <c r="AF14" s="21">
        <v>2040</v>
      </c>
      <c r="AG14" s="21">
        <v>1900</v>
      </c>
      <c r="AH14" s="21">
        <v>1700</v>
      </c>
      <c r="AI14" s="21">
        <v>1520</v>
      </c>
      <c r="AJ14" s="21">
        <v>1370</v>
      </c>
      <c r="AK14" s="21">
        <v>1230</v>
      </c>
      <c r="AL14" s="21">
        <v>1110</v>
      </c>
      <c r="AM14" s="21">
        <v>1000</v>
      </c>
      <c r="AN14" s="21">
        <v>900</v>
      </c>
      <c r="AO14" s="21">
        <v>820</v>
      </c>
      <c r="AP14" s="21">
        <v>740</v>
      </c>
      <c r="AQ14" s="21">
        <v>670</v>
      </c>
      <c r="AR14" s="21">
        <v>600</v>
      </c>
      <c r="AS14" s="21">
        <v>540</v>
      </c>
      <c r="AT14" s="21">
        <v>490</v>
      </c>
      <c r="AU14" s="21">
        <v>440</v>
      </c>
      <c r="AV14" s="21">
        <v>400</v>
      </c>
      <c r="AW14" s="21">
        <v>350</v>
      </c>
      <c r="AX14" s="21">
        <v>310</v>
      </c>
      <c r="AY14" s="21">
        <v>260</v>
      </c>
      <c r="AZ14" s="21">
        <v>220</v>
      </c>
      <c r="BA14" s="21">
        <v>180</v>
      </c>
      <c r="BB14" s="21">
        <v>150</v>
      </c>
      <c r="BC14" s="21" t="s">
        <v>109</v>
      </c>
      <c r="BD14" s="21" t="s">
        <v>109</v>
      </c>
      <c r="BE14" s="21" t="s">
        <v>109</v>
      </c>
      <c r="BF14" s="21" t="s">
        <v>109</v>
      </c>
      <c r="BG14" s="21" t="s">
        <v>109</v>
      </c>
      <c r="BH14" s="21" t="s">
        <v>109</v>
      </c>
      <c r="BI14" s="21" t="s">
        <v>109</v>
      </c>
      <c r="BJ14" s="21" t="s">
        <v>109</v>
      </c>
      <c r="BK14" s="21" t="s">
        <v>109</v>
      </c>
      <c r="BL14" s="21" t="s">
        <v>109</v>
      </c>
      <c r="BM14" s="21" t="s">
        <v>109</v>
      </c>
      <c r="BN14" s="21" t="s">
        <v>109</v>
      </c>
      <c r="BO14" s="21" t="s">
        <v>109</v>
      </c>
      <c r="BP14" s="21" t="s">
        <v>109</v>
      </c>
      <c r="BQ14" s="21" t="s">
        <v>109</v>
      </c>
      <c r="BR14" s="21" t="s">
        <v>109</v>
      </c>
      <c r="BS14" s="21" t="s">
        <v>109</v>
      </c>
      <c r="BT14" s="21" t="s">
        <v>109</v>
      </c>
      <c r="BU14" s="21" t="s">
        <v>109</v>
      </c>
      <c r="BV14" s="21" t="s">
        <v>109</v>
      </c>
      <c r="BW14" s="21" t="s">
        <v>109</v>
      </c>
      <c r="BX14" s="21" t="s">
        <v>109</v>
      </c>
      <c r="BY14" s="21" t="s">
        <v>109</v>
      </c>
      <c r="BZ14" s="21" t="s">
        <v>109</v>
      </c>
      <c r="CA14" s="21" t="s">
        <v>109</v>
      </c>
      <c r="CB14" s="21" t="s">
        <v>109</v>
      </c>
      <c r="CC14" s="21" t="s">
        <v>109</v>
      </c>
      <c r="CD14" s="21" t="s">
        <v>109</v>
      </c>
      <c r="CE14" s="21" t="s">
        <v>109</v>
      </c>
      <c r="CF14" s="21" t="s">
        <v>109</v>
      </c>
      <c r="CG14" s="21" t="s">
        <v>109</v>
      </c>
      <c r="CH14" s="21" t="s">
        <v>109</v>
      </c>
      <c r="CI14" s="21" t="s">
        <v>109</v>
      </c>
      <c r="CJ14" s="21" t="s">
        <v>109</v>
      </c>
      <c r="CK14" s="21" t="s">
        <v>109</v>
      </c>
      <c r="CL14" s="21" t="s">
        <v>109</v>
      </c>
      <c r="CM14" s="21" t="s">
        <v>109</v>
      </c>
      <c r="CN14" s="21" t="s">
        <v>109</v>
      </c>
      <c r="CO14" s="21" t="s">
        <v>109</v>
      </c>
      <c r="CP14" s="21" t="s">
        <v>109</v>
      </c>
      <c r="CQ14" s="21" t="s">
        <v>109</v>
      </c>
      <c r="CR14" s="21" t="s">
        <v>109</v>
      </c>
      <c r="CS14" s="21" t="s">
        <v>109</v>
      </c>
      <c r="CT14" s="21" t="s">
        <v>109</v>
      </c>
      <c r="CU14" s="21" t="s">
        <v>109</v>
      </c>
      <c r="CV14" s="21" t="s">
        <v>109</v>
      </c>
      <c r="CW14" s="21" t="s">
        <v>109</v>
      </c>
      <c r="CX14" s="21" t="s">
        <v>109</v>
      </c>
      <c r="CY14" s="21" t="s">
        <v>109</v>
      </c>
      <c r="CZ14" s="21" t="s">
        <v>109</v>
      </c>
      <c r="DB14" s="21">
        <f>INDEX(Z$13:CZ$17,4,MATCH(Calculator!$O$19,Z$2:CZ$2))</f>
        <v>670</v>
      </c>
    </row>
    <row r="15" spans="2:106" x14ac:dyDescent="0.25">
      <c r="B15" s="20">
        <v>4</v>
      </c>
      <c r="W15" s="20">
        <v>25</v>
      </c>
      <c r="X15" s="21" t="str">
        <f>"25106"</f>
        <v>25106</v>
      </c>
      <c r="Y15" s="21">
        <v>15.3</v>
      </c>
      <c r="Z15" s="21">
        <v>2420</v>
      </c>
      <c r="AA15" s="21">
        <v>2420</v>
      </c>
      <c r="AB15" s="21">
        <v>2420</v>
      </c>
      <c r="AC15" s="21">
        <v>2420</v>
      </c>
      <c r="AD15" s="21">
        <v>2420</v>
      </c>
      <c r="AE15" s="21">
        <v>2280</v>
      </c>
      <c r="AF15" s="21">
        <v>2140</v>
      </c>
      <c r="AG15" s="21">
        <v>2020</v>
      </c>
      <c r="AH15" s="21">
        <v>1910</v>
      </c>
      <c r="AI15" s="21">
        <v>1810</v>
      </c>
      <c r="AJ15" s="21">
        <v>1720</v>
      </c>
      <c r="AK15" s="21">
        <v>1580</v>
      </c>
      <c r="AL15" s="21">
        <v>1430</v>
      </c>
      <c r="AM15" s="21">
        <v>1300</v>
      </c>
      <c r="AN15" s="21">
        <v>1180</v>
      </c>
      <c r="AO15" s="21">
        <v>1080</v>
      </c>
      <c r="AP15" s="21">
        <v>980</v>
      </c>
      <c r="AQ15" s="21">
        <v>900</v>
      </c>
      <c r="AR15" s="21">
        <v>820</v>
      </c>
      <c r="AS15" s="21">
        <v>750</v>
      </c>
      <c r="AT15" s="21">
        <v>680</v>
      </c>
      <c r="AU15" s="21">
        <v>620</v>
      </c>
      <c r="AV15" s="21">
        <v>570</v>
      </c>
      <c r="AW15" s="21">
        <v>520</v>
      </c>
      <c r="AX15" s="21">
        <v>460</v>
      </c>
      <c r="AY15" s="21">
        <v>410</v>
      </c>
      <c r="AZ15" s="21">
        <v>360</v>
      </c>
      <c r="BA15" s="21">
        <v>320</v>
      </c>
      <c r="BB15" s="21">
        <v>280</v>
      </c>
      <c r="BC15" s="21">
        <v>240</v>
      </c>
      <c r="BD15" s="21">
        <v>200</v>
      </c>
      <c r="BE15" s="21">
        <v>170</v>
      </c>
      <c r="BF15" s="21" t="s">
        <v>109</v>
      </c>
      <c r="BG15" s="21" t="s">
        <v>109</v>
      </c>
      <c r="BH15" s="21" t="s">
        <v>109</v>
      </c>
      <c r="BI15" s="21" t="s">
        <v>109</v>
      </c>
      <c r="BJ15" s="21" t="s">
        <v>109</v>
      </c>
      <c r="BK15" s="21" t="s">
        <v>109</v>
      </c>
      <c r="BL15" s="21" t="s">
        <v>109</v>
      </c>
      <c r="BM15" s="21" t="s">
        <v>109</v>
      </c>
      <c r="BN15" s="21" t="s">
        <v>109</v>
      </c>
      <c r="BO15" s="21" t="s">
        <v>109</v>
      </c>
      <c r="BP15" s="21" t="s">
        <v>109</v>
      </c>
      <c r="BQ15" s="21" t="s">
        <v>109</v>
      </c>
      <c r="BR15" s="21" t="s">
        <v>109</v>
      </c>
      <c r="BS15" s="21" t="s">
        <v>109</v>
      </c>
      <c r="BT15" s="21" t="s">
        <v>109</v>
      </c>
      <c r="BU15" s="21" t="s">
        <v>109</v>
      </c>
      <c r="BV15" s="21" t="s">
        <v>109</v>
      </c>
      <c r="BW15" s="21" t="s">
        <v>109</v>
      </c>
      <c r="BX15" s="21" t="s">
        <v>109</v>
      </c>
      <c r="BY15" s="21" t="s">
        <v>109</v>
      </c>
      <c r="BZ15" s="21" t="s">
        <v>109</v>
      </c>
      <c r="CA15" s="21" t="s">
        <v>109</v>
      </c>
      <c r="CB15" s="21" t="s">
        <v>109</v>
      </c>
      <c r="CC15" s="21" t="s">
        <v>109</v>
      </c>
      <c r="CD15" s="21" t="s">
        <v>109</v>
      </c>
      <c r="CE15" s="21" t="s">
        <v>109</v>
      </c>
      <c r="CF15" s="21" t="s">
        <v>109</v>
      </c>
      <c r="CG15" s="21" t="s">
        <v>109</v>
      </c>
      <c r="CH15" s="21" t="s">
        <v>109</v>
      </c>
      <c r="CI15" s="21" t="s">
        <v>109</v>
      </c>
      <c r="CJ15" s="21" t="s">
        <v>109</v>
      </c>
      <c r="CK15" s="21" t="s">
        <v>109</v>
      </c>
      <c r="CL15" s="21" t="s">
        <v>109</v>
      </c>
      <c r="CM15" s="21" t="s">
        <v>109</v>
      </c>
      <c r="CN15" s="21" t="s">
        <v>109</v>
      </c>
      <c r="CO15" s="21" t="s">
        <v>109</v>
      </c>
      <c r="CP15" s="21" t="s">
        <v>109</v>
      </c>
      <c r="CQ15" s="21" t="s">
        <v>109</v>
      </c>
      <c r="CR15" s="21" t="s">
        <v>109</v>
      </c>
      <c r="CS15" s="21" t="s">
        <v>109</v>
      </c>
      <c r="CT15" s="21" t="s">
        <v>109</v>
      </c>
      <c r="CU15" s="21" t="s">
        <v>109</v>
      </c>
      <c r="CV15" s="21" t="s">
        <v>109</v>
      </c>
      <c r="CW15" s="21" t="s">
        <v>109</v>
      </c>
      <c r="CX15" s="21" t="s">
        <v>109</v>
      </c>
      <c r="CY15" s="21" t="s">
        <v>109</v>
      </c>
      <c r="CZ15" s="21" t="s">
        <v>109</v>
      </c>
      <c r="DB15" s="21">
        <f>INDEX(Z$13:CZ$17,3,MATCH(Calculator!$O$19,Z$2:CZ$2))</f>
        <v>360</v>
      </c>
    </row>
    <row r="16" spans="2:106" x14ac:dyDescent="0.25">
      <c r="B16" s="20">
        <v>5</v>
      </c>
      <c r="W16" s="20">
        <v>25</v>
      </c>
      <c r="X16" s="21" t="str">
        <f>"25088"</f>
        <v>25088</v>
      </c>
      <c r="Y16" s="21">
        <v>22.22</v>
      </c>
      <c r="Z16" s="21">
        <v>2490</v>
      </c>
      <c r="AA16" s="21">
        <v>2490</v>
      </c>
      <c r="AB16" s="21">
        <v>2490</v>
      </c>
      <c r="AC16" s="21">
        <v>2490</v>
      </c>
      <c r="AD16" s="21">
        <v>2490</v>
      </c>
      <c r="AE16" s="21">
        <v>2490</v>
      </c>
      <c r="AF16" s="21">
        <v>2340</v>
      </c>
      <c r="AG16" s="21">
        <v>2210</v>
      </c>
      <c r="AH16" s="21">
        <v>2100</v>
      </c>
      <c r="AI16" s="21">
        <v>1990</v>
      </c>
      <c r="AJ16" s="21">
        <v>1890</v>
      </c>
      <c r="AK16" s="21">
        <v>1800</v>
      </c>
      <c r="AL16" s="21">
        <v>1720</v>
      </c>
      <c r="AM16" s="21">
        <v>1640</v>
      </c>
      <c r="AN16" s="21">
        <v>1570</v>
      </c>
      <c r="AO16" s="21">
        <v>1500</v>
      </c>
      <c r="AP16" s="21">
        <v>1440</v>
      </c>
      <c r="AQ16" s="21">
        <v>1380</v>
      </c>
      <c r="AR16" s="21">
        <v>1330</v>
      </c>
      <c r="AS16" s="21">
        <v>1240</v>
      </c>
      <c r="AT16" s="21">
        <v>1130</v>
      </c>
      <c r="AU16" s="21">
        <v>1040</v>
      </c>
      <c r="AV16" s="21">
        <v>950</v>
      </c>
      <c r="AW16" s="21">
        <v>870</v>
      </c>
      <c r="AX16" s="21">
        <v>800</v>
      </c>
      <c r="AY16" s="21">
        <v>730</v>
      </c>
      <c r="AZ16" s="21">
        <v>670</v>
      </c>
      <c r="BA16" s="21">
        <v>610</v>
      </c>
      <c r="BB16" s="21">
        <v>550</v>
      </c>
      <c r="BC16" s="21">
        <v>500</v>
      </c>
      <c r="BD16" s="21">
        <v>460</v>
      </c>
      <c r="BE16" s="21">
        <v>410</v>
      </c>
      <c r="BF16" s="21">
        <v>350</v>
      </c>
      <c r="BG16" s="21">
        <v>290</v>
      </c>
      <c r="BH16" s="21">
        <v>240</v>
      </c>
      <c r="BI16" s="21">
        <v>200</v>
      </c>
      <c r="BJ16" s="21">
        <v>160</v>
      </c>
      <c r="BK16" s="21" t="s">
        <v>109</v>
      </c>
      <c r="BL16" s="21" t="s">
        <v>109</v>
      </c>
      <c r="BM16" s="21" t="s">
        <v>109</v>
      </c>
      <c r="BN16" s="21" t="s">
        <v>109</v>
      </c>
      <c r="BO16" s="21" t="s">
        <v>109</v>
      </c>
      <c r="BP16" s="21" t="s">
        <v>109</v>
      </c>
      <c r="BQ16" s="21" t="s">
        <v>109</v>
      </c>
      <c r="BR16" s="21" t="s">
        <v>109</v>
      </c>
      <c r="BS16" s="21" t="s">
        <v>109</v>
      </c>
      <c r="BT16" s="21" t="s">
        <v>109</v>
      </c>
      <c r="BU16" s="21" t="s">
        <v>109</v>
      </c>
      <c r="BV16" s="21" t="s">
        <v>109</v>
      </c>
      <c r="BW16" s="21" t="s">
        <v>109</v>
      </c>
      <c r="BX16" s="21" t="s">
        <v>109</v>
      </c>
      <c r="BY16" s="21" t="s">
        <v>109</v>
      </c>
      <c r="BZ16" s="21" t="s">
        <v>109</v>
      </c>
      <c r="CA16" s="21" t="s">
        <v>109</v>
      </c>
      <c r="CB16" s="21" t="s">
        <v>109</v>
      </c>
      <c r="CC16" s="21" t="s">
        <v>109</v>
      </c>
      <c r="CD16" s="21" t="s">
        <v>109</v>
      </c>
      <c r="CE16" s="21" t="s">
        <v>109</v>
      </c>
      <c r="CF16" s="21" t="s">
        <v>109</v>
      </c>
      <c r="CG16" s="21" t="s">
        <v>109</v>
      </c>
      <c r="CH16" s="21" t="s">
        <v>109</v>
      </c>
      <c r="CI16" s="21" t="s">
        <v>109</v>
      </c>
      <c r="CJ16" s="21" t="s">
        <v>109</v>
      </c>
      <c r="CK16" s="21" t="s">
        <v>109</v>
      </c>
      <c r="CL16" s="21" t="s">
        <v>109</v>
      </c>
      <c r="CM16" s="21" t="s">
        <v>109</v>
      </c>
      <c r="CN16" s="21" t="s">
        <v>109</v>
      </c>
      <c r="CO16" s="21" t="s">
        <v>109</v>
      </c>
      <c r="CP16" s="21" t="s">
        <v>109</v>
      </c>
      <c r="CQ16" s="21" t="s">
        <v>109</v>
      </c>
      <c r="CR16" s="21" t="s">
        <v>109</v>
      </c>
      <c r="CS16" s="21" t="s">
        <v>109</v>
      </c>
      <c r="CT16" s="21" t="s">
        <v>109</v>
      </c>
      <c r="CU16" s="21" t="s">
        <v>109</v>
      </c>
      <c r="CV16" s="21" t="s">
        <v>109</v>
      </c>
      <c r="CW16" s="21" t="s">
        <v>109</v>
      </c>
      <c r="CX16" s="21" t="s">
        <v>109</v>
      </c>
      <c r="CY16" s="21" t="s">
        <v>109</v>
      </c>
      <c r="CZ16" s="21" t="s">
        <v>109</v>
      </c>
      <c r="DB16" s="21">
        <f>INDEX(Z$13:CZ$17,2,MATCH(Calculator!$O$19,Z$2:CZ$2))</f>
        <v>220</v>
      </c>
    </row>
    <row r="17" spans="2:106" x14ac:dyDescent="0.25">
      <c r="W17" s="20">
        <v>25</v>
      </c>
      <c r="X17" s="21" t="str">
        <f>"25088026"</f>
        <v>25088026</v>
      </c>
      <c r="Y17" s="21">
        <v>24.85</v>
      </c>
      <c r="Z17" s="21">
        <v>2410</v>
      </c>
      <c r="AA17" s="21">
        <v>2410</v>
      </c>
      <c r="AB17" s="21">
        <v>2410</v>
      </c>
      <c r="AC17" s="21">
        <v>2410</v>
      </c>
      <c r="AD17" s="21">
        <v>2410</v>
      </c>
      <c r="AE17" s="21">
        <v>2410</v>
      </c>
      <c r="AF17" s="21">
        <v>2410</v>
      </c>
      <c r="AG17" s="21">
        <v>2280</v>
      </c>
      <c r="AH17" s="21">
        <v>2160</v>
      </c>
      <c r="AI17" s="21">
        <v>2050</v>
      </c>
      <c r="AJ17" s="21">
        <v>1950</v>
      </c>
      <c r="AK17" s="21">
        <v>1860</v>
      </c>
      <c r="AL17" s="21">
        <v>1770</v>
      </c>
      <c r="AM17" s="21">
        <v>1690</v>
      </c>
      <c r="AN17" s="21">
        <v>1620</v>
      </c>
      <c r="AO17" s="21">
        <v>1550</v>
      </c>
      <c r="AP17" s="21">
        <v>1490</v>
      </c>
      <c r="AQ17" s="21">
        <v>1430</v>
      </c>
      <c r="AR17" s="21">
        <v>1370</v>
      </c>
      <c r="AS17" s="21">
        <v>1320</v>
      </c>
      <c r="AT17" s="21">
        <v>1270</v>
      </c>
      <c r="AU17" s="21">
        <v>1190</v>
      </c>
      <c r="AV17" s="21">
        <v>1090</v>
      </c>
      <c r="AW17" s="21">
        <v>1010</v>
      </c>
      <c r="AX17" s="21">
        <v>930</v>
      </c>
      <c r="AY17" s="21">
        <v>850</v>
      </c>
      <c r="AZ17" s="21">
        <v>790</v>
      </c>
      <c r="BA17" s="21">
        <v>720</v>
      </c>
      <c r="BB17" s="21">
        <v>660</v>
      </c>
      <c r="BC17" s="21">
        <v>610</v>
      </c>
      <c r="BD17" s="21">
        <v>550</v>
      </c>
      <c r="BE17" s="21">
        <v>480</v>
      </c>
      <c r="BF17" s="21">
        <v>410</v>
      </c>
      <c r="BG17" s="21">
        <v>350</v>
      </c>
      <c r="BH17" s="21">
        <v>300</v>
      </c>
      <c r="BI17" s="21">
        <v>250</v>
      </c>
      <c r="BJ17" s="21">
        <v>210</v>
      </c>
      <c r="BK17" s="21">
        <v>170</v>
      </c>
      <c r="BL17" s="21" t="s">
        <v>109</v>
      </c>
      <c r="BM17" s="21" t="s">
        <v>109</v>
      </c>
      <c r="BN17" s="21" t="s">
        <v>109</v>
      </c>
      <c r="BO17" s="21" t="s">
        <v>109</v>
      </c>
      <c r="BP17" s="21" t="s">
        <v>109</v>
      </c>
      <c r="BQ17" s="21" t="s">
        <v>109</v>
      </c>
      <c r="BR17" s="21" t="s">
        <v>109</v>
      </c>
      <c r="BS17" s="21" t="s">
        <v>109</v>
      </c>
      <c r="BT17" s="21" t="s">
        <v>109</v>
      </c>
      <c r="BU17" s="21" t="s">
        <v>109</v>
      </c>
      <c r="BV17" s="21" t="s">
        <v>109</v>
      </c>
      <c r="BW17" s="21" t="s">
        <v>109</v>
      </c>
      <c r="BX17" s="21" t="s">
        <v>109</v>
      </c>
      <c r="BY17" s="21" t="s">
        <v>109</v>
      </c>
      <c r="BZ17" s="21" t="s">
        <v>109</v>
      </c>
      <c r="CA17" s="21" t="s">
        <v>109</v>
      </c>
      <c r="CB17" s="21" t="s">
        <v>109</v>
      </c>
      <c r="CC17" s="21" t="s">
        <v>109</v>
      </c>
      <c r="CD17" s="21" t="s">
        <v>109</v>
      </c>
      <c r="CE17" s="21" t="s">
        <v>109</v>
      </c>
      <c r="CF17" s="21" t="s">
        <v>109</v>
      </c>
      <c r="CG17" s="21" t="s">
        <v>109</v>
      </c>
      <c r="CH17" s="21" t="s">
        <v>109</v>
      </c>
      <c r="CI17" s="21" t="s">
        <v>109</v>
      </c>
      <c r="CJ17" s="21" t="s">
        <v>109</v>
      </c>
      <c r="CK17" s="21" t="s">
        <v>109</v>
      </c>
      <c r="CL17" s="21" t="s">
        <v>109</v>
      </c>
      <c r="CM17" s="21" t="s">
        <v>109</v>
      </c>
      <c r="CN17" s="21" t="s">
        <v>109</v>
      </c>
      <c r="CO17" s="21" t="s">
        <v>109</v>
      </c>
      <c r="CP17" s="21" t="s">
        <v>109</v>
      </c>
      <c r="CQ17" s="21" t="s">
        <v>109</v>
      </c>
      <c r="CR17" s="21" t="s">
        <v>109</v>
      </c>
      <c r="CS17" s="21" t="s">
        <v>109</v>
      </c>
      <c r="CT17" s="21" t="s">
        <v>109</v>
      </c>
      <c r="CU17" s="21" t="s">
        <v>109</v>
      </c>
      <c r="CV17" s="21" t="s">
        <v>109</v>
      </c>
      <c r="CW17" s="21" t="s">
        <v>109</v>
      </c>
      <c r="CX17" s="21" t="s">
        <v>109</v>
      </c>
      <c r="CY17" s="21" t="s">
        <v>109</v>
      </c>
      <c r="CZ17" s="21" t="s">
        <v>109</v>
      </c>
      <c r="DB17" s="21" t="str">
        <f>INDEX(Z$13:CZ$17,1,MATCH(Calculator!$O$19,Z$2:CZ$2))</f>
        <v>N</v>
      </c>
    </row>
    <row r="18" spans="2:106" x14ac:dyDescent="0.25">
      <c r="W18" s="20">
        <v>30</v>
      </c>
      <c r="X18" s="21" t="s">
        <v>123</v>
      </c>
      <c r="Y18" s="21">
        <v>21</v>
      </c>
      <c r="Z18" s="21">
        <v>2180</v>
      </c>
      <c r="AA18" s="21">
        <v>2180</v>
      </c>
      <c r="AB18" s="21">
        <v>2180</v>
      </c>
      <c r="AC18" s="21">
        <v>2180</v>
      </c>
      <c r="AD18" s="21">
        <v>2180</v>
      </c>
      <c r="AE18" s="21">
        <v>2180</v>
      </c>
      <c r="AF18" s="21">
        <v>2180</v>
      </c>
      <c r="AG18" s="21">
        <v>2180</v>
      </c>
      <c r="AH18" s="21">
        <v>2180</v>
      </c>
      <c r="AI18" s="21">
        <v>2070</v>
      </c>
      <c r="AJ18" s="21">
        <v>1970</v>
      </c>
      <c r="AK18" s="21">
        <v>1870</v>
      </c>
      <c r="AL18" s="21">
        <v>1780</v>
      </c>
      <c r="AM18" s="21">
        <v>1700</v>
      </c>
      <c r="AN18" s="21">
        <v>1630</v>
      </c>
      <c r="AO18" s="21">
        <v>1560</v>
      </c>
      <c r="AP18" s="21">
        <v>1440</v>
      </c>
      <c r="AQ18" s="21">
        <v>1320</v>
      </c>
      <c r="AR18" s="21">
        <v>1210</v>
      </c>
      <c r="AS18" s="21">
        <v>1120</v>
      </c>
      <c r="AT18" s="21">
        <v>1030</v>
      </c>
      <c r="AU18" s="21">
        <v>940</v>
      </c>
      <c r="AV18" s="21">
        <v>870</v>
      </c>
      <c r="AW18" s="21">
        <v>800</v>
      </c>
      <c r="AX18" s="21">
        <v>740</v>
      </c>
      <c r="AY18" s="21">
        <v>680</v>
      </c>
      <c r="AZ18" s="21">
        <v>620</v>
      </c>
      <c r="BA18" s="21">
        <v>570</v>
      </c>
      <c r="BB18" s="21">
        <v>520</v>
      </c>
      <c r="BC18" s="21">
        <v>470</v>
      </c>
      <c r="BD18" s="21">
        <v>420</v>
      </c>
      <c r="BE18" s="21">
        <v>380</v>
      </c>
      <c r="BF18" s="21">
        <v>340</v>
      </c>
      <c r="BG18" s="21">
        <v>300</v>
      </c>
      <c r="BH18" s="21">
        <v>260</v>
      </c>
      <c r="BI18" s="21">
        <v>220</v>
      </c>
      <c r="BJ18" s="21">
        <v>190</v>
      </c>
      <c r="BK18" s="21">
        <v>160</v>
      </c>
      <c r="BL18" s="21" t="s">
        <v>109</v>
      </c>
      <c r="BM18" s="21" t="s">
        <v>109</v>
      </c>
      <c r="BN18" s="21" t="s">
        <v>109</v>
      </c>
      <c r="BO18" s="21" t="s">
        <v>109</v>
      </c>
      <c r="BP18" s="21" t="s">
        <v>109</v>
      </c>
      <c r="BQ18" s="21" t="s">
        <v>109</v>
      </c>
      <c r="BR18" s="21" t="s">
        <v>109</v>
      </c>
      <c r="BS18" s="21" t="s">
        <v>109</v>
      </c>
      <c r="BT18" s="21" t="s">
        <v>109</v>
      </c>
      <c r="BU18" s="21" t="s">
        <v>109</v>
      </c>
      <c r="BV18" s="21" t="s">
        <v>109</v>
      </c>
      <c r="BW18" s="21" t="s">
        <v>109</v>
      </c>
      <c r="BX18" s="21" t="s">
        <v>109</v>
      </c>
      <c r="BY18" s="21" t="s">
        <v>109</v>
      </c>
      <c r="BZ18" s="21" t="s">
        <v>109</v>
      </c>
      <c r="CA18" s="21" t="s">
        <v>109</v>
      </c>
      <c r="CB18" s="21" t="s">
        <v>109</v>
      </c>
      <c r="CC18" s="21" t="s">
        <v>109</v>
      </c>
      <c r="CD18" s="21" t="s">
        <v>109</v>
      </c>
      <c r="CE18" s="21" t="s">
        <v>109</v>
      </c>
      <c r="CF18" s="21" t="s">
        <v>109</v>
      </c>
      <c r="CG18" s="21" t="s">
        <v>109</v>
      </c>
      <c r="CH18" s="21" t="s">
        <v>109</v>
      </c>
      <c r="CI18" s="21" t="s">
        <v>109</v>
      </c>
      <c r="CJ18" s="21" t="s">
        <v>109</v>
      </c>
      <c r="CK18" s="21" t="s">
        <v>109</v>
      </c>
      <c r="CL18" s="21" t="s">
        <v>109</v>
      </c>
      <c r="CM18" s="21" t="s">
        <v>109</v>
      </c>
      <c r="CN18" s="21" t="s">
        <v>109</v>
      </c>
      <c r="CO18" s="21" t="s">
        <v>109</v>
      </c>
      <c r="CP18" s="21" t="s">
        <v>109</v>
      </c>
      <c r="CQ18" s="21" t="s">
        <v>109</v>
      </c>
      <c r="CR18" s="21" t="s">
        <v>109</v>
      </c>
      <c r="CS18" s="21" t="s">
        <v>109</v>
      </c>
      <c r="CT18" s="21" t="s">
        <v>109</v>
      </c>
      <c r="CU18" s="21" t="s">
        <v>109</v>
      </c>
      <c r="CV18" s="21" t="s">
        <v>109</v>
      </c>
      <c r="CW18" s="21" t="s">
        <v>109</v>
      </c>
      <c r="CX18" s="21" t="s">
        <v>109</v>
      </c>
      <c r="CY18" s="21" t="s">
        <v>109</v>
      </c>
      <c r="CZ18" s="21" t="s">
        <v>109</v>
      </c>
      <c r="DB18" s="21">
        <f>INDEX(Z$18:CZ$23,6,MATCH(Calculator!$O$19,Z$2:CZ$2))</f>
        <v>1230</v>
      </c>
    </row>
    <row r="19" spans="2:106" x14ac:dyDescent="0.25">
      <c r="W19" s="20">
        <v>30</v>
      </c>
      <c r="X19" s="21" t="s">
        <v>124</v>
      </c>
      <c r="Y19" s="21">
        <v>24.1</v>
      </c>
      <c r="Z19" s="21">
        <v>2260</v>
      </c>
      <c r="AA19" s="21">
        <v>2260</v>
      </c>
      <c r="AB19" s="21">
        <v>2260</v>
      </c>
      <c r="AC19" s="21">
        <v>2260</v>
      </c>
      <c r="AD19" s="21">
        <v>2260</v>
      </c>
      <c r="AE19" s="21">
        <v>2260</v>
      </c>
      <c r="AF19" s="21">
        <v>2260</v>
      </c>
      <c r="AG19" s="21">
        <v>2260</v>
      </c>
      <c r="AH19" s="21">
        <v>2260</v>
      </c>
      <c r="AI19" s="21">
        <v>2150</v>
      </c>
      <c r="AJ19" s="21">
        <v>2040</v>
      </c>
      <c r="AK19" s="21">
        <v>1940</v>
      </c>
      <c r="AL19" s="21">
        <v>1850</v>
      </c>
      <c r="AM19" s="21">
        <v>1770</v>
      </c>
      <c r="AN19" s="21">
        <v>1690</v>
      </c>
      <c r="AO19" s="21">
        <v>1620</v>
      </c>
      <c r="AP19" s="21">
        <v>1550</v>
      </c>
      <c r="AQ19" s="21">
        <v>1490</v>
      </c>
      <c r="AR19" s="21">
        <v>1430</v>
      </c>
      <c r="AS19" s="21">
        <v>1340</v>
      </c>
      <c r="AT19" s="21">
        <v>1240</v>
      </c>
      <c r="AU19" s="21">
        <v>1150</v>
      </c>
      <c r="AV19" s="21">
        <v>1060</v>
      </c>
      <c r="AW19" s="21">
        <v>980</v>
      </c>
      <c r="AX19" s="21">
        <v>910</v>
      </c>
      <c r="AY19" s="21">
        <v>840</v>
      </c>
      <c r="AZ19" s="21">
        <v>780</v>
      </c>
      <c r="BA19" s="21">
        <v>720</v>
      </c>
      <c r="BB19" s="21">
        <v>660</v>
      </c>
      <c r="BC19" s="21">
        <v>600</v>
      </c>
      <c r="BD19" s="21">
        <v>550</v>
      </c>
      <c r="BE19" s="21">
        <v>500</v>
      </c>
      <c r="BF19" s="21">
        <v>450</v>
      </c>
      <c r="BG19" s="21">
        <v>410</v>
      </c>
      <c r="BH19" s="21">
        <v>360</v>
      </c>
      <c r="BI19" s="21">
        <v>330</v>
      </c>
      <c r="BJ19" s="21">
        <v>290</v>
      </c>
      <c r="BK19" s="21">
        <v>250</v>
      </c>
      <c r="BL19" s="21">
        <v>220</v>
      </c>
      <c r="BM19" s="21">
        <v>190</v>
      </c>
      <c r="BN19" s="21">
        <v>160</v>
      </c>
      <c r="BO19" s="21" t="s">
        <v>109</v>
      </c>
      <c r="BP19" s="21" t="s">
        <v>109</v>
      </c>
      <c r="BQ19" s="21" t="s">
        <v>109</v>
      </c>
      <c r="BR19" s="21" t="s">
        <v>109</v>
      </c>
      <c r="BS19" s="21" t="s">
        <v>109</v>
      </c>
      <c r="BT19" s="21" t="s">
        <v>109</v>
      </c>
      <c r="BU19" s="21" t="s">
        <v>109</v>
      </c>
      <c r="BV19" s="21" t="s">
        <v>109</v>
      </c>
      <c r="BW19" s="21" t="s">
        <v>109</v>
      </c>
      <c r="BX19" s="21" t="s">
        <v>109</v>
      </c>
      <c r="BY19" s="21" t="s">
        <v>109</v>
      </c>
      <c r="BZ19" s="21" t="s">
        <v>109</v>
      </c>
      <c r="CA19" s="21" t="s">
        <v>109</v>
      </c>
      <c r="CB19" s="21" t="s">
        <v>109</v>
      </c>
      <c r="CC19" s="21" t="s">
        <v>109</v>
      </c>
      <c r="CD19" s="21" t="s">
        <v>109</v>
      </c>
      <c r="CE19" s="21" t="s">
        <v>109</v>
      </c>
      <c r="CF19" s="21" t="s">
        <v>109</v>
      </c>
      <c r="CG19" s="21" t="s">
        <v>109</v>
      </c>
      <c r="CH19" s="21" t="s">
        <v>109</v>
      </c>
      <c r="CI19" s="21" t="s">
        <v>109</v>
      </c>
      <c r="CJ19" s="21" t="s">
        <v>109</v>
      </c>
      <c r="CK19" s="21" t="s">
        <v>109</v>
      </c>
      <c r="CL19" s="21" t="s">
        <v>109</v>
      </c>
      <c r="CM19" s="21" t="s">
        <v>109</v>
      </c>
      <c r="CN19" s="21" t="s">
        <v>109</v>
      </c>
      <c r="CO19" s="21" t="s">
        <v>109</v>
      </c>
      <c r="CP19" s="21" t="s">
        <v>109</v>
      </c>
      <c r="CQ19" s="21" t="s">
        <v>109</v>
      </c>
      <c r="CR19" s="21" t="s">
        <v>109</v>
      </c>
      <c r="CS19" s="21" t="s">
        <v>109</v>
      </c>
      <c r="CT19" s="21" t="s">
        <v>109</v>
      </c>
      <c r="CU19" s="21" t="s">
        <v>109</v>
      </c>
      <c r="CV19" s="21" t="s">
        <v>109</v>
      </c>
      <c r="CW19" s="21" t="s">
        <v>109</v>
      </c>
      <c r="CX19" s="21" t="s">
        <v>109</v>
      </c>
      <c r="CY19" s="21" t="s">
        <v>109</v>
      </c>
      <c r="CZ19" s="21" t="s">
        <v>109</v>
      </c>
      <c r="DB19" s="21">
        <f>INDEX(Z$18:CZ$23,5,MATCH(Calculator!$O$19,Z$2:CZ$2))</f>
        <v>1150</v>
      </c>
    </row>
    <row r="20" spans="2:106" x14ac:dyDescent="0.25">
      <c r="W20" s="20">
        <v>30</v>
      </c>
      <c r="X20" s="21" t="s">
        <v>125</v>
      </c>
      <c r="Y20" s="21">
        <v>27.17</v>
      </c>
      <c r="Z20" s="21">
        <v>2340</v>
      </c>
      <c r="AA20" s="21">
        <v>2340</v>
      </c>
      <c r="AB20" s="21">
        <v>2340</v>
      </c>
      <c r="AC20" s="21">
        <v>2340</v>
      </c>
      <c r="AD20" s="21">
        <v>2340</v>
      </c>
      <c r="AE20" s="21">
        <v>2340</v>
      </c>
      <c r="AF20" s="21">
        <v>2340</v>
      </c>
      <c r="AG20" s="21">
        <v>2340</v>
      </c>
      <c r="AH20" s="21">
        <v>2340</v>
      </c>
      <c r="AI20" s="21">
        <v>2220</v>
      </c>
      <c r="AJ20" s="21">
        <v>2110</v>
      </c>
      <c r="AK20" s="21">
        <v>2000</v>
      </c>
      <c r="AL20" s="21">
        <v>1910</v>
      </c>
      <c r="AM20" s="21">
        <v>1830</v>
      </c>
      <c r="AN20" s="21">
        <v>1750</v>
      </c>
      <c r="AO20" s="21">
        <v>1670</v>
      </c>
      <c r="AP20" s="21">
        <v>1600</v>
      </c>
      <c r="AQ20" s="21">
        <v>1540</v>
      </c>
      <c r="AR20" s="21">
        <v>1480</v>
      </c>
      <c r="AS20" s="21">
        <v>1420</v>
      </c>
      <c r="AT20" s="21">
        <v>1370</v>
      </c>
      <c r="AU20" s="21">
        <v>1320</v>
      </c>
      <c r="AV20" s="21">
        <v>1250</v>
      </c>
      <c r="AW20" s="21">
        <v>1160</v>
      </c>
      <c r="AX20" s="21">
        <v>1080</v>
      </c>
      <c r="AY20" s="21">
        <v>1000</v>
      </c>
      <c r="AZ20" s="21">
        <v>930</v>
      </c>
      <c r="BA20" s="21">
        <v>860</v>
      </c>
      <c r="BB20" s="21">
        <v>790</v>
      </c>
      <c r="BC20" s="21">
        <v>730</v>
      </c>
      <c r="BD20" s="21">
        <v>670</v>
      </c>
      <c r="BE20" s="21">
        <v>610</v>
      </c>
      <c r="BF20" s="21">
        <v>560</v>
      </c>
      <c r="BG20" s="21">
        <v>510</v>
      </c>
      <c r="BH20" s="21">
        <v>470</v>
      </c>
      <c r="BI20" s="21">
        <v>420</v>
      </c>
      <c r="BJ20" s="21">
        <v>380</v>
      </c>
      <c r="BK20" s="21">
        <v>350</v>
      </c>
      <c r="BL20" s="21">
        <v>310</v>
      </c>
      <c r="BM20" s="21">
        <v>280</v>
      </c>
      <c r="BN20" s="21">
        <v>240</v>
      </c>
      <c r="BO20" s="21">
        <v>200</v>
      </c>
      <c r="BP20" s="21">
        <v>170</v>
      </c>
      <c r="BQ20" s="21" t="s">
        <v>109</v>
      </c>
      <c r="BR20" s="21" t="s">
        <v>109</v>
      </c>
      <c r="BS20" s="21" t="s">
        <v>109</v>
      </c>
      <c r="BT20" s="21" t="s">
        <v>109</v>
      </c>
      <c r="BU20" s="21" t="s">
        <v>109</v>
      </c>
      <c r="BV20" s="21" t="s">
        <v>109</v>
      </c>
      <c r="BW20" s="21" t="s">
        <v>109</v>
      </c>
      <c r="BX20" s="21" t="s">
        <v>109</v>
      </c>
      <c r="BY20" s="21" t="s">
        <v>109</v>
      </c>
      <c r="BZ20" s="21" t="s">
        <v>109</v>
      </c>
      <c r="CA20" s="21" t="s">
        <v>109</v>
      </c>
      <c r="CB20" s="21" t="s">
        <v>109</v>
      </c>
      <c r="CC20" s="21" t="s">
        <v>109</v>
      </c>
      <c r="CD20" s="21" t="s">
        <v>109</v>
      </c>
      <c r="CE20" s="21" t="s">
        <v>109</v>
      </c>
      <c r="CF20" s="21" t="s">
        <v>109</v>
      </c>
      <c r="CG20" s="21" t="s">
        <v>109</v>
      </c>
      <c r="CH20" s="21" t="s">
        <v>109</v>
      </c>
      <c r="CI20" s="21" t="s">
        <v>109</v>
      </c>
      <c r="CJ20" s="21" t="s">
        <v>109</v>
      </c>
      <c r="CK20" s="21" t="s">
        <v>109</v>
      </c>
      <c r="CL20" s="21" t="s">
        <v>109</v>
      </c>
      <c r="CM20" s="21" t="s">
        <v>109</v>
      </c>
      <c r="CN20" s="21" t="s">
        <v>109</v>
      </c>
      <c r="CO20" s="21" t="s">
        <v>109</v>
      </c>
      <c r="CP20" s="21" t="s">
        <v>109</v>
      </c>
      <c r="CQ20" s="21" t="s">
        <v>109</v>
      </c>
      <c r="CR20" s="21" t="s">
        <v>109</v>
      </c>
      <c r="CS20" s="21" t="s">
        <v>109</v>
      </c>
      <c r="CT20" s="21" t="s">
        <v>109</v>
      </c>
      <c r="CU20" s="21" t="s">
        <v>109</v>
      </c>
      <c r="CV20" s="21" t="s">
        <v>109</v>
      </c>
      <c r="CW20" s="21" t="s">
        <v>109</v>
      </c>
      <c r="CX20" s="21" t="s">
        <v>109</v>
      </c>
      <c r="CY20" s="21" t="s">
        <v>109</v>
      </c>
      <c r="CZ20" s="21" t="s">
        <v>109</v>
      </c>
      <c r="DB20" s="21">
        <f>INDEX(Z$18:CZ$23,4,MATCH(Calculator!$O$19,Z$2:CZ$2))</f>
        <v>1040</v>
      </c>
    </row>
    <row r="21" spans="2:106" x14ac:dyDescent="0.25">
      <c r="W21" s="20">
        <v>30</v>
      </c>
      <c r="X21" s="21" t="s">
        <v>126</v>
      </c>
      <c r="Y21" s="21">
        <v>29.71</v>
      </c>
      <c r="Z21" s="21">
        <v>2420</v>
      </c>
      <c r="AA21" s="21">
        <v>2420</v>
      </c>
      <c r="AB21" s="21">
        <v>2420</v>
      </c>
      <c r="AC21" s="21">
        <v>2420</v>
      </c>
      <c r="AD21" s="21">
        <v>2420</v>
      </c>
      <c r="AE21" s="21">
        <v>2420</v>
      </c>
      <c r="AF21" s="21">
        <v>2420</v>
      </c>
      <c r="AG21" s="21">
        <v>2420</v>
      </c>
      <c r="AH21" s="21">
        <v>2420</v>
      </c>
      <c r="AI21" s="21">
        <v>2300</v>
      </c>
      <c r="AJ21" s="21">
        <v>2180</v>
      </c>
      <c r="AK21" s="21">
        <v>2080</v>
      </c>
      <c r="AL21" s="21">
        <v>1980</v>
      </c>
      <c r="AM21" s="21">
        <v>1890</v>
      </c>
      <c r="AN21" s="21">
        <v>1810</v>
      </c>
      <c r="AO21" s="21">
        <v>1740</v>
      </c>
      <c r="AP21" s="21">
        <v>1660</v>
      </c>
      <c r="AQ21" s="21">
        <v>1600</v>
      </c>
      <c r="AR21" s="21">
        <v>1540</v>
      </c>
      <c r="AS21" s="21">
        <v>1480</v>
      </c>
      <c r="AT21" s="21">
        <v>1420</v>
      </c>
      <c r="AU21" s="21">
        <v>1370</v>
      </c>
      <c r="AV21" s="21">
        <v>1320</v>
      </c>
      <c r="AW21" s="21">
        <v>1270</v>
      </c>
      <c r="AX21" s="21">
        <v>1220</v>
      </c>
      <c r="AY21" s="21">
        <v>1130</v>
      </c>
      <c r="AZ21" s="21">
        <v>1040</v>
      </c>
      <c r="BA21" s="21">
        <v>960</v>
      </c>
      <c r="BB21" s="21">
        <v>890</v>
      </c>
      <c r="BC21" s="21">
        <v>820</v>
      </c>
      <c r="BD21" s="21">
        <v>760</v>
      </c>
      <c r="BE21" s="21">
        <v>700</v>
      </c>
      <c r="BF21" s="21">
        <v>650</v>
      </c>
      <c r="BG21" s="21">
        <v>590</v>
      </c>
      <c r="BH21" s="21">
        <v>550</v>
      </c>
      <c r="BI21" s="21">
        <v>500</v>
      </c>
      <c r="BJ21" s="21">
        <v>460</v>
      </c>
      <c r="BK21" s="21">
        <v>420</v>
      </c>
      <c r="BL21" s="21">
        <v>380</v>
      </c>
      <c r="BM21" s="21">
        <v>340</v>
      </c>
      <c r="BN21" s="21">
        <v>300</v>
      </c>
      <c r="BO21" s="21">
        <v>260</v>
      </c>
      <c r="BP21" s="21">
        <v>210</v>
      </c>
      <c r="BQ21" s="21">
        <v>180</v>
      </c>
      <c r="BR21" s="21" t="s">
        <v>109</v>
      </c>
      <c r="BS21" s="21" t="s">
        <v>109</v>
      </c>
      <c r="BT21" s="21" t="s">
        <v>109</v>
      </c>
      <c r="BU21" s="21" t="s">
        <v>109</v>
      </c>
      <c r="BV21" s="21" t="s">
        <v>109</v>
      </c>
      <c r="BW21" s="21" t="s">
        <v>109</v>
      </c>
      <c r="BX21" s="21" t="s">
        <v>109</v>
      </c>
      <c r="BY21" s="21" t="s">
        <v>109</v>
      </c>
      <c r="BZ21" s="21" t="s">
        <v>109</v>
      </c>
      <c r="CA21" s="21" t="s">
        <v>109</v>
      </c>
      <c r="CB21" s="21" t="s">
        <v>109</v>
      </c>
      <c r="CC21" s="21" t="s">
        <v>109</v>
      </c>
      <c r="CD21" s="21" t="s">
        <v>109</v>
      </c>
      <c r="CE21" s="21" t="s">
        <v>109</v>
      </c>
      <c r="CF21" s="21" t="s">
        <v>109</v>
      </c>
      <c r="CG21" s="21" t="s">
        <v>109</v>
      </c>
      <c r="CH21" s="21" t="s">
        <v>109</v>
      </c>
      <c r="CI21" s="21" t="s">
        <v>109</v>
      </c>
      <c r="CJ21" s="21" t="s">
        <v>109</v>
      </c>
      <c r="CK21" s="21" t="s">
        <v>109</v>
      </c>
      <c r="CL21" s="21" t="s">
        <v>109</v>
      </c>
      <c r="CM21" s="21" t="s">
        <v>109</v>
      </c>
      <c r="CN21" s="21" t="s">
        <v>109</v>
      </c>
      <c r="CO21" s="21" t="s">
        <v>109</v>
      </c>
      <c r="CP21" s="21" t="s">
        <v>109</v>
      </c>
      <c r="CQ21" s="21" t="s">
        <v>109</v>
      </c>
      <c r="CR21" s="21" t="s">
        <v>109</v>
      </c>
      <c r="CS21" s="21" t="s">
        <v>109</v>
      </c>
      <c r="CT21" s="21" t="s">
        <v>109</v>
      </c>
      <c r="CU21" s="21" t="s">
        <v>109</v>
      </c>
      <c r="CV21" s="21" t="s">
        <v>109</v>
      </c>
      <c r="CW21" s="21" t="s">
        <v>109</v>
      </c>
      <c r="CX21" s="21" t="s">
        <v>109</v>
      </c>
      <c r="CY21" s="21" t="s">
        <v>109</v>
      </c>
      <c r="CZ21" s="21" t="s">
        <v>109</v>
      </c>
      <c r="DB21" s="21">
        <f>INDEX(Z$18:CZ$23,3,MATCH(Calculator!$O$19,Z$2:CZ$2))</f>
        <v>930</v>
      </c>
    </row>
    <row r="22" spans="2:106" x14ac:dyDescent="0.25">
      <c r="W22" s="20">
        <v>30</v>
      </c>
      <c r="X22" s="21" t="s">
        <v>127</v>
      </c>
      <c r="Y22" s="21">
        <v>32.200000000000003</v>
      </c>
      <c r="Z22" s="21">
        <v>2370</v>
      </c>
      <c r="AA22" s="21">
        <v>2370</v>
      </c>
      <c r="AB22" s="21">
        <v>2370</v>
      </c>
      <c r="AC22" s="21">
        <v>2370</v>
      </c>
      <c r="AD22" s="21">
        <v>2370</v>
      </c>
      <c r="AE22" s="21">
        <v>2370</v>
      </c>
      <c r="AF22" s="21">
        <v>2370</v>
      </c>
      <c r="AG22" s="21">
        <v>2370</v>
      </c>
      <c r="AH22" s="21">
        <v>2370</v>
      </c>
      <c r="AI22" s="21">
        <v>2370</v>
      </c>
      <c r="AJ22" s="21">
        <v>2250</v>
      </c>
      <c r="AK22" s="21">
        <v>2150</v>
      </c>
      <c r="AL22" s="21">
        <v>2050</v>
      </c>
      <c r="AM22" s="21">
        <v>1960</v>
      </c>
      <c r="AN22" s="21">
        <v>1870</v>
      </c>
      <c r="AO22" s="21">
        <v>1800</v>
      </c>
      <c r="AP22" s="21">
        <v>1720</v>
      </c>
      <c r="AQ22" s="21">
        <v>1650</v>
      </c>
      <c r="AR22" s="21">
        <v>1590</v>
      </c>
      <c r="AS22" s="21">
        <v>1530</v>
      </c>
      <c r="AT22" s="21">
        <v>1470</v>
      </c>
      <c r="AU22" s="21">
        <v>1420</v>
      </c>
      <c r="AV22" s="21">
        <v>1370</v>
      </c>
      <c r="AW22" s="21">
        <v>1320</v>
      </c>
      <c r="AX22" s="21">
        <v>1280</v>
      </c>
      <c r="AY22" s="21">
        <v>1230</v>
      </c>
      <c r="AZ22" s="21">
        <v>1150</v>
      </c>
      <c r="BA22" s="21">
        <v>1070</v>
      </c>
      <c r="BB22" s="21">
        <v>990</v>
      </c>
      <c r="BC22" s="21">
        <v>920</v>
      </c>
      <c r="BD22" s="21">
        <v>850</v>
      </c>
      <c r="BE22" s="21">
        <v>790</v>
      </c>
      <c r="BF22" s="21">
        <v>730</v>
      </c>
      <c r="BG22" s="21">
        <v>670</v>
      </c>
      <c r="BH22" s="21">
        <v>620</v>
      </c>
      <c r="BI22" s="21">
        <v>570</v>
      </c>
      <c r="BJ22" s="21">
        <v>530</v>
      </c>
      <c r="BK22" s="21">
        <v>480</v>
      </c>
      <c r="BL22" s="21">
        <v>440</v>
      </c>
      <c r="BM22" s="21">
        <v>400</v>
      </c>
      <c r="BN22" s="21">
        <v>340</v>
      </c>
      <c r="BO22" s="21">
        <v>300</v>
      </c>
      <c r="BP22" s="21">
        <v>250</v>
      </c>
      <c r="BQ22" s="21">
        <v>210</v>
      </c>
      <c r="BR22" s="21">
        <v>170</v>
      </c>
      <c r="BS22" s="21">
        <v>150</v>
      </c>
      <c r="BT22" s="21" t="s">
        <v>109</v>
      </c>
      <c r="BU22" s="21" t="s">
        <v>109</v>
      </c>
      <c r="BV22" s="21" t="s">
        <v>109</v>
      </c>
      <c r="BW22" s="21" t="s">
        <v>109</v>
      </c>
      <c r="BX22" s="21" t="s">
        <v>109</v>
      </c>
      <c r="BY22" s="21" t="s">
        <v>109</v>
      </c>
      <c r="BZ22" s="21" t="s">
        <v>109</v>
      </c>
      <c r="CA22" s="21" t="s">
        <v>109</v>
      </c>
      <c r="CB22" s="21" t="s">
        <v>109</v>
      </c>
      <c r="CC22" s="21" t="s">
        <v>109</v>
      </c>
      <c r="CD22" s="21" t="s">
        <v>109</v>
      </c>
      <c r="CE22" s="21" t="s">
        <v>109</v>
      </c>
      <c r="CF22" s="21" t="s">
        <v>109</v>
      </c>
      <c r="CG22" s="21" t="s">
        <v>109</v>
      </c>
      <c r="CH22" s="21" t="s">
        <v>109</v>
      </c>
      <c r="CI22" s="21" t="s">
        <v>109</v>
      </c>
      <c r="CJ22" s="21" t="s">
        <v>109</v>
      </c>
      <c r="CK22" s="21" t="s">
        <v>109</v>
      </c>
      <c r="CL22" s="21" t="s">
        <v>109</v>
      </c>
      <c r="CM22" s="21" t="s">
        <v>109</v>
      </c>
      <c r="CN22" s="21" t="s">
        <v>109</v>
      </c>
      <c r="CO22" s="21" t="s">
        <v>109</v>
      </c>
      <c r="CP22" s="21" t="s">
        <v>109</v>
      </c>
      <c r="CQ22" s="21" t="s">
        <v>109</v>
      </c>
      <c r="CR22" s="21" t="s">
        <v>109</v>
      </c>
      <c r="CS22" s="21" t="s">
        <v>109</v>
      </c>
      <c r="CT22" s="21" t="s">
        <v>109</v>
      </c>
      <c r="CU22" s="21" t="s">
        <v>109</v>
      </c>
      <c r="CV22" s="21" t="s">
        <v>109</v>
      </c>
      <c r="CW22" s="21" t="s">
        <v>109</v>
      </c>
      <c r="CX22" s="21" t="s">
        <v>109</v>
      </c>
      <c r="CY22" s="21" t="s">
        <v>109</v>
      </c>
      <c r="CZ22" s="21" t="s">
        <v>109</v>
      </c>
      <c r="DB22" s="21">
        <f>INDEX(Z$18:CZ$23,2,MATCH(Calculator!$O$19,Z$2:CZ$2))</f>
        <v>780</v>
      </c>
    </row>
    <row r="23" spans="2:106" x14ac:dyDescent="0.25">
      <c r="W23" s="20">
        <v>30</v>
      </c>
      <c r="X23" s="21" t="s">
        <v>128</v>
      </c>
      <c r="Y23" s="21">
        <v>34.67</v>
      </c>
      <c r="Z23" s="21">
        <v>2440</v>
      </c>
      <c r="AA23" s="21">
        <v>2440</v>
      </c>
      <c r="AB23" s="21">
        <v>2440</v>
      </c>
      <c r="AC23" s="21">
        <v>2440</v>
      </c>
      <c r="AD23" s="21">
        <v>2440</v>
      </c>
      <c r="AE23" s="21">
        <v>2440</v>
      </c>
      <c r="AF23" s="21">
        <v>2440</v>
      </c>
      <c r="AG23" s="21">
        <v>2440</v>
      </c>
      <c r="AH23" s="21">
        <v>2440</v>
      </c>
      <c r="AI23" s="21">
        <v>2440</v>
      </c>
      <c r="AJ23" s="21">
        <v>2320</v>
      </c>
      <c r="AK23" s="21">
        <v>2210</v>
      </c>
      <c r="AL23" s="21">
        <v>2110</v>
      </c>
      <c r="AM23" s="21">
        <v>2020</v>
      </c>
      <c r="AN23" s="21">
        <v>1930</v>
      </c>
      <c r="AO23" s="21">
        <v>1850</v>
      </c>
      <c r="AP23" s="21">
        <v>1780</v>
      </c>
      <c r="AQ23" s="21">
        <v>1710</v>
      </c>
      <c r="AR23" s="21">
        <v>1640</v>
      </c>
      <c r="AS23" s="21">
        <v>1580</v>
      </c>
      <c r="AT23" s="21">
        <v>1520</v>
      </c>
      <c r="AU23" s="21">
        <v>1470</v>
      </c>
      <c r="AV23" s="21">
        <v>1410</v>
      </c>
      <c r="AW23" s="21">
        <v>1370</v>
      </c>
      <c r="AX23" s="21">
        <v>1320</v>
      </c>
      <c r="AY23" s="21">
        <v>1280</v>
      </c>
      <c r="AZ23" s="21">
        <v>1230</v>
      </c>
      <c r="BA23" s="21">
        <v>1170</v>
      </c>
      <c r="BB23" s="21">
        <v>1080</v>
      </c>
      <c r="BC23" s="21">
        <v>1010</v>
      </c>
      <c r="BD23" s="21">
        <v>940</v>
      </c>
      <c r="BE23" s="21">
        <v>870</v>
      </c>
      <c r="BF23" s="21">
        <v>810</v>
      </c>
      <c r="BG23" s="21">
        <v>750</v>
      </c>
      <c r="BH23" s="21">
        <v>690</v>
      </c>
      <c r="BI23" s="21">
        <v>640</v>
      </c>
      <c r="BJ23" s="21">
        <v>600</v>
      </c>
      <c r="BK23" s="21">
        <v>550</v>
      </c>
      <c r="BL23" s="21">
        <v>500</v>
      </c>
      <c r="BM23" s="21">
        <v>440</v>
      </c>
      <c r="BN23" s="21">
        <v>380</v>
      </c>
      <c r="BO23" s="21">
        <v>330</v>
      </c>
      <c r="BP23" s="21">
        <v>290</v>
      </c>
      <c r="BQ23" s="21">
        <v>250</v>
      </c>
      <c r="BR23" s="21">
        <v>200</v>
      </c>
      <c r="BS23" s="21">
        <v>170</v>
      </c>
      <c r="BT23" s="21" t="s">
        <v>109</v>
      </c>
      <c r="BU23" s="21" t="s">
        <v>109</v>
      </c>
      <c r="BV23" s="21" t="s">
        <v>109</v>
      </c>
      <c r="BW23" s="21" t="s">
        <v>109</v>
      </c>
      <c r="BX23" s="21" t="s">
        <v>109</v>
      </c>
      <c r="BY23" s="21" t="s">
        <v>109</v>
      </c>
      <c r="BZ23" s="21" t="s">
        <v>109</v>
      </c>
      <c r="CA23" s="21" t="s">
        <v>109</v>
      </c>
      <c r="CB23" s="21" t="s">
        <v>109</v>
      </c>
      <c r="CC23" s="21" t="s">
        <v>109</v>
      </c>
      <c r="CD23" s="21" t="s">
        <v>109</v>
      </c>
      <c r="CE23" s="21" t="s">
        <v>109</v>
      </c>
      <c r="CF23" s="21" t="s">
        <v>109</v>
      </c>
      <c r="CG23" s="21" t="s">
        <v>109</v>
      </c>
      <c r="CH23" s="21" t="s">
        <v>109</v>
      </c>
      <c r="CI23" s="21" t="s">
        <v>109</v>
      </c>
      <c r="CJ23" s="21" t="s">
        <v>109</v>
      </c>
      <c r="CK23" s="21" t="s">
        <v>109</v>
      </c>
      <c r="CL23" s="21" t="s">
        <v>109</v>
      </c>
      <c r="CM23" s="21" t="s">
        <v>109</v>
      </c>
      <c r="CN23" s="21" t="s">
        <v>109</v>
      </c>
      <c r="CO23" s="21" t="s">
        <v>109</v>
      </c>
      <c r="CP23" s="21" t="s">
        <v>109</v>
      </c>
      <c r="CQ23" s="21" t="s">
        <v>109</v>
      </c>
      <c r="CR23" s="21" t="s">
        <v>109</v>
      </c>
      <c r="CS23" s="21" t="s">
        <v>109</v>
      </c>
      <c r="CT23" s="21" t="s">
        <v>109</v>
      </c>
      <c r="CU23" s="21" t="s">
        <v>109</v>
      </c>
      <c r="CV23" s="21" t="s">
        <v>109</v>
      </c>
      <c r="CW23" s="21" t="s">
        <v>109</v>
      </c>
      <c r="CX23" s="21" t="s">
        <v>109</v>
      </c>
      <c r="CY23" s="21" t="s">
        <v>109</v>
      </c>
      <c r="CZ23" s="21" t="s">
        <v>109</v>
      </c>
      <c r="DB23" s="21">
        <f>INDEX(Z$18:CZ$23,1,MATCH(Calculator!$O$19,Z$2:CZ$2))</f>
        <v>620</v>
      </c>
    </row>
    <row r="24" spans="2:106" x14ac:dyDescent="0.25">
      <c r="W24" s="20">
        <v>40</v>
      </c>
      <c r="X24" s="21" t="s">
        <v>129</v>
      </c>
      <c r="Y24" s="21">
        <v>28.4</v>
      </c>
      <c r="Z24" s="21">
        <v>2360</v>
      </c>
      <c r="AA24" s="21">
        <v>2360</v>
      </c>
      <c r="AB24" s="21">
        <v>2360</v>
      </c>
      <c r="AC24" s="21">
        <v>2360</v>
      </c>
      <c r="AD24" s="21">
        <v>2360</v>
      </c>
      <c r="AE24" s="21">
        <v>2360</v>
      </c>
      <c r="AF24" s="21">
        <v>2360</v>
      </c>
      <c r="AG24" s="21">
        <v>2360</v>
      </c>
      <c r="AH24" s="21">
        <v>2360</v>
      </c>
      <c r="AI24" s="21">
        <v>2360</v>
      </c>
      <c r="AJ24" s="21">
        <v>2360</v>
      </c>
      <c r="AK24" s="21">
        <v>2360</v>
      </c>
      <c r="AL24" s="21">
        <v>2360</v>
      </c>
      <c r="AM24" s="21">
        <v>2360</v>
      </c>
      <c r="AN24" s="21">
        <v>2360</v>
      </c>
      <c r="AO24" s="21">
        <v>2160</v>
      </c>
      <c r="AP24" s="21">
        <v>1980</v>
      </c>
      <c r="AQ24" s="21">
        <v>1820</v>
      </c>
      <c r="AR24" s="21">
        <v>1680</v>
      </c>
      <c r="AS24" s="21">
        <v>1540</v>
      </c>
      <c r="AT24" s="21">
        <v>1420</v>
      </c>
      <c r="AU24" s="21">
        <v>1310</v>
      </c>
      <c r="AV24" s="21">
        <v>1210</v>
      </c>
      <c r="AW24" s="21">
        <v>1120</v>
      </c>
      <c r="AX24" s="21">
        <v>1030</v>
      </c>
      <c r="AY24" s="21">
        <v>950</v>
      </c>
      <c r="AZ24" s="21">
        <v>880</v>
      </c>
      <c r="BA24" s="21">
        <v>810</v>
      </c>
      <c r="BB24" s="21">
        <v>750</v>
      </c>
      <c r="BC24" s="21">
        <v>690</v>
      </c>
      <c r="BD24" s="21">
        <v>630</v>
      </c>
      <c r="BE24" s="21">
        <v>580</v>
      </c>
      <c r="BF24" s="21">
        <v>530</v>
      </c>
      <c r="BG24" s="21">
        <v>490</v>
      </c>
      <c r="BH24" s="21">
        <v>440</v>
      </c>
      <c r="BI24" s="21">
        <v>400</v>
      </c>
      <c r="BJ24" s="21">
        <v>370</v>
      </c>
      <c r="BK24" s="21">
        <v>330</v>
      </c>
      <c r="BL24" s="21">
        <v>300</v>
      </c>
      <c r="BM24" s="21">
        <v>270</v>
      </c>
      <c r="BN24" s="21">
        <v>240</v>
      </c>
      <c r="BO24" s="21">
        <v>210</v>
      </c>
      <c r="BP24" s="21">
        <v>180</v>
      </c>
      <c r="BQ24" s="21">
        <v>150</v>
      </c>
      <c r="BR24" s="21" t="s">
        <v>109</v>
      </c>
      <c r="BS24" s="21" t="s">
        <v>109</v>
      </c>
      <c r="BT24" s="21" t="s">
        <v>109</v>
      </c>
      <c r="BU24" s="21" t="s">
        <v>109</v>
      </c>
      <c r="BV24" s="21" t="s">
        <v>109</v>
      </c>
      <c r="BW24" s="21" t="s">
        <v>109</v>
      </c>
      <c r="BX24" s="21" t="s">
        <v>109</v>
      </c>
      <c r="BY24" s="21" t="s">
        <v>109</v>
      </c>
      <c r="BZ24" s="21" t="s">
        <v>109</v>
      </c>
      <c r="CA24" s="21" t="s">
        <v>109</v>
      </c>
      <c r="CB24" s="21" t="s">
        <v>109</v>
      </c>
      <c r="CC24" s="21" t="s">
        <v>109</v>
      </c>
      <c r="CD24" s="21" t="s">
        <v>109</v>
      </c>
      <c r="CE24" s="21" t="s">
        <v>109</v>
      </c>
      <c r="CF24" s="21" t="s">
        <v>109</v>
      </c>
      <c r="CG24" s="21" t="s">
        <v>109</v>
      </c>
      <c r="CH24" s="21" t="s">
        <v>109</v>
      </c>
      <c r="CI24" s="21" t="s">
        <v>109</v>
      </c>
      <c r="CJ24" s="21" t="s">
        <v>109</v>
      </c>
      <c r="CK24" s="21" t="s">
        <v>109</v>
      </c>
      <c r="CL24" s="21" t="s">
        <v>109</v>
      </c>
      <c r="CM24" s="21" t="s">
        <v>109</v>
      </c>
      <c r="CN24" s="21" t="s">
        <v>109</v>
      </c>
      <c r="CO24" s="21" t="s">
        <v>109</v>
      </c>
      <c r="CP24" s="21" t="s">
        <v>109</v>
      </c>
      <c r="CQ24" s="21" t="s">
        <v>109</v>
      </c>
      <c r="CR24" s="21" t="s">
        <v>109</v>
      </c>
      <c r="CS24" s="21" t="s">
        <v>109</v>
      </c>
      <c r="CT24" s="21" t="s">
        <v>109</v>
      </c>
      <c r="CU24" s="21" t="s">
        <v>109</v>
      </c>
      <c r="CV24" s="21" t="s">
        <v>109</v>
      </c>
      <c r="CW24" s="21" t="s">
        <v>109</v>
      </c>
      <c r="CX24" s="21" t="s">
        <v>109</v>
      </c>
      <c r="CY24" s="21" t="s">
        <v>109</v>
      </c>
      <c r="CZ24" s="21" t="s">
        <v>109</v>
      </c>
      <c r="DB24" s="21">
        <f>INDEX(Z$24:CZ$29,6,MATCH(Calculator!$O$19,Z$2:CZ$2))</f>
        <v>1870</v>
      </c>
    </row>
    <row r="25" spans="2:106" ht="15.75" x14ac:dyDescent="0.25">
      <c r="B25" s="20">
        <f>IF(Calculator!I7="בעלת טבלה עליונה",1,0)</f>
        <v>1</v>
      </c>
      <c r="L25" s="23"/>
      <c r="M25" s="23"/>
      <c r="N25" s="23"/>
      <c r="W25" s="20">
        <v>40</v>
      </c>
      <c r="X25" s="21" t="s">
        <v>130</v>
      </c>
      <c r="Y25" s="21">
        <v>32.729999999999997</v>
      </c>
      <c r="Z25" s="21">
        <v>2370</v>
      </c>
      <c r="AA25" s="21">
        <v>2370</v>
      </c>
      <c r="AB25" s="21">
        <v>2370</v>
      </c>
      <c r="AC25" s="21">
        <v>2370</v>
      </c>
      <c r="AD25" s="21">
        <v>2370</v>
      </c>
      <c r="AE25" s="21">
        <v>2370</v>
      </c>
      <c r="AF25" s="21">
        <v>2370</v>
      </c>
      <c r="AG25" s="21">
        <v>2370</v>
      </c>
      <c r="AH25" s="21">
        <v>2370</v>
      </c>
      <c r="AI25" s="21">
        <v>2370</v>
      </c>
      <c r="AJ25" s="21">
        <v>2370</v>
      </c>
      <c r="AK25" s="21">
        <v>2370</v>
      </c>
      <c r="AL25" s="21">
        <v>2370</v>
      </c>
      <c r="AM25" s="21">
        <v>2370</v>
      </c>
      <c r="AN25" s="21">
        <v>2370</v>
      </c>
      <c r="AO25" s="21">
        <v>2370</v>
      </c>
      <c r="AP25" s="21">
        <v>2370</v>
      </c>
      <c r="AQ25" s="21">
        <v>2180</v>
      </c>
      <c r="AR25" s="21">
        <v>2020</v>
      </c>
      <c r="AS25" s="21">
        <v>1860</v>
      </c>
      <c r="AT25" s="21">
        <v>1720</v>
      </c>
      <c r="AU25" s="21">
        <v>1600</v>
      </c>
      <c r="AV25" s="21">
        <v>1480</v>
      </c>
      <c r="AW25" s="21">
        <v>1370</v>
      </c>
      <c r="AX25" s="21">
        <v>1270</v>
      </c>
      <c r="AY25" s="21">
        <v>1180</v>
      </c>
      <c r="AZ25" s="21">
        <v>1090</v>
      </c>
      <c r="BA25" s="21">
        <v>1020</v>
      </c>
      <c r="BB25" s="21">
        <v>940</v>
      </c>
      <c r="BC25" s="21">
        <v>870</v>
      </c>
      <c r="BD25" s="21">
        <v>810</v>
      </c>
      <c r="BE25" s="21">
        <v>750</v>
      </c>
      <c r="BF25" s="21">
        <v>700</v>
      </c>
      <c r="BG25" s="21">
        <v>640</v>
      </c>
      <c r="BH25" s="21">
        <v>590</v>
      </c>
      <c r="BI25" s="21">
        <v>550</v>
      </c>
      <c r="BJ25" s="21">
        <v>510</v>
      </c>
      <c r="BK25" s="21">
        <v>460</v>
      </c>
      <c r="BL25" s="21">
        <v>430</v>
      </c>
      <c r="BM25" s="21">
        <v>390</v>
      </c>
      <c r="BN25" s="21">
        <v>360</v>
      </c>
      <c r="BO25" s="21">
        <v>320</v>
      </c>
      <c r="BP25" s="21">
        <v>290</v>
      </c>
      <c r="BQ25" s="21">
        <v>250</v>
      </c>
      <c r="BR25" s="21">
        <v>220</v>
      </c>
      <c r="BS25" s="21">
        <v>190</v>
      </c>
      <c r="BT25" s="21">
        <v>160</v>
      </c>
      <c r="BU25" s="21" t="s">
        <v>109</v>
      </c>
      <c r="BV25" s="21" t="s">
        <v>109</v>
      </c>
      <c r="BW25" s="21" t="s">
        <v>109</v>
      </c>
      <c r="BX25" s="21" t="s">
        <v>109</v>
      </c>
      <c r="BY25" s="21" t="s">
        <v>109</v>
      </c>
      <c r="BZ25" s="21" t="s">
        <v>109</v>
      </c>
      <c r="CA25" s="21" t="s">
        <v>109</v>
      </c>
      <c r="CB25" s="21" t="s">
        <v>109</v>
      </c>
      <c r="CC25" s="21" t="s">
        <v>109</v>
      </c>
      <c r="CD25" s="21" t="s">
        <v>109</v>
      </c>
      <c r="CE25" s="21" t="s">
        <v>109</v>
      </c>
      <c r="CF25" s="21" t="s">
        <v>109</v>
      </c>
      <c r="CG25" s="21" t="s">
        <v>109</v>
      </c>
      <c r="CH25" s="21" t="s">
        <v>109</v>
      </c>
      <c r="CI25" s="21" t="s">
        <v>109</v>
      </c>
      <c r="CJ25" s="21" t="s">
        <v>109</v>
      </c>
      <c r="CK25" s="21" t="s">
        <v>109</v>
      </c>
      <c r="CL25" s="21" t="s">
        <v>109</v>
      </c>
      <c r="CM25" s="21" t="s">
        <v>109</v>
      </c>
      <c r="CN25" s="21" t="s">
        <v>109</v>
      </c>
      <c r="CO25" s="21" t="s">
        <v>109</v>
      </c>
      <c r="CP25" s="21" t="s">
        <v>109</v>
      </c>
      <c r="CQ25" s="21" t="s">
        <v>109</v>
      </c>
      <c r="CR25" s="21" t="s">
        <v>109</v>
      </c>
      <c r="CS25" s="21" t="s">
        <v>109</v>
      </c>
      <c r="CT25" s="21" t="s">
        <v>109</v>
      </c>
      <c r="CU25" s="21" t="s">
        <v>109</v>
      </c>
      <c r="CV25" s="21" t="s">
        <v>109</v>
      </c>
      <c r="CW25" s="21" t="s">
        <v>109</v>
      </c>
      <c r="CX25" s="21" t="s">
        <v>109</v>
      </c>
      <c r="CY25" s="21" t="s">
        <v>109</v>
      </c>
      <c r="CZ25" s="21" t="s">
        <v>109</v>
      </c>
      <c r="DB25" s="21">
        <f>INDEX(Z$24:CZ$29,5,MATCH(Calculator!$O$19,Z$2:CZ$2))</f>
        <v>1680</v>
      </c>
    </row>
    <row r="26" spans="2:106" x14ac:dyDescent="0.25">
      <c r="W26" s="20">
        <v>40</v>
      </c>
      <c r="X26" s="21" t="s">
        <v>131</v>
      </c>
      <c r="Y26" s="21">
        <v>37.020000000000003</v>
      </c>
      <c r="Z26" s="21">
        <v>2400</v>
      </c>
      <c r="AA26" s="21">
        <v>2400</v>
      </c>
      <c r="AB26" s="21">
        <v>2400</v>
      </c>
      <c r="AC26" s="21">
        <v>2400</v>
      </c>
      <c r="AD26" s="21">
        <v>2400</v>
      </c>
      <c r="AE26" s="21">
        <v>2400</v>
      </c>
      <c r="AF26" s="21">
        <v>2400</v>
      </c>
      <c r="AG26" s="21">
        <v>2400</v>
      </c>
      <c r="AH26" s="21">
        <v>2400</v>
      </c>
      <c r="AI26" s="21">
        <v>2400</v>
      </c>
      <c r="AJ26" s="21">
        <v>2400</v>
      </c>
      <c r="AK26" s="21">
        <v>2400</v>
      </c>
      <c r="AL26" s="21">
        <v>2400</v>
      </c>
      <c r="AM26" s="21">
        <v>2400</v>
      </c>
      <c r="AN26" s="21">
        <v>2400</v>
      </c>
      <c r="AO26" s="21">
        <v>2400</v>
      </c>
      <c r="AP26" s="21">
        <v>2400</v>
      </c>
      <c r="AQ26" s="21">
        <v>2400</v>
      </c>
      <c r="AR26" s="21">
        <v>2310</v>
      </c>
      <c r="AS26" s="21">
        <v>2180</v>
      </c>
      <c r="AT26" s="21">
        <v>2020</v>
      </c>
      <c r="AU26" s="21">
        <v>1880</v>
      </c>
      <c r="AV26" s="21">
        <v>1740</v>
      </c>
      <c r="AW26" s="21">
        <v>1620</v>
      </c>
      <c r="AX26" s="21">
        <v>1510</v>
      </c>
      <c r="AY26" s="21">
        <v>1410</v>
      </c>
      <c r="AZ26" s="21">
        <v>1310</v>
      </c>
      <c r="BA26" s="21">
        <v>1220</v>
      </c>
      <c r="BB26" s="21">
        <v>1140</v>
      </c>
      <c r="BC26" s="21">
        <v>1060</v>
      </c>
      <c r="BD26" s="21">
        <v>990</v>
      </c>
      <c r="BE26" s="21">
        <v>920</v>
      </c>
      <c r="BF26" s="21">
        <v>860</v>
      </c>
      <c r="BG26" s="21">
        <v>800</v>
      </c>
      <c r="BH26" s="21">
        <v>740</v>
      </c>
      <c r="BI26" s="21">
        <v>690</v>
      </c>
      <c r="BJ26" s="21">
        <v>640</v>
      </c>
      <c r="BK26" s="21">
        <v>600</v>
      </c>
      <c r="BL26" s="21">
        <v>550</v>
      </c>
      <c r="BM26" s="21">
        <v>510</v>
      </c>
      <c r="BN26" s="21">
        <v>470</v>
      </c>
      <c r="BO26" s="21">
        <v>440</v>
      </c>
      <c r="BP26" s="21">
        <v>390</v>
      </c>
      <c r="BQ26" s="21">
        <v>360</v>
      </c>
      <c r="BR26" s="21">
        <v>320</v>
      </c>
      <c r="BS26" s="21">
        <v>290</v>
      </c>
      <c r="BT26" s="21">
        <v>250</v>
      </c>
      <c r="BU26" s="21">
        <v>220</v>
      </c>
      <c r="BV26" s="21">
        <v>190</v>
      </c>
      <c r="BW26" s="21">
        <v>160</v>
      </c>
      <c r="BX26" s="21" t="s">
        <v>109</v>
      </c>
      <c r="BY26" s="21" t="s">
        <v>109</v>
      </c>
      <c r="BZ26" s="21" t="s">
        <v>109</v>
      </c>
      <c r="CA26" s="21" t="s">
        <v>109</v>
      </c>
      <c r="CB26" s="21" t="s">
        <v>109</v>
      </c>
      <c r="CC26" s="21" t="s">
        <v>109</v>
      </c>
      <c r="CD26" s="21" t="s">
        <v>109</v>
      </c>
      <c r="CE26" s="21" t="s">
        <v>109</v>
      </c>
      <c r="CF26" s="21" t="s">
        <v>109</v>
      </c>
      <c r="CG26" s="21" t="s">
        <v>109</v>
      </c>
      <c r="CH26" s="21" t="s">
        <v>109</v>
      </c>
      <c r="CI26" s="21" t="s">
        <v>109</v>
      </c>
      <c r="CJ26" s="21" t="s">
        <v>109</v>
      </c>
      <c r="CK26" s="21" t="s">
        <v>109</v>
      </c>
      <c r="CL26" s="21" t="s">
        <v>109</v>
      </c>
      <c r="CM26" s="21" t="s">
        <v>109</v>
      </c>
      <c r="CN26" s="21" t="s">
        <v>109</v>
      </c>
      <c r="CO26" s="21" t="s">
        <v>109</v>
      </c>
      <c r="CP26" s="21" t="s">
        <v>109</v>
      </c>
      <c r="CQ26" s="21" t="s">
        <v>109</v>
      </c>
      <c r="CR26" s="21" t="s">
        <v>109</v>
      </c>
      <c r="CS26" s="21" t="s">
        <v>109</v>
      </c>
      <c r="CT26" s="21" t="s">
        <v>109</v>
      </c>
      <c r="CU26" s="21" t="s">
        <v>109</v>
      </c>
      <c r="CV26" s="21" t="s">
        <v>109</v>
      </c>
      <c r="CW26" s="21" t="s">
        <v>109</v>
      </c>
      <c r="CX26" s="21" t="s">
        <v>109</v>
      </c>
      <c r="CY26" s="21" t="s">
        <v>109</v>
      </c>
      <c r="CZ26" s="21" t="s">
        <v>109</v>
      </c>
      <c r="DB26" s="21">
        <f>INDEX(Z$24:CZ$29,4,MATCH(Calculator!$O$19,Z$2:CZ$2))</f>
        <v>1500</v>
      </c>
    </row>
    <row r="27" spans="2:106" x14ac:dyDescent="0.25">
      <c r="W27" s="20">
        <v>40</v>
      </c>
      <c r="X27" s="21" t="s">
        <v>132</v>
      </c>
      <c r="Y27" s="21">
        <v>40.79</v>
      </c>
      <c r="Z27" s="21">
        <v>2480</v>
      </c>
      <c r="AA27" s="21">
        <v>2480</v>
      </c>
      <c r="AB27" s="21">
        <v>2480</v>
      </c>
      <c r="AC27" s="21">
        <v>2480</v>
      </c>
      <c r="AD27" s="21">
        <v>2480</v>
      </c>
      <c r="AE27" s="21">
        <v>2480</v>
      </c>
      <c r="AF27" s="21">
        <v>2480</v>
      </c>
      <c r="AG27" s="21">
        <v>2480</v>
      </c>
      <c r="AH27" s="21">
        <v>2480</v>
      </c>
      <c r="AI27" s="21">
        <v>2480</v>
      </c>
      <c r="AJ27" s="21">
        <v>2480</v>
      </c>
      <c r="AK27" s="21">
        <v>2480</v>
      </c>
      <c r="AL27" s="21">
        <v>2480</v>
      </c>
      <c r="AM27" s="21">
        <v>2480</v>
      </c>
      <c r="AN27" s="21">
        <v>2480</v>
      </c>
      <c r="AO27" s="21">
        <v>2480</v>
      </c>
      <c r="AP27" s="21">
        <v>2480</v>
      </c>
      <c r="AQ27" s="21">
        <v>2480</v>
      </c>
      <c r="AR27" s="21">
        <v>2390</v>
      </c>
      <c r="AS27" s="21">
        <v>2300</v>
      </c>
      <c r="AT27" s="21">
        <v>2220</v>
      </c>
      <c r="AU27" s="21">
        <v>2120</v>
      </c>
      <c r="AV27" s="21">
        <v>1980</v>
      </c>
      <c r="AW27" s="21">
        <v>1840</v>
      </c>
      <c r="AX27" s="21">
        <v>1720</v>
      </c>
      <c r="AY27" s="21">
        <v>1600</v>
      </c>
      <c r="AZ27" s="21">
        <v>1500</v>
      </c>
      <c r="BA27" s="21">
        <v>1400</v>
      </c>
      <c r="BB27" s="21">
        <v>1310</v>
      </c>
      <c r="BC27" s="21">
        <v>1220</v>
      </c>
      <c r="BD27" s="21">
        <v>1140</v>
      </c>
      <c r="BE27" s="21">
        <v>1070</v>
      </c>
      <c r="BF27" s="21">
        <v>1000</v>
      </c>
      <c r="BG27" s="21">
        <v>940</v>
      </c>
      <c r="BH27" s="21">
        <v>870</v>
      </c>
      <c r="BI27" s="21">
        <v>820</v>
      </c>
      <c r="BJ27" s="21">
        <v>760</v>
      </c>
      <c r="BK27" s="21">
        <v>710</v>
      </c>
      <c r="BL27" s="21">
        <v>660</v>
      </c>
      <c r="BM27" s="21">
        <v>620</v>
      </c>
      <c r="BN27" s="21">
        <v>570</v>
      </c>
      <c r="BO27" s="21">
        <v>530</v>
      </c>
      <c r="BP27" s="21">
        <v>480</v>
      </c>
      <c r="BQ27" s="21">
        <v>440</v>
      </c>
      <c r="BR27" s="21">
        <v>400</v>
      </c>
      <c r="BS27" s="21">
        <v>370</v>
      </c>
      <c r="BT27" s="21">
        <v>330</v>
      </c>
      <c r="BU27" s="21">
        <v>300</v>
      </c>
      <c r="BV27" s="21">
        <v>270</v>
      </c>
      <c r="BW27" s="21">
        <v>230</v>
      </c>
      <c r="BX27" s="21">
        <v>210</v>
      </c>
      <c r="BY27" s="21">
        <v>180</v>
      </c>
      <c r="BZ27" s="21">
        <v>150</v>
      </c>
      <c r="CA27" s="21" t="s">
        <v>109</v>
      </c>
      <c r="CB27" s="21" t="s">
        <v>109</v>
      </c>
      <c r="CC27" s="21" t="s">
        <v>109</v>
      </c>
      <c r="CD27" s="21" t="s">
        <v>109</v>
      </c>
      <c r="CE27" s="21" t="s">
        <v>109</v>
      </c>
      <c r="CF27" s="21" t="s">
        <v>109</v>
      </c>
      <c r="CG27" s="21" t="s">
        <v>109</v>
      </c>
      <c r="CH27" s="21" t="s">
        <v>109</v>
      </c>
      <c r="CI27" s="21" t="s">
        <v>109</v>
      </c>
      <c r="CJ27" s="21" t="s">
        <v>109</v>
      </c>
      <c r="CK27" s="21" t="s">
        <v>109</v>
      </c>
      <c r="CL27" s="21" t="s">
        <v>109</v>
      </c>
      <c r="CM27" s="21" t="s">
        <v>109</v>
      </c>
      <c r="CN27" s="21" t="s">
        <v>109</v>
      </c>
      <c r="CO27" s="21" t="s">
        <v>109</v>
      </c>
      <c r="CP27" s="21" t="s">
        <v>109</v>
      </c>
      <c r="CQ27" s="21" t="s">
        <v>109</v>
      </c>
      <c r="CR27" s="21" t="s">
        <v>109</v>
      </c>
      <c r="CS27" s="21" t="s">
        <v>109</v>
      </c>
      <c r="CT27" s="21" t="s">
        <v>109</v>
      </c>
      <c r="CU27" s="21" t="s">
        <v>109</v>
      </c>
      <c r="CV27" s="21" t="s">
        <v>109</v>
      </c>
      <c r="CW27" s="21" t="s">
        <v>109</v>
      </c>
      <c r="CX27" s="21" t="s">
        <v>109</v>
      </c>
      <c r="CY27" s="21" t="s">
        <v>109</v>
      </c>
      <c r="CZ27" s="21" t="s">
        <v>109</v>
      </c>
      <c r="DB27" s="21">
        <f>INDEX(Z$24:CZ$29,3,MATCH(Calculator!$O$19,Z$2:CZ$2))</f>
        <v>1310</v>
      </c>
    </row>
    <row r="28" spans="2:106" x14ac:dyDescent="0.25">
      <c r="W28" s="20">
        <v>40</v>
      </c>
      <c r="X28" s="21" t="s">
        <v>133</v>
      </c>
      <c r="Y28" s="21">
        <v>44.5</v>
      </c>
      <c r="Z28" s="21">
        <v>2460</v>
      </c>
      <c r="AA28" s="21">
        <v>2460</v>
      </c>
      <c r="AB28" s="21">
        <v>2460</v>
      </c>
      <c r="AC28" s="21">
        <v>2460</v>
      </c>
      <c r="AD28" s="21">
        <v>2460</v>
      </c>
      <c r="AE28" s="21">
        <v>2460</v>
      </c>
      <c r="AF28" s="21">
        <v>2460</v>
      </c>
      <c r="AG28" s="21">
        <v>2460</v>
      </c>
      <c r="AH28" s="21">
        <v>2460</v>
      </c>
      <c r="AI28" s="21">
        <v>2460</v>
      </c>
      <c r="AJ28" s="21">
        <v>2460</v>
      </c>
      <c r="AK28" s="21">
        <v>2460</v>
      </c>
      <c r="AL28" s="21">
        <v>2460</v>
      </c>
      <c r="AM28" s="21">
        <v>2460</v>
      </c>
      <c r="AN28" s="21">
        <v>2460</v>
      </c>
      <c r="AO28" s="21">
        <v>2460</v>
      </c>
      <c r="AP28" s="21">
        <v>2460</v>
      </c>
      <c r="AQ28" s="21">
        <v>2460</v>
      </c>
      <c r="AR28" s="21">
        <v>2460</v>
      </c>
      <c r="AS28" s="21">
        <v>2370</v>
      </c>
      <c r="AT28" s="21">
        <v>2290</v>
      </c>
      <c r="AU28" s="21">
        <v>2210</v>
      </c>
      <c r="AV28" s="21">
        <v>2130</v>
      </c>
      <c r="AW28" s="21">
        <v>2060</v>
      </c>
      <c r="AX28" s="21">
        <v>1920</v>
      </c>
      <c r="AY28" s="21">
        <v>1800</v>
      </c>
      <c r="AZ28" s="21">
        <v>1680</v>
      </c>
      <c r="BA28" s="21">
        <v>1580</v>
      </c>
      <c r="BB28" s="21">
        <v>1480</v>
      </c>
      <c r="BC28" s="21">
        <v>1380</v>
      </c>
      <c r="BD28" s="21">
        <v>1300</v>
      </c>
      <c r="BE28" s="21">
        <v>1220</v>
      </c>
      <c r="BF28" s="21">
        <v>1140</v>
      </c>
      <c r="BG28" s="21">
        <v>1070</v>
      </c>
      <c r="BH28" s="21">
        <v>1000</v>
      </c>
      <c r="BI28" s="21">
        <v>940</v>
      </c>
      <c r="BJ28" s="21">
        <v>880</v>
      </c>
      <c r="BK28" s="21">
        <v>830</v>
      </c>
      <c r="BL28" s="21">
        <v>770</v>
      </c>
      <c r="BM28" s="21">
        <v>720</v>
      </c>
      <c r="BN28" s="21">
        <v>660</v>
      </c>
      <c r="BO28" s="21">
        <v>620</v>
      </c>
      <c r="BP28" s="21">
        <v>570</v>
      </c>
      <c r="BQ28" s="21">
        <v>530</v>
      </c>
      <c r="BR28" s="21">
        <v>480</v>
      </c>
      <c r="BS28" s="21">
        <v>440</v>
      </c>
      <c r="BT28" s="21">
        <v>410</v>
      </c>
      <c r="BU28" s="21">
        <v>370</v>
      </c>
      <c r="BV28" s="21">
        <v>340</v>
      </c>
      <c r="BW28" s="21">
        <v>300</v>
      </c>
      <c r="BX28" s="21">
        <v>270</v>
      </c>
      <c r="BY28" s="21">
        <v>240</v>
      </c>
      <c r="BZ28" s="21">
        <v>220</v>
      </c>
      <c r="CA28" s="21">
        <v>190</v>
      </c>
      <c r="CB28" s="21">
        <v>160</v>
      </c>
      <c r="CC28" s="21" t="s">
        <v>109</v>
      </c>
      <c r="CD28" s="21" t="s">
        <v>109</v>
      </c>
      <c r="CE28" s="21" t="s">
        <v>109</v>
      </c>
      <c r="CF28" s="21" t="s">
        <v>109</v>
      </c>
      <c r="CG28" s="21" t="s">
        <v>109</v>
      </c>
      <c r="CH28" s="21" t="s">
        <v>109</v>
      </c>
      <c r="CI28" s="21" t="s">
        <v>109</v>
      </c>
      <c r="CJ28" s="21" t="s">
        <v>109</v>
      </c>
      <c r="CK28" s="21" t="s">
        <v>109</v>
      </c>
      <c r="CL28" s="21" t="s">
        <v>109</v>
      </c>
      <c r="CM28" s="21" t="s">
        <v>109</v>
      </c>
      <c r="CN28" s="21" t="s">
        <v>109</v>
      </c>
      <c r="CO28" s="21" t="s">
        <v>109</v>
      </c>
      <c r="CP28" s="21" t="s">
        <v>109</v>
      </c>
      <c r="CQ28" s="21" t="s">
        <v>109</v>
      </c>
      <c r="CR28" s="21" t="s">
        <v>109</v>
      </c>
      <c r="CS28" s="21" t="s">
        <v>109</v>
      </c>
      <c r="CT28" s="21" t="s">
        <v>109</v>
      </c>
      <c r="CU28" s="21" t="s">
        <v>109</v>
      </c>
      <c r="CV28" s="21" t="s">
        <v>109</v>
      </c>
      <c r="CW28" s="21" t="s">
        <v>109</v>
      </c>
      <c r="CX28" s="21" t="s">
        <v>109</v>
      </c>
      <c r="CY28" s="21" t="s">
        <v>109</v>
      </c>
      <c r="CZ28" s="21" t="s">
        <v>109</v>
      </c>
      <c r="DB28" s="21">
        <f>INDEX(Z$24:CZ$29,2,MATCH(Calculator!$O$19,Z$2:CZ$2))</f>
        <v>1090</v>
      </c>
    </row>
    <row r="29" spans="2:106" x14ac:dyDescent="0.25">
      <c r="W29" s="20">
        <v>40</v>
      </c>
      <c r="X29" s="21" t="s">
        <v>134</v>
      </c>
      <c r="Y29" s="21">
        <v>48.2</v>
      </c>
      <c r="Z29" s="21">
        <v>2480</v>
      </c>
      <c r="AA29" s="21">
        <v>2480</v>
      </c>
      <c r="AB29" s="21">
        <v>2480</v>
      </c>
      <c r="AC29" s="21">
        <v>2480</v>
      </c>
      <c r="AD29" s="21">
        <v>2480</v>
      </c>
      <c r="AE29" s="21">
        <v>2480</v>
      </c>
      <c r="AF29" s="21">
        <v>2480</v>
      </c>
      <c r="AG29" s="21">
        <v>2480</v>
      </c>
      <c r="AH29" s="21">
        <v>2480</v>
      </c>
      <c r="AI29" s="21">
        <v>2480</v>
      </c>
      <c r="AJ29" s="21">
        <v>2480</v>
      </c>
      <c r="AK29" s="21">
        <v>2480</v>
      </c>
      <c r="AL29" s="21">
        <v>2480</v>
      </c>
      <c r="AM29" s="21">
        <v>2480</v>
      </c>
      <c r="AN29" s="21">
        <v>2480</v>
      </c>
      <c r="AO29" s="21">
        <v>2480</v>
      </c>
      <c r="AP29" s="21">
        <v>2480</v>
      </c>
      <c r="AQ29" s="21">
        <v>2480</v>
      </c>
      <c r="AR29" s="21">
        <v>2480</v>
      </c>
      <c r="AS29" s="21">
        <v>2480</v>
      </c>
      <c r="AT29" s="21">
        <v>2390</v>
      </c>
      <c r="AU29" s="21">
        <v>2310</v>
      </c>
      <c r="AV29" s="21">
        <v>2230</v>
      </c>
      <c r="AW29" s="21">
        <v>2160</v>
      </c>
      <c r="AX29" s="21">
        <v>2090</v>
      </c>
      <c r="AY29" s="21">
        <v>1990</v>
      </c>
      <c r="AZ29" s="21">
        <v>1870</v>
      </c>
      <c r="BA29" s="21">
        <v>1750</v>
      </c>
      <c r="BB29" s="21">
        <v>1640</v>
      </c>
      <c r="BC29" s="21">
        <v>1540</v>
      </c>
      <c r="BD29" s="21">
        <v>1450</v>
      </c>
      <c r="BE29" s="21">
        <v>1360</v>
      </c>
      <c r="BF29" s="21">
        <v>1280</v>
      </c>
      <c r="BG29" s="21">
        <v>1200</v>
      </c>
      <c r="BH29" s="21">
        <v>1130</v>
      </c>
      <c r="BI29" s="21">
        <v>1050</v>
      </c>
      <c r="BJ29" s="21">
        <v>980</v>
      </c>
      <c r="BK29" s="21">
        <v>920</v>
      </c>
      <c r="BL29" s="21">
        <v>860</v>
      </c>
      <c r="BM29" s="21">
        <v>800</v>
      </c>
      <c r="BN29" s="21">
        <v>740</v>
      </c>
      <c r="BO29" s="21">
        <v>690</v>
      </c>
      <c r="BP29" s="21">
        <v>640</v>
      </c>
      <c r="BQ29" s="21">
        <v>600</v>
      </c>
      <c r="BR29" s="21">
        <v>550</v>
      </c>
      <c r="BS29" s="21">
        <v>510</v>
      </c>
      <c r="BT29" s="21">
        <v>470</v>
      </c>
      <c r="BU29" s="21">
        <v>430</v>
      </c>
      <c r="BV29" s="21">
        <v>400</v>
      </c>
      <c r="BW29" s="21">
        <v>360</v>
      </c>
      <c r="BX29" s="21">
        <v>330</v>
      </c>
      <c r="BY29" s="21">
        <v>300</v>
      </c>
      <c r="BZ29" s="21">
        <v>270</v>
      </c>
      <c r="CA29" s="21">
        <v>240</v>
      </c>
      <c r="CB29" s="21">
        <v>210</v>
      </c>
      <c r="CC29" s="21">
        <v>190</v>
      </c>
      <c r="CD29" s="21">
        <v>160</v>
      </c>
      <c r="CE29" s="21" t="s">
        <v>109</v>
      </c>
      <c r="CF29" s="21" t="s">
        <v>109</v>
      </c>
      <c r="CG29" s="21" t="s">
        <v>109</v>
      </c>
      <c r="CH29" s="21" t="s">
        <v>109</v>
      </c>
      <c r="CI29" s="21" t="s">
        <v>109</v>
      </c>
      <c r="CJ29" s="21" t="s">
        <v>109</v>
      </c>
      <c r="CK29" s="21" t="s">
        <v>109</v>
      </c>
      <c r="CL29" s="21" t="s">
        <v>109</v>
      </c>
      <c r="CM29" s="21" t="s">
        <v>109</v>
      </c>
      <c r="CN29" s="21" t="s">
        <v>109</v>
      </c>
      <c r="CO29" s="21" t="s">
        <v>109</v>
      </c>
      <c r="CP29" s="21" t="s">
        <v>109</v>
      </c>
      <c r="CQ29" s="21" t="s">
        <v>109</v>
      </c>
      <c r="CR29" s="21" t="s">
        <v>109</v>
      </c>
      <c r="CS29" s="21" t="s">
        <v>109</v>
      </c>
      <c r="CT29" s="21" t="s">
        <v>109</v>
      </c>
      <c r="CU29" s="21" t="s">
        <v>109</v>
      </c>
      <c r="CV29" s="21" t="s">
        <v>109</v>
      </c>
      <c r="CW29" s="21" t="s">
        <v>109</v>
      </c>
      <c r="CX29" s="21" t="s">
        <v>109</v>
      </c>
      <c r="CY29" s="21" t="s">
        <v>109</v>
      </c>
      <c r="CZ29" s="21" t="s">
        <v>109</v>
      </c>
      <c r="DB29" s="21">
        <f>INDEX(Z$24:CZ$29,1,MATCH(Calculator!$O$19,Z$2:CZ$2))</f>
        <v>880</v>
      </c>
    </row>
    <row r="30" spans="2:106" x14ac:dyDescent="0.25">
      <c r="W30" s="20">
        <v>50</v>
      </c>
      <c r="X30" s="21" t="s">
        <v>135</v>
      </c>
      <c r="Y30" s="21">
        <v>28.4</v>
      </c>
      <c r="Z30" s="21">
        <v>3300</v>
      </c>
      <c r="AA30" s="21">
        <v>3300</v>
      </c>
      <c r="AB30" s="21">
        <v>3300</v>
      </c>
      <c r="AC30" s="21">
        <v>3300</v>
      </c>
      <c r="AD30" s="21">
        <v>3300</v>
      </c>
      <c r="AE30" s="21">
        <v>3300</v>
      </c>
      <c r="AF30" s="21">
        <v>3300</v>
      </c>
      <c r="AG30" s="21">
        <v>3300</v>
      </c>
      <c r="AH30" s="21">
        <v>3300</v>
      </c>
      <c r="AI30" s="21">
        <v>3300</v>
      </c>
      <c r="AJ30" s="21">
        <v>3300</v>
      </c>
      <c r="AK30" s="21">
        <v>3300</v>
      </c>
      <c r="AL30" s="21">
        <v>3300</v>
      </c>
      <c r="AM30" s="21">
        <v>3300</v>
      </c>
      <c r="AN30" s="21">
        <v>3300</v>
      </c>
      <c r="AO30" s="21">
        <v>3300</v>
      </c>
      <c r="AP30" s="21">
        <v>3300</v>
      </c>
      <c r="AQ30" s="21">
        <v>3300</v>
      </c>
      <c r="AR30" s="21">
        <v>3300</v>
      </c>
      <c r="AS30" s="21">
        <v>2800</v>
      </c>
      <c r="AT30" s="21">
        <v>2800</v>
      </c>
      <c r="AU30" s="21">
        <v>2500</v>
      </c>
      <c r="AV30" s="21">
        <v>2500</v>
      </c>
      <c r="AW30" s="21">
        <v>2150</v>
      </c>
      <c r="AX30" s="21">
        <v>2150</v>
      </c>
      <c r="AY30" s="21">
        <v>1900</v>
      </c>
      <c r="AZ30" s="21">
        <v>1900</v>
      </c>
      <c r="BA30" s="21">
        <v>1650</v>
      </c>
      <c r="BB30" s="21">
        <v>1650</v>
      </c>
      <c r="BC30" s="21">
        <v>1450</v>
      </c>
      <c r="BD30" s="21">
        <v>1450</v>
      </c>
      <c r="BE30" s="21">
        <v>1250</v>
      </c>
      <c r="BF30" s="21">
        <v>1250</v>
      </c>
      <c r="BG30" s="21">
        <v>1100</v>
      </c>
      <c r="BH30" s="21">
        <v>1100</v>
      </c>
      <c r="BI30" s="21">
        <v>980</v>
      </c>
      <c r="BJ30" s="21">
        <v>980</v>
      </c>
      <c r="BK30" s="21">
        <v>850</v>
      </c>
      <c r="BL30" s="21">
        <v>850</v>
      </c>
      <c r="BM30" s="21">
        <v>745</v>
      </c>
      <c r="BN30" s="21">
        <v>745</v>
      </c>
      <c r="BO30" s="21">
        <v>660</v>
      </c>
      <c r="BP30" s="21">
        <v>660</v>
      </c>
      <c r="BQ30" s="21">
        <v>560</v>
      </c>
      <c r="BR30" s="21">
        <v>560</v>
      </c>
      <c r="BS30" s="21">
        <v>470</v>
      </c>
      <c r="BT30" s="21">
        <v>470</v>
      </c>
      <c r="BU30" s="21">
        <v>400</v>
      </c>
      <c r="BV30" s="21">
        <v>400</v>
      </c>
      <c r="BW30" s="21">
        <v>340</v>
      </c>
      <c r="BX30" s="21">
        <v>340</v>
      </c>
      <c r="BY30" s="21">
        <v>270</v>
      </c>
      <c r="BZ30" s="21">
        <v>270</v>
      </c>
      <c r="CA30" s="21">
        <v>215</v>
      </c>
      <c r="CB30" s="21">
        <v>215</v>
      </c>
      <c r="CC30" s="21">
        <v>170</v>
      </c>
      <c r="CD30" s="21">
        <v>170</v>
      </c>
      <c r="CE30" s="21">
        <v>100</v>
      </c>
      <c r="CF30" s="21">
        <v>100</v>
      </c>
      <c r="CG30" s="21" t="s">
        <v>109</v>
      </c>
      <c r="CH30" s="21" t="s">
        <v>109</v>
      </c>
      <c r="CI30" s="21" t="s">
        <v>109</v>
      </c>
      <c r="CJ30" s="21" t="s">
        <v>109</v>
      </c>
      <c r="CK30" s="21" t="s">
        <v>109</v>
      </c>
      <c r="CL30" s="21" t="s">
        <v>109</v>
      </c>
      <c r="CM30" s="21" t="s">
        <v>109</v>
      </c>
      <c r="CN30" s="21" t="s">
        <v>109</v>
      </c>
      <c r="CO30" s="21" t="s">
        <v>109</v>
      </c>
      <c r="CP30" s="21" t="s">
        <v>109</v>
      </c>
      <c r="CQ30" s="21" t="s">
        <v>109</v>
      </c>
      <c r="CR30" s="21" t="s">
        <v>109</v>
      </c>
      <c r="CS30" s="21" t="s">
        <v>109</v>
      </c>
      <c r="CT30" s="21" t="s">
        <v>109</v>
      </c>
      <c r="CU30" s="21" t="s">
        <v>109</v>
      </c>
      <c r="CV30" s="21" t="s">
        <v>109</v>
      </c>
      <c r="CW30" s="21" t="s">
        <v>109</v>
      </c>
      <c r="CX30" s="21" t="s">
        <v>109</v>
      </c>
      <c r="CY30" s="21" t="s">
        <v>109</v>
      </c>
      <c r="CZ30" s="21" t="s">
        <v>109</v>
      </c>
      <c r="DB30" s="21">
        <f>INDEX(Z$30:CZ$34,5,MATCH(Calculator!$O$19,Z$2:CZ$2))</f>
        <v>3150</v>
      </c>
    </row>
    <row r="31" spans="2:106" x14ac:dyDescent="0.25">
      <c r="W31" s="20">
        <v>50</v>
      </c>
      <c r="X31" s="21" t="s">
        <v>136</v>
      </c>
      <c r="Y31" s="21">
        <v>32.729999999999997</v>
      </c>
      <c r="Z31" s="21">
        <v>3550</v>
      </c>
      <c r="AA31" s="21">
        <v>3550</v>
      </c>
      <c r="AB31" s="21">
        <v>3550</v>
      </c>
      <c r="AC31" s="21">
        <v>3550</v>
      </c>
      <c r="AD31" s="21">
        <v>3550</v>
      </c>
      <c r="AE31" s="21">
        <v>3550</v>
      </c>
      <c r="AF31" s="21">
        <v>3550</v>
      </c>
      <c r="AG31" s="21">
        <v>3550</v>
      </c>
      <c r="AH31" s="21">
        <v>3550</v>
      </c>
      <c r="AI31" s="21">
        <v>3550</v>
      </c>
      <c r="AJ31" s="21">
        <v>3550</v>
      </c>
      <c r="AK31" s="21">
        <v>3550</v>
      </c>
      <c r="AL31" s="21">
        <v>3550</v>
      </c>
      <c r="AM31" s="21">
        <v>3550</v>
      </c>
      <c r="AN31" s="21">
        <v>3550</v>
      </c>
      <c r="AO31" s="21">
        <v>3550</v>
      </c>
      <c r="AP31" s="21">
        <v>3550</v>
      </c>
      <c r="AQ31" s="21">
        <v>3550</v>
      </c>
      <c r="AR31" s="21">
        <v>3550</v>
      </c>
      <c r="AS31" s="21">
        <v>3250</v>
      </c>
      <c r="AT31" s="21">
        <v>3250</v>
      </c>
      <c r="AU31" s="21">
        <v>3050</v>
      </c>
      <c r="AV31" s="21">
        <v>3050</v>
      </c>
      <c r="AW31" s="21">
        <v>2720</v>
      </c>
      <c r="AX31" s="21">
        <v>2720</v>
      </c>
      <c r="AY31" s="21">
        <v>2500</v>
      </c>
      <c r="AZ31" s="21">
        <v>2500</v>
      </c>
      <c r="BA31" s="21">
        <v>2170</v>
      </c>
      <c r="BB31" s="21">
        <v>2170</v>
      </c>
      <c r="BC31" s="21">
        <v>1950</v>
      </c>
      <c r="BD31" s="21">
        <v>1950</v>
      </c>
      <c r="BE31" s="21">
        <v>1704</v>
      </c>
      <c r="BF31" s="21">
        <v>1704</v>
      </c>
      <c r="BG31" s="21">
        <v>1540</v>
      </c>
      <c r="BH31" s="21">
        <v>1540</v>
      </c>
      <c r="BI31" s="21">
        <v>1336</v>
      </c>
      <c r="BJ31" s="21">
        <v>1336</v>
      </c>
      <c r="BK31" s="21">
        <v>1200</v>
      </c>
      <c r="BL31" s="21">
        <v>1200</v>
      </c>
      <c r="BM31" s="21">
        <v>1050</v>
      </c>
      <c r="BN31" s="21">
        <v>1050</v>
      </c>
      <c r="BO31" s="21">
        <v>950</v>
      </c>
      <c r="BP31" s="21">
        <v>950</v>
      </c>
      <c r="BQ31" s="21">
        <v>824</v>
      </c>
      <c r="BR31" s="21">
        <v>824</v>
      </c>
      <c r="BS31" s="21">
        <v>740</v>
      </c>
      <c r="BT31" s="21">
        <v>740</v>
      </c>
      <c r="BU31" s="21">
        <v>638</v>
      </c>
      <c r="BV31" s="21">
        <v>638</v>
      </c>
      <c r="BW31" s="21">
        <v>570</v>
      </c>
      <c r="BX31" s="21">
        <v>570</v>
      </c>
      <c r="BY31" s="21">
        <v>480</v>
      </c>
      <c r="BZ31" s="21">
        <v>480</v>
      </c>
      <c r="CA31" s="21">
        <v>420</v>
      </c>
      <c r="CB31" s="21">
        <v>420</v>
      </c>
      <c r="CC31" s="21">
        <v>342</v>
      </c>
      <c r="CD31" s="21">
        <v>342</v>
      </c>
      <c r="CE31" s="21">
        <v>290</v>
      </c>
      <c r="CF31" s="21">
        <v>290</v>
      </c>
      <c r="CG31" s="21">
        <v>182</v>
      </c>
      <c r="CH31" s="21">
        <v>182</v>
      </c>
      <c r="CI31" s="21">
        <v>110</v>
      </c>
      <c r="CJ31" s="21">
        <v>110</v>
      </c>
      <c r="CK31" s="21" t="s">
        <v>109</v>
      </c>
      <c r="CL31" s="21" t="s">
        <v>109</v>
      </c>
      <c r="CM31" s="21" t="s">
        <v>109</v>
      </c>
      <c r="CN31" s="21" t="s">
        <v>109</v>
      </c>
      <c r="CO31" s="21" t="s">
        <v>109</v>
      </c>
      <c r="CP31" s="21" t="s">
        <v>109</v>
      </c>
      <c r="CQ31" s="21" t="s">
        <v>109</v>
      </c>
      <c r="CR31" s="21" t="s">
        <v>109</v>
      </c>
      <c r="CS31" s="21" t="s">
        <v>109</v>
      </c>
      <c r="CT31" s="21" t="s">
        <v>109</v>
      </c>
      <c r="CU31" s="21" t="s">
        <v>109</v>
      </c>
      <c r="CV31" s="21" t="s">
        <v>109</v>
      </c>
      <c r="CW31" s="21" t="s">
        <v>109</v>
      </c>
      <c r="CX31" s="21" t="s">
        <v>109</v>
      </c>
      <c r="CY31" s="21" t="s">
        <v>109</v>
      </c>
      <c r="CZ31" s="21" t="s">
        <v>109</v>
      </c>
      <c r="DB31" s="21">
        <f>INDEX(Z$30:CZ$34,4,MATCH(Calculator!$O$19,Z$2:CZ$2))</f>
        <v>3000</v>
      </c>
    </row>
    <row r="32" spans="2:106" x14ac:dyDescent="0.25">
      <c r="W32" s="20">
        <v>50</v>
      </c>
      <c r="X32" s="21" t="s">
        <v>137</v>
      </c>
      <c r="Y32" s="21">
        <v>37.020000000000003</v>
      </c>
      <c r="Z32" s="21">
        <v>3800</v>
      </c>
      <c r="AA32" s="21">
        <v>3800</v>
      </c>
      <c r="AB32" s="21">
        <v>3800</v>
      </c>
      <c r="AC32" s="21">
        <v>3800</v>
      </c>
      <c r="AD32" s="21">
        <v>3800</v>
      </c>
      <c r="AE32" s="21">
        <v>3800</v>
      </c>
      <c r="AF32" s="21">
        <v>3800</v>
      </c>
      <c r="AG32" s="21">
        <v>3800</v>
      </c>
      <c r="AH32" s="21">
        <v>3800</v>
      </c>
      <c r="AI32" s="21">
        <v>3800</v>
      </c>
      <c r="AJ32" s="21">
        <v>3800</v>
      </c>
      <c r="AK32" s="21">
        <v>3800</v>
      </c>
      <c r="AL32" s="21">
        <v>3800</v>
      </c>
      <c r="AM32" s="21">
        <v>3800</v>
      </c>
      <c r="AN32" s="21">
        <v>3800</v>
      </c>
      <c r="AO32" s="21">
        <v>3800</v>
      </c>
      <c r="AP32" s="21">
        <v>3800</v>
      </c>
      <c r="AQ32" s="21">
        <v>3800</v>
      </c>
      <c r="AR32" s="21">
        <v>3800</v>
      </c>
      <c r="AS32" s="21">
        <v>3470</v>
      </c>
      <c r="AT32" s="21">
        <v>3470</v>
      </c>
      <c r="AU32" s="21">
        <v>3250</v>
      </c>
      <c r="AV32" s="21">
        <v>3250</v>
      </c>
      <c r="AW32" s="21">
        <v>2980</v>
      </c>
      <c r="AX32" s="21">
        <v>2980</v>
      </c>
      <c r="AY32" s="21">
        <v>2800</v>
      </c>
      <c r="AZ32" s="21">
        <v>2800</v>
      </c>
      <c r="BA32" s="21">
        <v>2560</v>
      </c>
      <c r="BB32" s="21">
        <v>2560</v>
      </c>
      <c r="BC32" s="21">
        <v>2400</v>
      </c>
      <c r="BD32" s="21">
        <v>2400</v>
      </c>
      <c r="BE32" s="21">
        <v>2100</v>
      </c>
      <c r="BF32" s="21">
        <v>2100</v>
      </c>
      <c r="BG32" s="21">
        <v>1900</v>
      </c>
      <c r="BH32" s="21">
        <v>1900</v>
      </c>
      <c r="BI32" s="21">
        <v>1672</v>
      </c>
      <c r="BJ32" s="21">
        <v>1672</v>
      </c>
      <c r="BK32" s="21">
        <v>1520</v>
      </c>
      <c r="BL32" s="21">
        <v>1520</v>
      </c>
      <c r="BM32" s="21">
        <v>1328</v>
      </c>
      <c r="BN32" s="21">
        <v>1328</v>
      </c>
      <c r="BO32" s="21">
        <v>1200</v>
      </c>
      <c r="BP32" s="21">
        <v>1200</v>
      </c>
      <c r="BQ32" s="21">
        <v>1050</v>
      </c>
      <c r="BR32" s="21">
        <v>1050</v>
      </c>
      <c r="BS32" s="21">
        <v>950</v>
      </c>
      <c r="BT32" s="21">
        <v>950</v>
      </c>
      <c r="BU32" s="21">
        <v>824</v>
      </c>
      <c r="BV32" s="21">
        <v>824</v>
      </c>
      <c r="BW32" s="21">
        <v>740</v>
      </c>
      <c r="BX32" s="21">
        <v>740</v>
      </c>
      <c r="BY32" s="21">
        <v>632</v>
      </c>
      <c r="BZ32" s="21">
        <v>632</v>
      </c>
      <c r="CA32" s="21">
        <v>560</v>
      </c>
      <c r="CB32" s="21">
        <v>560</v>
      </c>
      <c r="CC32" s="21">
        <v>476</v>
      </c>
      <c r="CD32" s="21">
        <v>476</v>
      </c>
      <c r="CE32" s="21">
        <v>420</v>
      </c>
      <c r="CF32" s="21">
        <v>420</v>
      </c>
      <c r="CG32" s="21">
        <v>324</v>
      </c>
      <c r="CH32" s="21">
        <v>324</v>
      </c>
      <c r="CI32" s="21">
        <v>260</v>
      </c>
      <c r="CJ32" s="21">
        <v>260</v>
      </c>
      <c r="CK32" s="21" t="s">
        <v>109</v>
      </c>
      <c r="CL32" s="21" t="s">
        <v>109</v>
      </c>
      <c r="CM32" s="21" t="s">
        <v>109</v>
      </c>
      <c r="CN32" s="21" t="s">
        <v>109</v>
      </c>
      <c r="CO32" s="21" t="s">
        <v>109</v>
      </c>
      <c r="CP32" s="21" t="s">
        <v>109</v>
      </c>
      <c r="CQ32" s="21" t="s">
        <v>109</v>
      </c>
      <c r="CR32" s="21" t="s">
        <v>109</v>
      </c>
      <c r="CS32" s="21" t="s">
        <v>109</v>
      </c>
      <c r="CT32" s="21" t="s">
        <v>109</v>
      </c>
      <c r="CU32" s="21" t="s">
        <v>109</v>
      </c>
      <c r="CV32" s="21" t="s">
        <v>109</v>
      </c>
      <c r="CW32" s="21" t="s">
        <v>109</v>
      </c>
      <c r="CX32" s="21" t="s">
        <v>109</v>
      </c>
      <c r="CY32" s="21" t="s">
        <v>109</v>
      </c>
      <c r="CZ32" s="21" t="s">
        <v>109</v>
      </c>
      <c r="DB32" s="21">
        <f>INDEX(Z$30:CZ$34,3,MATCH(Calculator!$O$19,Z$2:CZ$2))</f>
        <v>2800</v>
      </c>
    </row>
    <row r="33" spans="6:106" x14ac:dyDescent="0.25">
      <c r="W33" s="20">
        <v>50</v>
      </c>
      <c r="X33" s="21" t="s">
        <v>138</v>
      </c>
      <c r="Y33" s="21">
        <v>40.79</v>
      </c>
      <c r="Z33" s="21">
        <v>4100</v>
      </c>
      <c r="AA33" s="21">
        <v>4100</v>
      </c>
      <c r="AB33" s="21">
        <v>4100</v>
      </c>
      <c r="AC33" s="21">
        <v>4100</v>
      </c>
      <c r="AD33" s="21">
        <v>4100</v>
      </c>
      <c r="AE33" s="21">
        <v>4100</v>
      </c>
      <c r="AF33" s="21">
        <v>4100</v>
      </c>
      <c r="AG33" s="21">
        <v>4100</v>
      </c>
      <c r="AH33" s="21">
        <v>4100</v>
      </c>
      <c r="AI33" s="21">
        <v>4100</v>
      </c>
      <c r="AJ33" s="21">
        <v>4100</v>
      </c>
      <c r="AK33" s="21">
        <v>4100</v>
      </c>
      <c r="AL33" s="21">
        <v>4100</v>
      </c>
      <c r="AM33" s="21">
        <v>4100</v>
      </c>
      <c r="AN33" s="21">
        <v>4100</v>
      </c>
      <c r="AO33" s="21">
        <v>4100</v>
      </c>
      <c r="AP33" s="21">
        <v>4100</v>
      </c>
      <c r="AQ33" s="21">
        <v>4100</v>
      </c>
      <c r="AR33" s="21">
        <v>4100</v>
      </c>
      <c r="AS33" s="21">
        <v>3740</v>
      </c>
      <c r="AT33" s="21">
        <v>3740</v>
      </c>
      <c r="AU33" s="21">
        <v>3500</v>
      </c>
      <c r="AV33" s="21">
        <v>3500</v>
      </c>
      <c r="AW33" s="21">
        <v>3200</v>
      </c>
      <c r="AX33" s="21">
        <v>3200</v>
      </c>
      <c r="AY33" s="21">
        <v>3000</v>
      </c>
      <c r="AZ33" s="21">
        <v>3000</v>
      </c>
      <c r="BA33" s="21">
        <v>2820</v>
      </c>
      <c r="BB33" s="21">
        <v>2820</v>
      </c>
      <c r="BC33" s="21">
        <v>2700</v>
      </c>
      <c r="BD33" s="21">
        <v>2700</v>
      </c>
      <c r="BE33" s="21">
        <v>2388</v>
      </c>
      <c r="BF33" s="21">
        <v>2388</v>
      </c>
      <c r="BG33" s="21">
        <v>2180</v>
      </c>
      <c r="BH33" s="21">
        <v>2180</v>
      </c>
      <c r="BI33" s="21">
        <v>1916</v>
      </c>
      <c r="BJ33" s="21">
        <v>1916</v>
      </c>
      <c r="BK33" s="21">
        <v>1740</v>
      </c>
      <c r="BL33" s="21">
        <v>1740</v>
      </c>
      <c r="BM33" s="21">
        <v>1536</v>
      </c>
      <c r="BN33" s="21">
        <v>1536</v>
      </c>
      <c r="BO33" s="21">
        <v>1400</v>
      </c>
      <c r="BP33" s="21">
        <v>1400</v>
      </c>
      <c r="BQ33" s="21">
        <v>1232</v>
      </c>
      <c r="BR33" s="21">
        <v>1232</v>
      </c>
      <c r="BS33" s="21">
        <v>1120</v>
      </c>
      <c r="BT33" s="21">
        <v>1120</v>
      </c>
      <c r="BU33" s="21">
        <v>976</v>
      </c>
      <c r="BV33" s="21">
        <v>976</v>
      </c>
      <c r="BW33" s="21">
        <v>880</v>
      </c>
      <c r="BX33" s="21">
        <v>880</v>
      </c>
      <c r="BY33" s="21">
        <v>772</v>
      </c>
      <c r="BZ33" s="21">
        <v>772</v>
      </c>
      <c r="CA33" s="21">
        <v>700</v>
      </c>
      <c r="CB33" s="21">
        <v>700</v>
      </c>
      <c r="CC33" s="21">
        <v>610</v>
      </c>
      <c r="CD33" s="21">
        <v>610</v>
      </c>
      <c r="CE33" s="21">
        <v>550</v>
      </c>
      <c r="CF33" s="21">
        <v>550</v>
      </c>
      <c r="CG33" s="21">
        <v>430</v>
      </c>
      <c r="CH33" s="21">
        <v>430</v>
      </c>
      <c r="CI33" s="21">
        <v>350</v>
      </c>
      <c r="CJ33" s="21">
        <v>350</v>
      </c>
      <c r="CK33" s="21">
        <v>200</v>
      </c>
      <c r="CL33" s="21">
        <v>200</v>
      </c>
      <c r="CM33" s="21">
        <v>100</v>
      </c>
      <c r="CN33" s="21">
        <v>100</v>
      </c>
      <c r="CO33" s="21" t="s">
        <v>109</v>
      </c>
      <c r="CP33" s="21" t="s">
        <v>109</v>
      </c>
      <c r="CQ33" s="21" t="s">
        <v>109</v>
      </c>
      <c r="CR33" s="21" t="s">
        <v>109</v>
      </c>
      <c r="CS33" s="21" t="s">
        <v>109</v>
      </c>
      <c r="CT33" s="21" t="s">
        <v>109</v>
      </c>
      <c r="CU33" s="21" t="s">
        <v>109</v>
      </c>
      <c r="CV33" s="21" t="s">
        <v>109</v>
      </c>
      <c r="CW33" s="21" t="s">
        <v>109</v>
      </c>
      <c r="CX33" s="21" t="s">
        <v>109</v>
      </c>
      <c r="CY33" s="21" t="s">
        <v>109</v>
      </c>
      <c r="CZ33" s="21" t="s">
        <v>109</v>
      </c>
      <c r="DB33" s="21">
        <f>INDEX(Z$30:CZ$34,2,MATCH(Calculator!$O$19,Z$2:CZ$2))</f>
        <v>2500</v>
      </c>
    </row>
    <row r="34" spans="6:106" x14ac:dyDescent="0.25">
      <c r="W34" s="20">
        <v>50</v>
      </c>
      <c r="X34" s="21" t="s">
        <v>139</v>
      </c>
      <c r="Y34" s="21">
        <v>44.5</v>
      </c>
      <c r="Z34" s="21">
        <v>4250</v>
      </c>
      <c r="AA34" s="21">
        <v>4250</v>
      </c>
      <c r="AB34" s="21">
        <v>4250</v>
      </c>
      <c r="AC34" s="21">
        <v>4250</v>
      </c>
      <c r="AD34" s="21">
        <v>4250</v>
      </c>
      <c r="AE34" s="21">
        <v>4250</v>
      </c>
      <c r="AF34" s="21">
        <v>4250</v>
      </c>
      <c r="AG34" s="21">
        <v>4250</v>
      </c>
      <c r="AH34" s="21">
        <v>4250</v>
      </c>
      <c r="AI34" s="21">
        <v>4250</v>
      </c>
      <c r="AJ34" s="21">
        <v>4250</v>
      </c>
      <c r="AK34" s="21">
        <v>4250</v>
      </c>
      <c r="AL34" s="21">
        <v>4250</v>
      </c>
      <c r="AM34" s="21">
        <v>4250</v>
      </c>
      <c r="AN34" s="21">
        <v>4250</v>
      </c>
      <c r="AO34" s="21">
        <v>4250</v>
      </c>
      <c r="AP34" s="21">
        <v>4250</v>
      </c>
      <c r="AQ34" s="21">
        <v>4250</v>
      </c>
      <c r="AR34" s="21">
        <v>4250</v>
      </c>
      <c r="AS34" s="21">
        <v>3890</v>
      </c>
      <c r="AT34" s="21">
        <v>3890</v>
      </c>
      <c r="AU34" s="21">
        <v>3650</v>
      </c>
      <c r="AV34" s="21">
        <v>3650</v>
      </c>
      <c r="AW34" s="21">
        <v>3350</v>
      </c>
      <c r="AX34" s="21">
        <v>3350</v>
      </c>
      <c r="AY34" s="21">
        <v>3150</v>
      </c>
      <c r="AZ34" s="21">
        <v>3150</v>
      </c>
      <c r="BA34" s="21">
        <v>2970</v>
      </c>
      <c r="BB34" s="21">
        <v>2970</v>
      </c>
      <c r="BC34" s="21">
        <v>2850</v>
      </c>
      <c r="BD34" s="21">
        <v>2850</v>
      </c>
      <c r="BE34" s="21">
        <v>2640</v>
      </c>
      <c r="BF34" s="21">
        <v>2640</v>
      </c>
      <c r="BG34" s="21">
        <v>2500</v>
      </c>
      <c r="BH34" s="21">
        <v>2500</v>
      </c>
      <c r="BI34" s="21">
        <v>2218</v>
      </c>
      <c r="BJ34" s="21">
        <v>2218</v>
      </c>
      <c r="BK34" s="21">
        <v>2030</v>
      </c>
      <c r="BL34" s="21">
        <v>2030</v>
      </c>
      <c r="BM34" s="21">
        <v>1802</v>
      </c>
      <c r="BN34" s="21">
        <v>1802</v>
      </c>
      <c r="BO34" s="21">
        <v>1650</v>
      </c>
      <c r="BP34" s="21">
        <v>1650</v>
      </c>
      <c r="BQ34" s="21">
        <v>1470</v>
      </c>
      <c r="BR34" s="21">
        <v>1470</v>
      </c>
      <c r="BS34" s="21">
        <v>1350</v>
      </c>
      <c r="BT34" s="21">
        <v>1350</v>
      </c>
      <c r="BU34" s="21">
        <v>1200</v>
      </c>
      <c r="BV34" s="21">
        <v>1200</v>
      </c>
      <c r="BW34" s="21">
        <v>1100</v>
      </c>
      <c r="BX34" s="21">
        <v>1100</v>
      </c>
      <c r="BY34" s="21">
        <v>974</v>
      </c>
      <c r="BZ34" s="21">
        <v>974</v>
      </c>
      <c r="CA34" s="21">
        <v>890</v>
      </c>
      <c r="CB34" s="21">
        <v>890</v>
      </c>
      <c r="CC34" s="21">
        <v>782</v>
      </c>
      <c r="CD34" s="21">
        <v>782</v>
      </c>
      <c r="CE34" s="21">
        <v>710</v>
      </c>
      <c r="CF34" s="21">
        <v>710</v>
      </c>
      <c r="CG34" s="21">
        <v>626</v>
      </c>
      <c r="CH34" s="21">
        <v>626</v>
      </c>
      <c r="CI34" s="21">
        <v>570</v>
      </c>
      <c r="CJ34" s="21">
        <v>570</v>
      </c>
      <c r="CK34" s="21">
        <v>492</v>
      </c>
      <c r="CL34" s="21">
        <v>492</v>
      </c>
      <c r="CM34" s="21">
        <v>440</v>
      </c>
      <c r="CN34" s="21">
        <v>440</v>
      </c>
      <c r="CO34" s="21">
        <v>374</v>
      </c>
      <c r="CP34" s="21">
        <v>374</v>
      </c>
      <c r="CQ34" s="21">
        <v>330</v>
      </c>
      <c r="CR34" s="21">
        <v>330</v>
      </c>
      <c r="CS34" s="21">
        <v>276</v>
      </c>
      <c r="CT34" s="21">
        <v>276</v>
      </c>
      <c r="CU34" s="21">
        <v>240</v>
      </c>
      <c r="CV34" s="21">
        <v>240</v>
      </c>
      <c r="CW34" s="21">
        <v>198</v>
      </c>
      <c r="CX34" s="21">
        <v>198</v>
      </c>
      <c r="CY34" s="21">
        <v>170</v>
      </c>
      <c r="CZ34" s="21">
        <v>170</v>
      </c>
      <c r="DB34" s="21">
        <f>INDEX(Z$30:CZ$34,1,MATCH(Calculator!$O$19,Z$2:CZ$2))</f>
        <v>1900</v>
      </c>
    </row>
    <row r="35" spans="6:106" x14ac:dyDescent="0.25"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1"/>
      <c r="CR35" s="21"/>
      <c r="CS35" s="21"/>
      <c r="CT35" s="21"/>
      <c r="CU35" s="21"/>
      <c r="CV35" s="21"/>
      <c r="CW35" s="21"/>
      <c r="CX35" s="21"/>
      <c r="CY35" s="21"/>
      <c r="CZ35" s="21"/>
      <c r="DB35" s="21"/>
    </row>
    <row r="36" spans="6:106" x14ac:dyDescent="0.25"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W36" s="20" t="s">
        <v>56</v>
      </c>
      <c r="X36" s="20" t="s">
        <v>101</v>
      </c>
      <c r="Y36" s="21" t="s">
        <v>102</v>
      </c>
      <c r="Z36" s="21">
        <v>350</v>
      </c>
      <c r="AA36" s="21">
        <v>375</v>
      </c>
      <c r="AB36" s="21">
        <v>400</v>
      </c>
      <c r="AC36" s="21">
        <v>425</v>
      </c>
      <c r="AD36" s="21">
        <v>450</v>
      </c>
      <c r="AE36" s="21">
        <v>475</v>
      </c>
      <c r="AF36" s="21">
        <v>500</v>
      </c>
      <c r="AG36" s="21">
        <v>525</v>
      </c>
      <c r="AH36" s="21">
        <v>550</v>
      </c>
      <c r="AI36" s="21">
        <v>575</v>
      </c>
      <c r="AJ36" s="21">
        <v>600</v>
      </c>
      <c r="AK36" s="21">
        <v>625</v>
      </c>
      <c r="AL36" s="21">
        <v>650</v>
      </c>
      <c r="AM36" s="21">
        <v>675</v>
      </c>
      <c r="AN36" s="21">
        <v>700</v>
      </c>
      <c r="AO36" s="21">
        <v>725</v>
      </c>
      <c r="AP36" s="21">
        <v>750</v>
      </c>
      <c r="AQ36" s="21">
        <v>775</v>
      </c>
      <c r="AR36" s="21">
        <v>800</v>
      </c>
      <c r="AS36" s="21">
        <v>825</v>
      </c>
      <c r="AT36" s="21">
        <v>850</v>
      </c>
      <c r="AU36" s="21">
        <v>875</v>
      </c>
      <c r="AV36" s="21">
        <v>900</v>
      </c>
      <c r="AW36" s="21">
        <v>925</v>
      </c>
      <c r="AX36" s="21">
        <v>950</v>
      </c>
      <c r="AY36" s="21">
        <v>975</v>
      </c>
      <c r="AZ36" s="21">
        <v>1000</v>
      </c>
      <c r="BA36" s="21">
        <v>1025</v>
      </c>
      <c r="BB36" s="21">
        <v>1050</v>
      </c>
      <c r="BC36" s="21">
        <v>1075</v>
      </c>
      <c r="BD36" s="21">
        <v>1100</v>
      </c>
      <c r="BE36" s="21">
        <v>1125</v>
      </c>
      <c r="BF36" s="21">
        <v>1150</v>
      </c>
      <c r="BG36" s="21">
        <v>1175</v>
      </c>
      <c r="BH36" s="21">
        <v>1200</v>
      </c>
      <c r="BI36" s="21">
        <v>1225</v>
      </c>
      <c r="BJ36" s="21">
        <v>1250</v>
      </c>
      <c r="BK36" s="21">
        <v>1275</v>
      </c>
      <c r="BL36" s="21">
        <v>1300</v>
      </c>
      <c r="BM36" s="21">
        <v>1325</v>
      </c>
      <c r="BN36" s="21">
        <v>1350</v>
      </c>
      <c r="BO36" s="21">
        <v>1375</v>
      </c>
      <c r="BP36" s="21">
        <v>1400</v>
      </c>
      <c r="BQ36" s="21">
        <v>1425</v>
      </c>
      <c r="BR36" s="21">
        <v>1450</v>
      </c>
      <c r="BS36" s="21">
        <v>1475</v>
      </c>
      <c r="BT36" s="21">
        <v>1500</v>
      </c>
      <c r="BU36" s="21">
        <v>1525</v>
      </c>
      <c r="BV36" s="21">
        <v>1550</v>
      </c>
      <c r="BW36" s="21">
        <v>1575</v>
      </c>
      <c r="BX36" s="21">
        <v>1600</v>
      </c>
      <c r="BY36" s="21">
        <v>1625</v>
      </c>
      <c r="BZ36" s="21">
        <v>1650</v>
      </c>
      <c r="CA36" s="21">
        <v>1675</v>
      </c>
      <c r="CB36" s="21">
        <v>1700</v>
      </c>
      <c r="CC36" s="21">
        <v>1725</v>
      </c>
      <c r="CD36" s="21">
        <v>1750</v>
      </c>
      <c r="CE36" s="21">
        <v>1775</v>
      </c>
      <c r="CF36" s="21">
        <v>1800</v>
      </c>
      <c r="CG36" s="21">
        <v>1825</v>
      </c>
      <c r="CH36" s="21">
        <v>1850</v>
      </c>
      <c r="CI36" s="21">
        <v>1875</v>
      </c>
      <c r="CJ36" s="21">
        <v>1900</v>
      </c>
      <c r="CK36" s="21">
        <v>1925</v>
      </c>
      <c r="CL36" s="21">
        <v>1950</v>
      </c>
      <c r="CM36" s="21">
        <v>1975</v>
      </c>
      <c r="CN36" s="21">
        <v>2000</v>
      </c>
      <c r="CO36" s="21">
        <v>2025</v>
      </c>
      <c r="CP36" s="21">
        <v>2050</v>
      </c>
      <c r="CQ36" s="21">
        <v>2075</v>
      </c>
      <c r="CR36" s="21">
        <v>2100</v>
      </c>
      <c r="CS36" s="21">
        <v>2125</v>
      </c>
      <c r="CT36" s="21">
        <v>2150</v>
      </c>
      <c r="CU36" s="21">
        <v>2175</v>
      </c>
      <c r="CV36" s="21">
        <v>2200</v>
      </c>
      <c r="CW36" s="21">
        <v>2225</v>
      </c>
      <c r="CX36" s="21">
        <v>2250</v>
      </c>
      <c r="CY36" s="21">
        <v>2275</v>
      </c>
      <c r="CZ36" s="21">
        <v>2300</v>
      </c>
      <c r="DB36" s="21"/>
    </row>
    <row r="37" spans="6:106" x14ac:dyDescent="0.25">
      <c r="W37" s="20">
        <v>16</v>
      </c>
      <c r="X37" s="21" t="s">
        <v>108</v>
      </c>
      <c r="Y37" s="21">
        <v>6.19</v>
      </c>
      <c r="Z37" s="21">
        <v>2220</v>
      </c>
      <c r="AA37" s="21">
        <v>1890</v>
      </c>
      <c r="AB37" s="21">
        <v>1630</v>
      </c>
      <c r="AC37" s="21">
        <v>1410</v>
      </c>
      <c r="AD37" s="21">
        <v>1220</v>
      </c>
      <c r="AE37" s="21">
        <v>1060</v>
      </c>
      <c r="AF37" s="21">
        <v>930</v>
      </c>
      <c r="AG37" s="21">
        <v>810</v>
      </c>
      <c r="AH37" s="21">
        <v>680</v>
      </c>
      <c r="AI37" s="21">
        <v>580</v>
      </c>
      <c r="AJ37" s="21">
        <v>490</v>
      </c>
      <c r="AK37" s="21">
        <v>400</v>
      </c>
      <c r="AL37" s="21">
        <v>330</v>
      </c>
      <c r="AM37" s="21">
        <v>270</v>
      </c>
      <c r="AN37" s="21">
        <v>210</v>
      </c>
      <c r="AO37" s="21">
        <v>160</v>
      </c>
      <c r="AP37" s="21" t="s">
        <v>109</v>
      </c>
      <c r="AQ37" s="21" t="s">
        <v>109</v>
      </c>
      <c r="AR37" s="21" t="s">
        <v>109</v>
      </c>
      <c r="AS37" s="21" t="s">
        <v>109</v>
      </c>
      <c r="AT37" s="21" t="s">
        <v>109</v>
      </c>
      <c r="AU37" s="21" t="s">
        <v>109</v>
      </c>
      <c r="AV37" s="21" t="s">
        <v>109</v>
      </c>
      <c r="AW37" s="21" t="s">
        <v>109</v>
      </c>
      <c r="AX37" s="21" t="s">
        <v>109</v>
      </c>
      <c r="AY37" s="21" t="s">
        <v>109</v>
      </c>
      <c r="AZ37" s="21" t="s">
        <v>109</v>
      </c>
      <c r="BA37" s="21" t="s">
        <v>109</v>
      </c>
      <c r="BB37" s="21" t="s">
        <v>109</v>
      </c>
      <c r="BC37" s="21" t="s">
        <v>109</v>
      </c>
      <c r="BD37" s="21" t="s">
        <v>109</v>
      </c>
      <c r="BE37" s="21" t="s">
        <v>109</v>
      </c>
      <c r="BF37" s="21" t="s">
        <v>109</v>
      </c>
      <c r="BG37" s="21" t="s">
        <v>109</v>
      </c>
      <c r="BH37" s="21" t="s">
        <v>109</v>
      </c>
      <c r="BI37" s="21" t="s">
        <v>109</v>
      </c>
      <c r="BJ37" s="21" t="s">
        <v>109</v>
      </c>
      <c r="BK37" s="21" t="s">
        <v>109</v>
      </c>
      <c r="BL37" s="21" t="s">
        <v>109</v>
      </c>
      <c r="BM37" s="21" t="s">
        <v>109</v>
      </c>
      <c r="BN37" s="21" t="s">
        <v>109</v>
      </c>
      <c r="BO37" s="21" t="s">
        <v>109</v>
      </c>
      <c r="BP37" s="21" t="s">
        <v>109</v>
      </c>
      <c r="BQ37" s="21" t="s">
        <v>109</v>
      </c>
      <c r="BR37" s="21" t="s">
        <v>109</v>
      </c>
      <c r="BS37" s="21" t="s">
        <v>109</v>
      </c>
      <c r="BT37" s="21" t="s">
        <v>109</v>
      </c>
      <c r="BU37" s="21" t="s">
        <v>109</v>
      </c>
      <c r="BV37" s="21" t="s">
        <v>109</v>
      </c>
      <c r="BW37" s="21" t="s">
        <v>109</v>
      </c>
      <c r="BX37" s="21" t="s">
        <v>109</v>
      </c>
      <c r="BY37" s="21" t="s">
        <v>109</v>
      </c>
      <c r="BZ37" s="21" t="s">
        <v>109</v>
      </c>
      <c r="CA37" s="21" t="s">
        <v>109</v>
      </c>
      <c r="CB37" s="21" t="s">
        <v>109</v>
      </c>
      <c r="CC37" s="21" t="s">
        <v>109</v>
      </c>
      <c r="CD37" s="21" t="s">
        <v>109</v>
      </c>
      <c r="CE37" s="21" t="s">
        <v>109</v>
      </c>
      <c r="CF37" s="21" t="s">
        <v>109</v>
      </c>
      <c r="CG37" s="21" t="s">
        <v>109</v>
      </c>
      <c r="CH37" s="21" t="s">
        <v>109</v>
      </c>
      <c r="CI37" s="21" t="s">
        <v>109</v>
      </c>
      <c r="CJ37" s="21" t="s">
        <v>109</v>
      </c>
      <c r="CK37" s="21" t="s">
        <v>109</v>
      </c>
      <c r="CL37" s="21" t="s">
        <v>109</v>
      </c>
      <c r="CM37" s="21" t="s">
        <v>109</v>
      </c>
      <c r="CN37" s="21" t="s">
        <v>109</v>
      </c>
      <c r="CO37" s="21" t="s">
        <v>109</v>
      </c>
      <c r="CP37" s="21" t="s">
        <v>109</v>
      </c>
      <c r="CQ37" s="21" t="s">
        <v>109</v>
      </c>
      <c r="CR37" s="21" t="s">
        <v>109</v>
      </c>
      <c r="CS37" s="21" t="s">
        <v>109</v>
      </c>
      <c r="CT37" s="21" t="s">
        <v>109</v>
      </c>
      <c r="CU37" s="21" t="s">
        <v>109</v>
      </c>
      <c r="CV37" s="21" t="s">
        <v>109</v>
      </c>
      <c r="CW37" s="21" t="s">
        <v>109</v>
      </c>
      <c r="CX37" s="21" t="s">
        <v>109</v>
      </c>
      <c r="CY37" s="21" t="s">
        <v>109</v>
      </c>
      <c r="CZ37" s="21" t="s">
        <v>109</v>
      </c>
      <c r="DB37" s="21" t="str">
        <f>INDEX(Z$37:CZ$40,4,MATCH(Calculator!$O$19,Z$2:CZ$2))</f>
        <v>N</v>
      </c>
    </row>
    <row r="38" spans="6:106" x14ac:dyDescent="0.25">
      <c r="W38" s="20">
        <v>16</v>
      </c>
      <c r="X38" s="21" t="s">
        <v>111</v>
      </c>
      <c r="Y38" s="21">
        <v>7.06</v>
      </c>
      <c r="Z38" s="21">
        <v>2340</v>
      </c>
      <c r="AA38" s="21">
        <v>2160</v>
      </c>
      <c r="AB38" s="21">
        <v>1900</v>
      </c>
      <c r="AC38" s="21">
        <v>1650</v>
      </c>
      <c r="AD38" s="21">
        <v>1440</v>
      </c>
      <c r="AE38" s="21">
        <v>1260</v>
      </c>
      <c r="AF38" s="21">
        <v>1100</v>
      </c>
      <c r="AG38" s="21">
        <v>960</v>
      </c>
      <c r="AH38" s="21">
        <v>820</v>
      </c>
      <c r="AI38" s="21">
        <v>710</v>
      </c>
      <c r="AJ38" s="21">
        <v>600</v>
      </c>
      <c r="AK38" s="21">
        <v>510</v>
      </c>
      <c r="AL38" s="21">
        <v>430</v>
      </c>
      <c r="AM38" s="21">
        <v>360</v>
      </c>
      <c r="AN38" s="21">
        <v>300</v>
      </c>
      <c r="AO38" s="21">
        <v>240</v>
      </c>
      <c r="AP38" s="21">
        <v>190</v>
      </c>
      <c r="AQ38" s="21" t="s">
        <v>109</v>
      </c>
      <c r="AR38" s="21" t="s">
        <v>109</v>
      </c>
      <c r="AS38" s="21" t="s">
        <v>109</v>
      </c>
      <c r="AT38" s="21" t="s">
        <v>109</v>
      </c>
      <c r="AU38" s="21" t="s">
        <v>109</v>
      </c>
      <c r="AV38" s="21" t="s">
        <v>109</v>
      </c>
      <c r="AW38" s="21" t="s">
        <v>109</v>
      </c>
      <c r="AX38" s="21" t="s">
        <v>109</v>
      </c>
      <c r="AY38" s="21" t="s">
        <v>109</v>
      </c>
      <c r="AZ38" s="21" t="s">
        <v>109</v>
      </c>
      <c r="BA38" s="21" t="s">
        <v>109</v>
      </c>
      <c r="BB38" s="21" t="s">
        <v>109</v>
      </c>
      <c r="BC38" s="21" t="s">
        <v>109</v>
      </c>
      <c r="BD38" s="21" t="s">
        <v>109</v>
      </c>
      <c r="BE38" s="21" t="s">
        <v>109</v>
      </c>
      <c r="BF38" s="21" t="s">
        <v>109</v>
      </c>
      <c r="BG38" s="21" t="s">
        <v>109</v>
      </c>
      <c r="BH38" s="21" t="s">
        <v>109</v>
      </c>
      <c r="BI38" s="21" t="s">
        <v>109</v>
      </c>
      <c r="BJ38" s="21" t="s">
        <v>109</v>
      </c>
      <c r="BK38" s="21" t="s">
        <v>109</v>
      </c>
      <c r="BL38" s="21" t="s">
        <v>109</v>
      </c>
      <c r="BM38" s="21" t="s">
        <v>109</v>
      </c>
      <c r="BN38" s="21" t="s">
        <v>109</v>
      </c>
      <c r="BO38" s="21" t="s">
        <v>109</v>
      </c>
      <c r="BP38" s="21" t="s">
        <v>109</v>
      </c>
      <c r="BQ38" s="21" t="s">
        <v>109</v>
      </c>
      <c r="BR38" s="21" t="s">
        <v>109</v>
      </c>
      <c r="BS38" s="21" t="s">
        <v>109</v>
      </c>
      <c r="BT38" s="21" t="s">
        <v>109</v>
      </c>
      <c r="BU38" s="21" t="s">
        <v>109</v>
      </c>
      <c r="BV38" s="21" t="s">
        <v>109</v>
      </c>
      <c r="BW38" s="21" t="s">
        <v>109</v>
      </c>
      <c r="BX38" s="21" t="s">
        <v>109</v>
      </c>
      <c r="BY38" s="21" t="s">
        <v>109</v>
      </c>
      <c r="BZ38" s="21" t="s">
        <v>109</v>
      </c>
      <c r="CA38" s="21" t="s">
        <v>109</v>
      </c>
      <c r="CB38" s="21" t="s">
        <v>109</v>
      </c>
      <c r="CC38" s="21" t="s">
        <v>109</v>
      </c>
      <c r="CD38" s="21" t="s">
        <v>109</v>
      </c>
      <c r="CE38" s="21" t="s">
        <v>109</v>
      </c>
      <c r="CF38" s="21" t="s">
        <v>109</v>
      </c>
      <c r="CG38" s="21" t="s">
        <v>109</v>
      </c>
      <c r="CH38" s="21" t="s">
        <v>109</v>
      </c>
      <c r="CI38" s="21" t="s">
        <v>109</v>
      </c>
      <c r="CJ38" s="21" t="s">
        <v>109</v>
      </c>
      <c r="CK38" s="21" t="s">
        <v>109</v>
      </c>
      <c r="CL38" s="21" t="s">
        <v>109</v>
      </c>
      <c r="CM38" s="21" t="s">
        <v>109</v>
      </c>
      <c r="CN38" s="21" t="s">
        <v>109</v>
      </c>
      <c r="CO38" s="21" t="s">
        <v>109</v>
      </c>
      <c r="CP38" s="21" t="s">
        <v>109</v>
      </c>
      <c r="CQ38" s="21" t="s">
        <v>109</v>
      </c>
      <c r="CR38" s="21" t="s">
        <v>109</v>
      </c>
      <c r="CS38" s="21" t="s">
        <v>109</v>
      </c>
      <c r="CT38" s="21" t="s">
        <v>109</v>
      </c>
      <c r="CU38" s="21" t="s">
        <v>109</v>
      </c>
      <c r="CV38" s="21" t="s">
        <v>109</v>
      </c>
      <c r="CW38" s="21" t="s">
        <v>109</v>
      </c>
      <c r="CX38" s="21" t="s">
        <v>109</v>
      </c>
      <c r="CY38" s="21" t="s">
        <v>109</v>
      </c>
      <c r="CZ38" s="21" t="s">
        <v>109</v>
      </c>
      <c r="DB38" s="21" t="str">
        <f>INDEX(Z$37:CZ$40,3,MATCH(Calculator!$O$19,Z$2:CZ$2))</f>
        <v>N</v>
      </c>
    </row>
    <row r="39" spans="6:106" ht="15.75" x14ac:dyDescent="0.25"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W39" s="20">
        <v>16</v>
      </c>
      <c r="X39" s="21" t="s">
        <v>113</v>
      </c>
      <c r="Y39" s="21">
        <v>7.9</v>
      </c>
      <c r="Z39" s="21">
        <v>2400</v>
      </c>
      <c r="AA39" s="21">
        <v>2220</v>
      </c>
      <c r="AB39" s="21">
        <v>2060</v>
      </c>
      <c r="AC39" s="21">
        <v>1880</v>
      </c>
      <c r="AD39" s="21">
        <v>1640</v>
      </c>
      <c r="AE39" s="21">
        <v>1440</v>
      </c>
      <c r="AF39" s="21">
        <v>1270</v>
      </c>
      <c r="AG39" s="21">
        <v>1110</v>
      </c>
      <c r="AH39" s="21">
        <v>960</v>
      </c>
      <c r="AI39" s="21">
        <v>830</v>
      </c>
      <c r="AJ39" s="21">
        <v>720</v>
      </c>
      <c r="AK39" s="21">
        <v>620</v>
      </c>
      <c r="AL39" s="21">
        <v>530</v>
      </c>
      <c r="AM39" s="21">
        <v>450</v>
      </c>
      <c r="AN39" s="21">
        <v>380</v>
      </c>
      <c r="AO39" s="21">
        <v>320</v>
      </c>
      <c r="AP39" s="21">
        <v>260</v>
      </c>
      <c r="AQ39" s="21">
        <v>210</v>
      </c>
      <c r="AR39" s="21" t="s">
        <v>109</v>
      </c>
      <c r="AS39" s="21" t="s">
        <v>109</v>
      </c>
      <c r="AT39" s="21" t="s">
        <v>109</v>
      </c>
      <c r="AU39" s="21" t="s">
        <v>109</v>
      </c>
      <c r="AV39" s="21" t="s">
        <v>109</v>
      </c>
      <c r="AW39" s="21" t="s">
        <v>109</v>
      </c>
      <c r="AX39" s="21" t="s">
        <v>109</v>
      </c>
      <c r="AY39" s="21" t="s">
        <v>109</v>
      </c>
      <c r="AZ39" s="21" t="s">
        <v>109</v>
      </c>
      <c r="BA39" s="21" t="s">
        <v>109</v>
      </c>
      <c r="BB39" s="21" t="s">
        <v>109</v>
      </c>
      <c r="BC39" s="21" t="s">
        <v>109</v>
      </c>
      <c r="BD39" s="21" t="s">
        <v>109</v>
      </c>
      <c r="BE39" s="21" t="s">
        <v>109</v>
      </c>
      <c r="BF39" s="21" t="s">
        <v>109</v>
      </c>
      <c r="BG39" s="21" t="s">
        <v>109</v>
      </c>
      <c r="BH39" s="21" t="s">
        <v>109</v>
      </c>
      <c r="BI39" s="21" t="s">
        <v>109</v>
      </c>
      <c r="BJ39" s="21" t="s">
        <v>109</v>
      </c>
      <c r="BK39" s="21" t="s">
        <v>109</v>
      </c>
      <c r="BL39" s="21" t="s">
        <v>109</v>
      </c>
      <c r="BM39" s="21" t="s">
        <v>109</v>
      </c>
      <c r="BN39" s="21" t="s">
        <v>109</v>
      </c>
      <c r="BO39" s="21" t="s">
        <v>109</v>
      </c>
      <c r="BP39" s="21" t="s">
        <v>109</v>
      </c>
      <c r="BQ39" s="21" t="s">
        <v>109</v>
      </c>
      <c r="BR39" s="21" t="s">
        <v>109</v>
      </c>
      <c r="BS39" s="21" t="s">
        <v>109</v>
      </c>
      <c r="BT39" s="21" t="s">
        <v>109</v>
      </c>
      <c r="BU39" s="21" t="s">
        <v>109</v>
      </c>
      <c r="BV39" s="21" t="s">
        <v>109</v>
      </c>
      <c r="BW39" s="21" t="s">
        <v>109</v>
      </c>
      <c r="BX39" s="21" t="s">
        <v>109</v>
      </c>
      <c r="BY39" s="21" t="s">
        <v>109</v>
      </c>
      <c r="BZ39" s="21" t="s">
        <v>109</v>
      </c>
      <c r="CA39" s="21" t="s">
        <v>109</v>
      </c>
      <c r="CB39" s="21" t="s">
        <v>109</v>
      </c>
      <c r="CC39" s="21" t="s">
        <v>109</v>
      </c>
      <c r="CD39" s="21" t="s">
        <v>109</v>
      </c>
      <c r="CE39" s="21" t="s">
        <v>109</v>
      </c>
      <c r="CF39" s="21" t="s">
        <v>109</v>
      </c>
      <c r="CG39" s="21" t="s">
        <v>109</v>
      </c>
      <c r="CH39" s="21" t="s">
        <v>109</v>
      </c>
      <c r="CI39" s="21" t="s">
        <v>109</v>
      </c>
      <c r="CJ39" s="21" t="s">
        <v>109</v>
      </c>
      <c r="CK39" s="21" t="s">
        <v>109</v>
      </c>
      <c r="CL39" s="21" t="s">
        <v>109</v>
      </c>
      <c r="CM39" s="21" t="s">
        <v>109</v>
      </c>
      <c r="CN39" s="21" t="s">
        <v>109</v>
      </c>
      <c r="CO39" s="21" t="s">
        <v>109</v>
      </c>
      <c r="CP39" s="21" t="s">
        <v>109</v>
      </c>
      <c r="CQ39" s="21" t="s">
        <v>109</v>
      </c>
      <c r="CR39" s="21" t="s">
        <v>109</v>
      </c>
      <c r="CS39" s="21" t="s">
        <v>109</v>
      </c>
      <c r="CT39" s="21" t="s">
        <v>109</v>
      </c>
      <c r="CU39" s="21" t="s">
        <v>109</v>
      </c>
      <c r="CV39" s="21" t="s">
        <v>109</v>
      </c>
      <c r="CW39" s="21" t="s">
        <v>109</v>
      </c>
      <c r="CX39" s="21" t="s">
        <v>109</v>
      </c>
      <c r="CY39" s="21" t="s">
        <v>109</v>
      </c>
      <c r="CZ39" s="21" t="s">
        <v>109</v>
      </c>
      <c r="DB39" s="21" t="str">
        <f>INDEX(Z$37:CZ$40,2,MATCH(Calculator!$O$19,Z$2:CZ$2))</f>
        <v>N</v>
      </c>
    </row>
    <row r="40" spans="6:106" x14ac:dyDescent="0.25">
      <c r="W40" s="20">
        <v>16</v>
      </c>
      <c r="X40" s="21" t="s">
        <v>115</v>
      </c>
      <c r="Y40" s="21">
        <v>8.6999999999999993</v>
      </c>
      <c r="Z40" s="21">
        <v>2470</v>
      </c>
      <c r="AA40" s="21">
        <v>2280</v>
      </c>
      <c r="AB40" s="21">
        <v>2120</v>
      </c>
      <c r="AC40" s="21">
        <v>1980</v>
      </c>
      <c r="AD40" s="21">
        <v>1840</v>
      </c>
      <c r="AE40" s="21">
        <v>1620</v>
      </c>
      <c r="AF40" s="21">
        <v>1430</v>
      </c>
      <c r="AG40" s="21">
        <v>1250</v>
      </c>
      <c r="AH40" s="21">
        <v>1090</v>
      </c>
      <c r="AI40" s="21">
        <v>950</v>
      </c>
      <c r="AJ40" s="21">
        <v>830</v>
      </c>
      <c r="AK40" s="21">
        <v>720</v>
      </c>
      <c r="AL40" s="21">
        <v>620</v>
      </c>
      <c r="AM40" s="21">
        <v>540</v>
      </c>
      <c r="AN40" s="21">
        <v>460</v>
      </c>
      <c r="AO40" s="21">
        <v>390</v>
      </c>
      <c r="AP40" s="21">
        <v>330</v>
      </c>
      <c r="AQ40" s="21">
        <v>280</v>
      </c>
      <c r="AR40" s="21">
        <v>150</v>
      </c>
      <c r="AS40" s="21" t="s">
        <v>109</v>
      </c>
      <c r="AT40" s="21" t="s">
        <v>109</v>
      </c>
      <c r="AU40" s="21" t="s">
        <v>109</v>
      </c>
      <c r="AV40" s="21" t="s">
        <v>109</v>
      </c>
      <c r="AW40" s="21" t="s">
        <v>109</v>
      </c>
      <c r="AX40" s="21" t="s">
        <v>109</v>
      </c>
      <c r="AY40" s="21" t="s">
        <v>109</v>
      </c>
      <c r="AZ40" s="21" t="s">
        <v>109</v>
      </c>
      <c r="BA40" s="21" t="s">
        <v>109</v>
      </c>
      <c r="BB40" s="21" t="s">
        <v>109</v>
      </c>
      <c r="BC40" s="21" t="s">
        <v>109</v>
      </c>
      <c r="BD40" s="21" t="s">
        <v>109</v>
      </c>
      <c r="BE40" s="21" t="s">
        <v>109</v>
      </c>
      <c r="BF40" s="21" t="s">
        <v>109</v>
      </c>
      <c r="BG40" s="21" t="s">
        <v>109</v>
      </c>
      <c r="BH40" s="21" t="s">
        <v>109</v>
      </c>
      <c r="BI40" s="21" t="s">
        <v>109</v>
      </c>
      <c r="BJ40" s="21" t="s">
        <v>109</v>
      </c>
      <c r="BK40" s="21" t="s">
        <v>109</v>
      </c>
      <c r="BL40" s="21" t="s">
        <v>109</v>
      </c>
      <c r="BM40" s="21" t="s">
        <v>109</v>
      </c>
      <c r="BN40" s="21" t="s">
        <v>109</v>
      </c>
      <c r="BO40" s="21" t="s">
        <v>109</v>
      </c>
      <c r="BP40" s="21" t="s">
        <v>109</v>
      </c>
      <c r="BQ40" s="21" t="s">
        <v>109</v>
      </c>
      <c r="BR40" s="21" t="s">
        <v>109</v>
      </c>
      <c r="BS40" s="21" t="s">
        <v>109</v>
      </c>
      <c r="BT40" s="21" t="s">
        <v>109</v>
      </c>
      <c r="BU40" s="21" t="s">
        <v>109</v>
      </c>
      <c r="BV40" s="21" t="s">
        <v>109</v>
      </c>
      <c r="BW40" s="21" t="s">
        <v>109</v>
      </c>
      <c r="BX40" s="21" t="s">
        <v>109</v>
      </c>
      <c r="BY40" s="21" t="s">
        <v>109</v>
      </c>
      <c r="BZ40" s="21" t="s">
        <v>109</v>
      </c>
      <c r="CA40" s="21" t="s">
        <v>109</v>
      </c>
      <c r="CB40" s="21" t="s">
        <v>109</v>
      </c>
      <c r="CC40" s="21" t="s">
        <v>109</v>
      </c>
      <c r="CD40" s="21" t="s">
        <v>109</v>
      </c>
      <c r="CE40" s="21" t="s">
        <v>109</v>
      </c>
      <c r="CF40" s="21" t="s">
        <v>109</v>
      </c>
      <c r="CG40" s="21" t="s">
        <v>109</v>
      </c>
      <c r="CH40" s="21" t="s">
        <v>109</v>
      </c>
      <c r="CI40" s="21" t="s">
        <v>109</v>
      </c>
      <c r="CJ40" s="21" t="s">
        <v>109</v>
      </c>
      <c r="CK40" s="21" t="s">
        <v>109</v>
      </c>
      <c r="CL40" s="21" t="s">
        <v>109</v>
      </c>
      <c r="CM40" s="21" t="s">
        <v>109</v>
      </c>
      <c r="CN40" s="21" t="s">
        <v>109</v>
      </c>
      <c r="CO40" s="21" t="s">
        <v>109</v>
      </c>
      <c r="CP40" s="21" t="s">
        <v>109</v>
      </c>
      <c r="CQ40" s="21" t="s">
        <v>109</v>
      </c>
      <c r="CR40" s="21" t="s">
        <v>109</v>
      </c>
      <c r="CS40" s="21" t="s">
        <v>109</v>
      </c>
      <c r="CT40" s="21" t="s">
        <v>109</v>
      </c>
      <c r="CU40" s="21" t="s">
        <v>109</v>
      </c>
      <c r="CV40" s="21" t="s">
        <v>109</v>
      </c>
      <c r="CW40" s="21" t="s">
        <v>109</v>
      </c>
      <c r="CX40" s="21" t="s">
        <v>109</v>
      </c>
      <c r="CY40" s="21" t="s">
        <v>109</v>
      </c>
      <c r="CZ40" s="21" t="s">
        <v>109</v>
      </c>
      <c r="DB40" s="21" t="str">
        <f>INDEX(Z$37:CZ$40,1,MATCH(Calculator!$O$19,Z$2:CZ$2))</f>
        <v>N</v>
      </c>
    </row>
    <row r="41" spans="6:106" x14ac:dyDescent="0.25">
      <c r="W41" s="20">
        <v>20</v>
      </c>
      <c r="X41" s="21" t="s">
        <v>116</v>
      </c>
      <c r="Y41" s="21">
        <v>8.8800000000000008</v>
      </c>
      <c r="Z41" s="21">
        <v>2290</v>
      </c>
      <c r="AA41" s="21">
        <v>2110</v>
      </c>
      <c r="AB41" s="21">
        <v>1960</v>
      </c>
      <c r="AC41" s="21">
        <v>1820</v>
      </c>
      <c r="AD41" s="21">
        <v>1700</v>
      </c>
      <c r="AE41" s="21">
        <v>1590</v>
      </c>
      <c r="AF41" s="21">
        <v>1430</v>
      </c>
      <c r="AG41" s="21">
        <v>1260</v>
      </c>
      <c r="AH41" s="21">
        <v>1120</v>
      </c>
      <c r="AI41" s="21">
        <v>990</v>
      </c>
      <c r="AJ41" s="21">
        <v>880</v>
      </c>
      <c r="AK41" s="21">
        <v>790</v>
      </c>
      <c r="AL41" s="21">
        <v>700</v>
      </c>
      <c r="AM41" s="21">
        <v>620</v>
      </c>
      <c r="AN41" s="21">
        <v>530</v>
      </c>
      <c r="AO41" s="21">
        <v>460</v>
      </c>
      <c r="AP41" s="21">
        <v>390</v>
      </c>
      <c r="AQ41" s="21">
        <v>330</v>
      </c>
      <c r="AR41" s="21">
        <v>270</v>
      </c>
      <c r="AS41" s="21">
        <v>220</v>
      </c>
      <c r="AT41" s="21">
        <v>180</v>
      </c>
      <c r="AU41" s="21" t="s">
        <v>109</v>
      </c>
      <c r="AV41" s="21" t="s">
        <v>109</v>
      </c>
      <c r="AW41" s="21" t="s">
        <v>109</v>
      </c>
      <c r="AX41" s="21" t="s">
        <v>109</v>
      </c>
      <c r="AY41" s="21" t="s">
        <v>109</v>
      </c>
      <c r="AZ41" s="21" t="s">
        <v>109</v>
      </c>
      <c r="BA41" s="21" t="s">
        <v>109</v>
      </c>
      <c r="BB41" s="21" t="s">
        <v>109</v>
      </c>
      <c r="BC41" s="21" t="s">
        <v>109</v>
      </c>
      <c r="BD41" s="21" t="s">
        <v>109</v>
      </c>
      <c r="BE41" s="21" t="s">
        <v>109</v>
      </c>
      <c r="BF41" s="21" t="s">
        <v>109</v>
      </c>
      <c r="BG41" s="21" t="s">
        <v>109</v>
      </c>
      <c r="BH41" s="21" t="s">
        <v>109</v>
      </c>
      <c r="BI41" s="21" t="s">
        <v>109</v>
      </c>
      <c r="BJ41" s="21" t="s">
        <v>109</v>
      </c>
      <c r="BK41" s="21" t="s">
        <v>109</v>
      </c>
      <c r="BL41" s="21" t="s">
        <v>109</v>
      </c>
      <c r="BM41" s="21" t="s">
        <v>109</v>
      </c>
      <c r="BN41" s="21" t="s">
        <v>109</v>
      </c>
      <c r="BO41" s="21" t="s">
        <v>109</v>
      </c>
      <c r="BP41" s="21" t="s">
        <v>109</v>
      </c>
      <c r="BQ41" s="21" t="s">
        <v>109</v>
      </c>
      <c r="BR41" s="21" t="s">
        <v>109</v>
      </c>
      <c r="BS41" s="21" t="s">
        <v>109</v>
      </c>
      <c r="BT41" s="21" t="s">
        <v>109</v>
      </c>
      <c r="BU41" s="21" t="s">
        <v>109</v>
      </c>
      <c r="BV41" s="21" t="s">
        <v>109</v>
      </c>
      <c r="BW41" s="21" t="s">
        <v>109</v>
      </c>
      <c r="BX41" s="21" t="s">
        <v>109</v>
      </c>
      <c r="BY41" s="21" t="s">
        <v>109</v>
      </c>
      <c r="BZ41" s="21" t="s">
        <v>109</v>
      </c>
      <c r="CA41" s="21" t="s">
        <v>109</v>
      </c>
      <c r="CB41" s="21" t="s">
        <v>109</v>
      </c>
      <c r="CC41" s="21" t="s">
        <v>109</v>
      </c>
      <c r="CD41" s="21" t="s">
        <v>109</v>
      </c>
      <c r="CE41" s="21" t="s">
        <v>109</v>
      </c>
      <c r="CF41" s="21" t="s">
        <v>109</v>
      </c>
      <c r="CG41" s="21" t="s">
        <v>109</v>
      </c>
      <c r="CH41" s="21" t="s">
        <v>109</v>
      </c>
      <c r="CI41" s="21" t="s">
        <v>109</v>
      </c>
      <c r="CJ41" s="21" t="s">
        <v>109</v>
      </c>
      <c r="CK41" s="21" t="s">
        <v>109</v>
      </c>
      <c r="CL41" s="21" t="s">
        <v>109</v>
      </c>
      <c r="CM41" s="21" t="s">
        <v>109</v>
      </c>
      <c r="CN41" s="21" t="s">
        <v>109</v>
      </c>
      <c r="CO41" s="21" t="s">
        <v>109</v>
      </c>
      <c r="CP41" s="21" t="s">
        <v>109</v>
      </c>
      <c r="CQ41" s="21" t="s">
        <v>109</v>
      </c>
      <c r="CR41" s="21" t="s">
        <v>109</v>
      </c>
      <c r="CS41" s="21" t="s">
        <v>109</v>
      </c>
      <c r="CT41" s="21" t="s">
        <v>109</v>
      </c>
      <c r="CU41" s="21" t="s">
        <v>109</v>
      </c>
      <c r="CV41" s="21" t="s">
        <v>109</v>
      </c>
      <c r="CW41" s="21" t="s">
        <v>109</v>
      </c>
      <c r="CX41" s="21" t="s">
        <v>109</v>
      </c>
      <c r="CY41" s="21" t="s">
        <v>109</v>
      </c>
      <c r="CZ41" s="21" t="s">
        <v>109</v>
      </c>
      <c r="DB41" s="21">
        <f>INDEX(Z$41:CZ$46,6,MATCH(Calculator!$O$19,Z$2:CZ$2))</f>
        <v>190</v>
      </c>
    </row>
    <row r="42" spans="6:106" x14ac:dyDescent="0.25">
      <c r="W42" s="20">
        <v>20</v>
      </c>
      <c r="X42" s="21" t="s">
        <v>117</v>
      </c>
      <c r="Y42" s="21">
        <v>10.199999999999999</v>
      </c>
      <c r="Z42" s="21">
        <v>2340</v>
      </c>
      <c r="AA42" s="21">
        <v>2160</v>
      </c>
      <c r="AB42" s="21">
        <v>2010</v>
      </c>
      <c r="AC42" s="21">
        <v>1870</v>
      </c>
      <c r="AD42" s="21">
        <v>1740</v>
      </c>
      <c r="AE42" s="21">
        <v>1630</v>
      </c>
      <c r="AF42" s="21">
        <v>1530</v>
      </c>
      <c r="AG42" s="21">
        <v>1440</v>
      </c>
      <c r="AH42" s="21">
        <v>1340</v>
      </c>
      <c r="AI42" s="21">
        <v>1190</v>
      </c>
      <c r="AJ42" s="21">
        <v>1070</v>
      </c>
      <c r="AK42" s="21">
        <v>940</v>
      </c>
      <c r="AL42" s="21">
        <v>820</v>
      </c>
      <c r="AM42" s="21">
        <v>720</v>
      </c>
      <c r="AN42" s="21">
        <v>630</v>
      </c>
      <c r="AO42" s="21">
        <v>550</v>
      </c>
      <c r="AP42" s="21">
        <v>480</v>
      </c>
      <c r="AQ42" s="21">
        <v>410</v>
      </c>
      <c r="AR42" s="21">
        <v>350</v>
      </c>
      <c r="AS42" s="21">
        <v>290</v>
      </c>
      <c r="AT42" s="21">
        <v>240</v>
      </c>
      <c r="AU42" s="21">
        <v>200</v>
      </c>
      <c r="AV42" s="21">
        <v>150</v>
      </c>
      <c r="AW42" s="21" t="s">
        <v>109</v>
      </c>
      <c r="AX42" s="21" t="s">
        <v>109</v>
      </c>
      <c r="AY42" s="21" t="s">
        <v>109</v>
      </c>
      <c r="AZ42" s="21" t="s">
        <v>109</v>
      </c>
      <c r="BA42" s="21" t="s">
        <v>109</v>
      </c>
      <c r="BB42" s="21" t="s">
        <v>109</v>
      </c>
      <c r="BC42" s="21" t="s">
        <v>109</v>
      </c>
      <c r="BD42" s="21" t="s">
        <v>109</v>
      </c>
      <c r="BE42" s="21" t="s">
        <v>109</v>
      </c>
      <c r="BF42" s="21" t="s">
        <v>109</v>
      </c>
      <c r="BG42" s="21" t="s">
        <v>109</v>
      </c>
      <c r="BH42" s="21" t="s">
        <v>109</v>
      </c>
      <c r="BI42" s="21" t="s">
        <v>109</v>
      </c>
      <c r="BJ42" s="21" t="s">
        <v>109</v>
      </c>
      <c r="BK42" s="21" t="s">
        <v>109</v>
      </c>
      <c r="BL42" s="21" t="s">
        <v>109</v>
      </c>
      <c r="BM42" s="21" t="s">
        <v>109</v>
      </c>
      <c r="BN42" s="21" t="s">
        <v>109</v>
      </c>
      <c r="BO42" s="21" t="s">
        <v>109</v>
      </c>
      <c r="BP42" s="21" t="s">
        <v>109</v>
      </c>
      <c r="BQ42" s="21" t="s">
        <v>109</v>
      </c>
      <c r="BR42" s="21" t="s">
        <v>109</v>
      </c>
      <c r="BS42" s="21" t="s">
        <v>109</v>
      </c>
      <c r="BT42" s="21" t="s">
        <v>109</v>
      </c>
      <c r="BU42" s="21" t="s">
        <v>109</v>
      </c>
      <c r="BV42" s="21" t="s">
        <v>109</v>
      </c>
      <c r="BW42" s="21" t="s">
        <v>109</v>
      </c>
      <c r="BX42" s="21" t="s">
        <v>109</v>
      </c>
      <c r="BY42" s="21" t="s">
        <v>109</v>
      </c>
      <c r="BZ42" s="21" t="s">
        <v>109</v>
      </c>
      <c r="CA42" s="21" t="s">
        <v>109</v>
      </c>
      <c r="CB42" s="21" t="s">
        <v>109</v>
      </c>
      <c r="CC42" s="21" t="s">
        <v>109</v>
      </c>
      <c r="CD42" s="21" t="s">
        <v>109</v>
      </c>
      <c r="CE42" s="21" t="s">
        <v>109</v>
      </c>
      <c r="CF42" s="21" t="s">
        <v>109</v>
      </c>
      <c r="CG42" s="21" t="s">
        <v>109</v>
      </c>
      <c r="CH42" s="21" t="s">
        <v>109</v>
      </c>
      <c r="CI42" s="21" t="s">
        <v>109</v>
      </c>
      <c r="CJ42" s="21" t="s">
        <v>109</v>
      </c>
      <c r="CK42" s="21" t="s">
        <v>109</v>
      </c>
      <c r="CL42" s="21" t="s">
        <v>109</v>
      </c>
      <c r="CM42" s="21" t="s">
        <v>109</v>
      </c>
      <c r="CN42" s="21" t="s">
        <v>109</v>
      </c>
      <c r="CO42" s="21" t="s">
        <v>109</v>
      </c>
      <c r="CP42" s="21" t="s">
        <v>109</v>
      </c>
      <c r="CQ42" s="21" t="s">
        <v>109</v>
      </c>
      <c r="CR42" s="21" t="s">
        <v>109</v>
      </c>
      <c r="CS42" s="21" t="s">
        <v>109</v>
      </c>
      <c r="CT42" s="21" t="s">
        <v>109</v>
      </c>
      <c r="CU42" s="21" t="s">
        <v>109</v>
      </c>
      <c r="CV42" s="21" t="s">
        <v>109</v>
      </c>
      <c r="CW42" s="21" t="s">
        <v>109</v>
      </c>
      <c r="CX42" s="21" t="s">
        <v>109</v>
      </c>
      <c r="CY42" s="21" t="s">
        <v>109</v>
      </c>
      <c r="CZ42" s="21" t="s">
        <v>109</v>
      </c>
      <c r="DB42" s="21" t="str">
        <f>INDEX(Z$41:CZ$46,5,MATCH(Calculator!$O$19,Z$2:CZ$2))</f>
        <v>N</v>
      </c>
    </row>
    <row r="43" spans="6:106" x14ac:dyDescent="0.25">
      <c r="W43" s="20">
        <v>20</v>
      </c>
      <c r="X43" s="21" t="s">
        <v>118</v>
      </c>
      <c r="Y43" s="21">
        <v>11.13</v>
      </c>
      <c r="Z43" s="21">
        <v>2390</v>
      </c>
      <c r="AA43" s="21">
        <v>2210</v>
      </c>
      <c r="AB43" s="21">
        <v>2050</v>
      </c>
      <c r="AC43" s="21">
        <v>1910</v>
      </c>
      <c r="AD43" s="21">
        <v>1780</v>
      </c>
      <c r="AE43" s="21">
        <v>1670</v>
      </c>
      <c r="AF43" s="21">
        <v>1570</v>
      </c>
      <c r="AG43" s="21">
        <v>1480</v>
      </c>
      <c r="AH43" s="21">
        <v>1400</v>
      </c>
      <c r="AI43" s="21">
        <v>1320</v>
      </c>
      <c r="AJ43" s="21">
        <v>1190</v>
      </c>
      <c r="AK43" s="21">
        <v>1050</v>
      </c>
      <c r="AL43" s="21">
        <v>930</v>
      </c>
      <c r="AM43" s="21">
        <v>820</v>
      </c>
      <c r="AN43" s="21">
        <v>720</v>
      </c>
      <c r="AO43" s="21">
        <v>640</v>
      </c>
      <c r="AP43" s="21">
        <v>560</v>
      </c>
      <c r="AQ43" s="21">
        <v>480</v>
      </c>
      <c r="AR43" s="21">
        <v>420</v>
      </c>
      <c r="AS43" s="21">
        <v>360</v>
      </c>
      <c r="AT43" s="21">
        <v>310</v>
      </c>
      <c r="AU43" s="21">
        <v>260</v>
      </c>
      <c r="AV43" s="21">
        <v>210</v>
      </c>
      <c r="AW43" s="21">
        <v>170</v>
      </c>
      <c r="AX43" s="21" t="s">
        <v>109</v>
      </c>
      <c r="AY43" s="21" t="s">
        <v>109</v>
      </c>
      <c r="AZ43" s="21" t="s">
        <v>109</v>
      </c>
      <c r="BA43" s="21" t="s">
        <v>109</v>
      </c>
      <c r="BB43" s="21" t="s">
        <v>109</v>
      </c>
      <c r="BC43" s="21" t="s">
        <v>109</v>
      </c>
      <c r="BD43" s="21" t="s">
        <v>109</v>
      </c>
      <c r="BE43" s="21" t="s">
        <v>109</v>
      </c>
      <c r="BF43" s="21" t="s">
        <v>109</v>
      </c>
      <c r="BG43" s="21" t="s">
        <v>109</v>
      </c>
      <c r="BH43" s="21" t="s">
        <v>109</v>
      </c>
      <c r="BI43" s="21" t="s">
        <v>109</v>
      </c>
      <c r="BJ43" s="21" t="s">
        <v>109</v>
      </c>
      <c r="BK43" s="21" t="s">
        <v>109</v>
      </c>
      <c r="BL43" s="21" t="s">
        <v>109</v>
      </c>
      <c r="BM43" s="21" t="s">
        <v>109</v>
      </c>
      <c r="BN43" s="21" t="s">
        <v>109</v>
      </c>
      <c r="BO43" s="21" t="s">
        <v>109</v>
      </c>
      <c r="BP43" s="21" t="s">
        <v>109</v>
      </c>
      <c r="BQ43" s="21" t="s">
        <v>109</v>
      </c>
      <c r="BR43" s="21" t="s">
        <v>109</v>
      </c>
      <c r="BS43" s="21" t="s">
        <v>109</v>
      </c>
      <c r="BT43" s="21" t="s">
        <v>109</v>
      </c>
      <c r="BU43" s="21" t="s">
        <v>109</v>
      </c>
      <c r="BV43" s="21" t="s">
        <v>109</v>
      </c>
      <c r="BW43" s="21" t="s">
        <v>109</v>
      </c>
      <c r="BX43" s="21" t="s">
        <v>109</v>
      </c>
      <c r="BY43" s="21" t="s">
        <v>109</v>
      </c>
      <c r="BZ43" s="21" t="s">
        <v>109</v>
      </c>
      <c r="CA43" s="21" t="s">
        <v>109</v>
      </c>
      <c r="CB43" s="21" t="s">
        <v>109</v>
      </c>
      <c r="CC43" s="21" t="s">
        <v>109</v>
      </c>
      <c r="CD43" s="21" t="s">
        <v>109</v>
      </c>
      <c r="CE43" s="21" t="s">
        <v>109</v>
      </c>
      <c r="CF43" s="21" t="s">
        <v>109</v>
      </c>
      <c r="CG43" s="21" t="s">
        <v>109</v>
      </c>
      <c r="CH43" s="21" t="s">
        <v>109</v>
      </c>
      <c r="CI43" s="21" t="s">
        <v>109</v>
      </c>
      <c r="CJ43" s="21" t="s">
        <v>109</v>
      </c>
      <c r="CK43" s="21" t="s">
        <v>109</v>
      </c>
      <c r="CL43" s="21" t="s">
        <v>109</v>
      </c>
      <c r="CM43" s="21" t="s">
        <v>109</v>
      </c>
      <c r="CN43" s="21" t="s">
        <v>109</v>
      </c>
      <c r="CO43" s="21" t="s">
        <v>109</v>
      </c>
      <c r="CP43" s="21" t="s">
        <v>109</v>
      </c>
      <c r="CQ43" s="21" t="s">
        <v>109</v>
      </c>
      <c r="CR43" s="21" t="s">
        <v>109</v>
      </c>
      <c r="CS43" s="21" t="s">
        <v>109</v>
      </c>
      <c r="CT43" s="21" t="s">
        <v>109</v>
      </c>
      <c r="CU43" s="21" t="s">
        <v>109</v>
      </c>
      <c r="CV43" s="21" t="s">
        <v>109</v>
      </c>
      <c r="CW43" s="21" t="s">
        <v>109</v>
      </c>
      <c r="CX43" s="21" t="s">
        <v>109</v>
      </c>
      <c r="CY43" s="21" t="s">
        <v>109</v>
      </c>
      <c r="CZ43" s="21" t="s">
        <v>109</v>
      </c>
      <c r="DB43" s="21" t="str">
        <f>INDEX(Z$41:CZ$46,4,MATCH(Calculator!$O$19,Z$2:CZ$2))</f>
        <v>N</v>
      </c>
    </row>
    <row r="44" spans="6:106" x14ac:dyDescent="0.25">
      <c r="W44" s="20">
        <v>20</v>
      </c>
      <c r="X44" s="21" t="s">
        <v>119</v>
      </c>
      <c r="Y44" s="21">
        <v>12.04</v>
      </c>
      <c r="Z44" s="21">
        <v>2440</v>
      </c>
      <c r="AA44" s="21">
        <v>2260</v>
      </c>
      <c r="AB44" s="21">
        <v>2090</v>
      </c>
      <c r="AC44" s="21">
        <v>1950</v>
      </c>
      <c r="AD44" s="21">
        <v>1820</v>
      </c>
      <c r="AE44" s="21">
        <v>1710</v>
      </c>
      <c r="AF44" s="21">
        <v>1600</v>
      </c>
      <c r="AG44" s="21">
        <v>1510</v>
      </c>
      <c r="AH44" s="21">
        <v>1430</v>
      </c>
      <c r="AI44" s="21">
        <v>1350</v>
      </c>
      <c r="AJ44" s="21">
        <v>1280</v>
      </c>
      <c r="AK44" s="21">
        <v>1160</v>
      </c>
      <c r="AL44" s="21">
        <v>1030</v>
      </c>
      <c r="AM44" s="21">
        <v>920</v>
      </c>
      <c r="AN44" s="21">
        <v>810</v>
      </c>
      <c r="AO44" s="21">
        <v>720</v>
      </c>
      <c r="AP44" s="21">
        <v>630</v>
      </c>
      <c r="AQ44" s="21">
        <v>560</v>
      </c>
      <c r="AR44" s="21">
        <v>490</v>
      </c>
      <c r="AS44" s="21">
        <v>430</v>
      </c>
      <c r="AT44" s="21">
        <v>370</v>
      </c>
      <c r="AU44" s="21">
        <v>320</v>
      </c>
      <c r="AV44" s="21">
        <v>270</v>
      </c>
      <c r="AW44" s="21">
        <v>220</v>
      </c>
      <c r="AX44" s="21">
        <v>180</v>
      </c>
      <c r="AY44" s="21" t="s">
        <v>109</v>
      </c>
      <c r="AZ44" s="21" t="s">
        <v>109</v>
      </c>
      <c r="BA44" s="21" t="s">
        <v>109</v>
      </c>
      <c r="BB44" s="21" t="s">
        <v>109</v>
      </c>
      <c r="BC44" s="21" t="s">
        <v>109</v>
      </c>
      <c r="BD44" s="21" t="s">
        <v>109</v>
      </c>
      <c r="BE44" s="21" t="s">
        <v>109</v>
      </c>
      <c r="BF44" s="21" t="s">
        <v>109</v>
      </c>
      <c r="BG44" s="21" t="s">
        <v>109</v>
      </c>
      <c r="BH44" s="21" t="s">
        <v>109</v>
      </c>
      <c r="BI44" s="21" t="s">
        <v>109</v>
      </c>
      <c r="BJ44" s="21" t="s">
        <v>109</v>
      </c>
      <c r="BK44" s="21" t="s">
        <v>109</v>
      </c>
      <c r="BL44" s="21" t="s">
        <v>109</v>
      </c>
      <c r="BM44" s="21" t="s">
        <v>109</v>
      </c>
      <c r="BN44" s="21" t="s">
        <v>109</v>
      </c>
      <c r="BO44" s="21" t="s">
        <v>109</v>
      </c>
      <c r="BP44" s="21" t="s">
        <v>109</v>
      </c>
      <c r="BQ44" s="21" t="s">
        <v>109</v>
      </c>
      <c r="BR44" s="21" t="s">
        <v>109</v>
      </c>
      <c r="BS44" s="21" t="s">
        <v>109</v>
      </c>
      <c r="BT44" s="21" t="s">
        <v>109</v>
      </c>
      <c r="BU44" s="21" t="s">
        <v>109</v>
      </c>
      <c r="BV44" s="21" t="s">
        <v>109</v>
      </c>
      <c r="BW44" s="21" t="s">
        <v>109</v>
      </c>
      <c r="BX44" s="21" t="s">
        <v>109</v>
      </c>
      <c r="BY44" s="21" t="s">
        <v>109</v>
      </c>
      <c r="BZ44" s="21" t="s">
        <v>109</v>
      </c>
      <c r="CA44" s="21" t="s">
        <v>109</v>
      </c>
      <c r="CB44" s="21" t="s">
        <v>109</v>
      </c>
      <c r="CC44" s="21" t="s">
        <v>109</v>
      </c>
      <c r="CD44" s="21" t="s">
        <v>109</v>
      </c>
      <c r="CE44" s="21" t="s">
        <v>109</v>
      </c>
      <c r="CF44" s="21" t="s">
        <v>109</v>
      </c>
      <c r="CG44" s="21" t="s">
        <v>109</v>
      </c>
      <c r="CH44" s="21" t="s">
        <v>109</v>
      </c>
      <c r="CI44" s="21" t="s">
        <v>109</v>
      </c>
      <c r="CJ44" s="21" t="s">
        <v>109</v>
      </c>
      <c r="CK44" s="21" t="s">
        <v>109</v>
      </c>
      <c r="CL44" s="21" t="s">
        <v>109</v>
      </c>
      <c r="CM44" s="21" t="s">
        <v>109</v>
      </c>
      <c r="CN44" s="21" t="s">
        <v>109</v>
      </c>
      <c r="CO44" s="21" t="s">
        <v>109</v>
      </c>
      <c r="CP44" s="21" t="s">
        <v>109</v>
      </c>
      <c r="CQ44" s="21" t="s">
        <v>109</v>
      </c>
      <c r="CR44" s="21" t="s">
        <v>109</v>
      </c>
      <c r="CS44" s="21" t="s">
        <v>109</v>
      </c>
      <c r="CT44" s="21" t="s">
        <v>109</v>
      </c>
      <c r="CU44" s="21" t="s">
        <v>109</v>
      </c>
      <c r="CV44" s="21" t="s">
        <v>109</v>
      </c>
      <c r="CW44" s="21" t="s">
        <v>109</v>
      </c>
      <c r="CX44" s="21" t="s">
        <v>109</v>
      </c>
      <c r="CY44" s="21" t="s">
        <v>109</v>
      </c>
      <c r="CZ44" s="21" t="s">
        <v>109</v>
      </c>
      <c r="DB44" s="21" t="str">
        <f>INDEX(Z$41:CZ$46,3,MATCH(Calculator!$O$19,Z$2:CZ$2))</f>
        <v>N</v>
      </c>
    </row>
    <row r="45" spans="6:106" x14ac:dyDescent="0.25">
      <c r="W45" s="20">
        <v>20</v>
      </c>
      <c r="X45" s="21" t="s">
        <v>121</v>
      </c>
      <c r="Y45" s="21">
        <v>12.95</v>
      </c>
      <c r="Z45" s="21">
        <v>2490</v>
      </c>
      <c r="AA45" s="21">
        <v>2300</v>
      </c>
      <c r="AB45" s="21">
        <v>2130</v>
      </c>
      <c r="AC45" s="21">
        <v>1990</v>
      </c>
      <c r="AD45" s="21">
        <v>1860</v>
      </c>
      <c r="AE45" s="21">
        <v>1740</v>
      </c>
      <c r="AF45" s="21">
        <v>1640</v>
      </c>
      <c r="AG45" s="21">
        <v>1540</v>
      </c>
      <c r="AH45" s="21">
        <v>1460</v>
      </c>
      <c r="AI45" s="21">
        <v>1380</v>
      </c>
      <c r="AJ45" s="21">
        <v>1310</v>
      </c>
      <c r="AK45" s="21">
        <v>1240</v>
      </c>
      <c r="AL45" s="21">
        <v>1140</v>
      </c>
      <c r="AM45" s="21">
        <v>1010</v>
      </c>
      <c r="AN45" s="21">
        <v>900</v>
      </c>
      <c r="AO45" s="21">
        <v>800</v>
      </c>
      <c r="AP45" s="21">
        <v>710</v>
      </c>
      <c r="AQ45" s="21">
        <v>630</v>
      </c>
      <c r="AR45" s="21">
        <v>560</v>
      </c>
      <c r="AS45" s="21">
        <v>490</v>
      </c>
      <c r="AT45" s="21">
        <v>430</v>
      </c>
      <c r="AU45" s="21">
        <v>370</v>
      </c>
      <c r="AV45" s="21">
        <v>320</v>
      </c>
      <c r="AW45" s="21">
        <v>270</v>
      </c>
      <c r="AX45" s="21">
        <v>230</v>
      </c>
      <c r="AY45" s="21">
        <v>190</v>
      </c>
      <c r="AZ45" s="21" t="s">
        <v>109</v>
      </c>
      <c r="BA45" s="21" t="s">
        <v>109</v>
      </c>
      <c r="BB45" s="21" t="s">
        <v>109</v>
      </c>
      <c r="BC45" s="21" t="s">
        <v>109</v>
      </c>
      <c r="BD45" s="21" t="s">
        <v>109</v>
      </c>
      <c r="BE45" s="21" t="s">
        <v>109</v>
      </c>
      <c r="BF45" s="21" t="s">
        <v>109</v>
      </c>
      <c r="BG45" s="21" t="s">
        <v>109</v>
      </c>
      <c r="BH45" s="21" t="s">
        <v>109</v>
      </c>
      <c r="BI45" s="21" t="s">
        <v>109</v>
      </c>
      <c r="BJ45" s="21" t="s">
        <v>109</v>
      </c>
      <c r="BK45" s="21" t="s">
        <v>109</v>
      </c>
      <c r="BL45" s="21" t="s">
        <v>109</v>
      </c>
      <c r="BM45" s="21" t="s">
        <v>109</v>
      </c>
      <c r="BN45" s="21" t="s">
        <v>109</v>
      </c>
      <c r="BO45" s="21" t="s">
        <v>109</v>
      </c>
      <c r="BP45" s="21" t="s">
        <v>109</v>
      </c>
      <c r="BQ45" s="21" t="s">
        <v>109</v>
      </c>
      <c r="BR45" s="21" t="s">
        <v>109</v>
      </c>
      <c r="BS45" s="21" t="s">
        <v>109</v>
      </c>
      <c r="BT45" s="21" t="s">
        <v>109</v>
      </c>
      <c r="BU45" s="21" t="s">
        <v>109</v>
      </c>
      <c r="BV45" s="21" t="s">
        <v>109</v>
      </c>
      <c r="BW45" s="21" t="s">
        <v>109</v>
      </c>
      <c r="BX45" s="21" t="s">
        <v>109</v>
      </c>
      <c r="BY45" s="21" t="s">
        <v>109</v>
      </c>
      <c r="BZ45" s="21" t="s">
        <v>109</v>
      </c>
      <c r="CA45" s="21" t="s">
        <v>109</v>
      </c>
      <c r="CB45" s="21" t="s">
        <v>109</v>
      </c>
      <c r="CC45" s="21" t="s">
        <v>109</v>
      </c>
      <c r="CD45" s="21" t="s">
        <v>109</v>
      </c>
      <c r="CE45" s="21" t="s">
        <v>109</v>
      </c>
      <c r="CF45" s="21" t="s">
        <v>109</v>
      </c>
      <c r="CG45" s="21" t="s">
        <v>109</v>
      </c>
      <c r="CH45" s="21" t="s">
        <v>109</v>
      </c>
      <c r="CI45" s="21" t="s">
        <v>109</v>
      </c>
      <c r="CJ45" s="21" t="s">
        <v>109</v>
      </c>
      <c r="CK45" s="21" t="s">
        <v>109</v>
      </c>
      <c r="CL45" s="21" t="s">
        <v>109</v>
      </c>
      <c r="CM45" s="21" t="s">
        <v>109</v>
      </c>
      <c r="CN45" s="21" t="s">
        <v>109</v>
      </c>
      <c r="CO45" s="21" t="s">
        <v>109</v>
      </c>
      <c r="CP45" s="21" t="s">
        <v>109</v>
      </c>
      <c r="CQ45" s="21" t="s">
        <v>109</v>
      </c>
      <c r="CR45" s="21" t="s">
        <v>109</v>
      </c>
      <c r="CS45" s="21" t="s">
        <v>109</v>
      </c>
      <c r="CT45" s="21" t="s">
        <v>109</v>
      </c>
      <c r="CU45" s="21" t="s">
        <v>109</v>
      </c>
      <c r="CV45" s="21" t="s">
        <v>109</v>
      </c>
      <c r="CW45" s="21" t="s">
        <v>109</v>
      </c>
      <c r="CX45" s="21" t="s">
        <v>109</v>
      </c>
      <c r="CY45" s="21" t="s">
        <v>109</v>
      </c>
      <c r="CZ45" s="21" t="s">
        <v>109</v>
      </c>
      <c r="DB45" s="21" t="str">
        <f>INDEX(Z$41:CZ$46,2,MATCH(Calculator!$O$19,Z$2:CZ$2))</f>
        <v>N</v>
      </c>
    </row>
    <row r="46" spans="6:106" ht="15.75" x14ac:dyDescent="0.25">
      <c r="G46" s="23"/>
      <c r="H46" s="23"/>
      <c r="I46" s="23"/>
      <c r="J46" s="23"/>
      <c r="K46" s="23"/>
      <c r="L46" s="23"/>
      <c r="M46" s="23"/>
      <c r="N46" s="23"/>
      <c r="O46" s="23"/>
      <c r="P46" s="23"/>
      <c r="W46" s="20">
        <v>20</v>
      </c>
      <c r="X46" s="21" t="s">
        <v>122</v>
      </c>
      <c r="Y46" s="21">
        <v>13.8</v>
      </c>
      <c r="Z46" s="21">
        <v>2340</v>
      </c>
      <c r="AA46" s="21">
        <v>2340</v>
      </c>
      <c r="AB46" s="21">
        <v>2170</v>
      </c>
      <c r="AC46" s="21">
        <v>2020</v>
      </c>
      <c r="AD46" s="21">
        <v>1890</v>
      </c>
      <c r="AE46" s="21">
        <v>1770</v>
      </c>
      <c r="AF46" s="21">
        <v>1670</v>
      </c>
      <c r="AG46" s="21">
        <v>1570</v>
      </c>
      <c r="AH46" s="21">
        <v>1480</v>
      </c>
      <c r="AI46" s="21">
        <v>1400</v>
      </c>
      <c r="AJ46" s="21">
        <v>1330</v>
      </c>
      <c r="AK46" s="21">
        <v>1260</v>
      </c>
      <c r="AL46" s="21">
        <v>1200</v>
      </c>
      <c r="AM46" s="21">
        <v>1100</v>
      </c>
      <c r="AN46" s="21">
        <v>990</v>
      </c>
      <c r="AO46" s="21">
        <v>880</v>
      </c>
      <c r="AP46" s="21">
        <v>790</v>
      </c>
      <c r="AQ46" s="21">
        <v>700</v>
      </c>
      <c r="AR46" s="21">
        <v>620</v>
      </c>
      <c r="AS46" s="21">
        <v>550</v>
      </c>
      <c r="AT46" s="21">
        <v>490</v>
      </c>
      <c r="AU46" s="21">
        <v>430</v>
      </c>
      <c r="AV46" s="21">
        <v>370</v>
      </c>
      <c r="AW46" s="21">
        <v>320</v>
      </c>
      <c r="AX46" s="21">
        <v>280</v>
      </c>
      <c r="AY46" s="21">
        <v>240</v>
      </c>
      <c r="AZ46" s="21">
        <v>190</v>
      </c>
      <c r="BA46" s="21" t="s">
        <v>109</v>
      </c>
      <c r="BB46" s="21" t="s">
        <v>109</v>
      </c>
      <c r="BC46" s="21" t="s">
        <v>109</v>
      </c>
      <c r="BD46" s="21" t="s">
        <v>109</v>
      </c>
      <c r="BE46" s="21" t="s">
        <v>109</v>
      </c>
      <c r="BF46" s="21" t="s">
        <v>109</v>
      </c>
      <c r="BG46" s="21" t="s">
        <v>109</v>
      </c>
      <c r="BH46" s="21" t="s">
        <v>109</v>
      </c>
      <c r="BI46" s="21" t="s">
        <v>109</v>
      </c>
      <c r="BJ46" s="21" t="s">
        <v>109</v>
      </c>
      <c r="BK46" s="21" t="s">
        <v>109</v>
      </c>
      <c r="BL46" s="21" t="s">
        <v>109</v>
      </c>
      <c r="BM46" s="21" t="s">
        <v>109</v>
      </c>
      <c r="BN46" s="21" t="s">
        <v>109</v>
      </c>
      <c r="BO46" s="21" t="s">
        <v>109</v>
      </c>
      <c r="BP46" s="21" t="s">
        <v>109</v>
      </c>
      <c r="BQ46" s="21" t="s">
        <v>109</v>
      </c>
      <c r="BR46" s="21" t="s">
        <v>109</v>
      </c>
      <c r="BS46" s="21" t="s">
        <v>109</v>
      </c>
      <c r="BT46" s="21" t="s">
        <v>109</v>
      </c>
      <c r="BU46" s="21" t="s">
        <v>109</v>
      </c>
      <c r="BV46" s="21" t="s">
        <v>109</v>
      </c>
      <c r="BW46" s="21" t="s">
        <v>109</v>
      </c>
      <c r="BX46" s="21" t="s">
        <v>109</v>
      </c>
      <c r="BY46" s="21" t="s">
        <v>109</v>
      </c>
      <c r="BZ46" s="21" t="s">
        <v>109</v>
      </c>
      <c r="CA46" s="21" t="s">
        <v>109</v>
      </c>
      <c r="CB46" s="21" t="s">
        <v>109</v>
      </c>
      <c r="CC46" s="21" t="s">
        <v>109</v>
      </c>
      <c r="CD46" s="21" t="s">
        <v>109</v>
      </c>
      <c r="CE46" s="21" t="s">
        <v>109</v>
      </c>
      <c r="CF46" s="21" t="s">
        <v>109</v>
      </c>
      <c r="CG46" s="21" t="s">
        <v>109</v>
      </c>
      <c r="CH46" s="21" t="s">
        <v>109</v>
      </c>
      <c r="CI46" s="21" t="s">
        <v>109</v>
      </c>
      <c r="CJ46" s="21" t="s">
        <v>109</v>
      </c>
      <c r="CK46" s="21" t="s">
        <v>109</v>
      </c>
      <c r="CL46" s="21" t="s">
        <v>109</v>
      </c>
      <c r="CM46" s="21" t="s">
        <v>109</v>
      </c>
      <c r="CN46" s="21" t="s">
        <v>109</v>
      </c>
      <c r="CO46" s="21" t="s">
        <v>109</v>
      </c>
      <c r="CP46" s="21" t="s">
        <v>109</v>
      </c>
      <c r="CQ46" s="21" t="s">
        <v>109</v>
      </c>
      <c r="CR46" s="21" t="s">
        <v>109</v>
      </c>
      <c r="CS46" s="21" t="s">
        <v>109</v>
      </c>
      <c r="CT46" s="21" t="s">
        <v>109</v>
      </c>
      <c r="CU46" s="21" t="s">
        <v>109</v>
      </c>
      <c r="CV46" s="21" t="s">
        <v>109</v>
      </c>
      <c r="CW46" s="21" t="s">
        <v>109</v>
      </c>
      <c r="CX46" s="21" t="s">
        <v>109</v>
      </c>
      <c r="CY46" s="21" t="s">
        <v>109</v>
      </c>
      <c r="CZ46" s="21" t="s">
        <v>109</v>
      </c>
      <c r="DB46" s="21" t="str">
        <f>INDEX(Z$41:CZ$46,1,MATCH(Calculator!$O$19,Z$2:CZ$2))</f>
        <v>N</v>
      </c>
    </row>
    <row r="47" spans="6:106" x14ac:dyDescent="0.25">
      <c r="W47" s="20">
        <v>25</v>
      </c>
      <c r="X47" s="21" t="str">
        <f>"25066"</f>
        <v>25066</v>
      </c>
      <c r="Y47" s="21">
        <v>9.68</v>
      </c>
      <c r="Z47" s="21">
        <v>2010</v>
      </c>
      <c r="AA47" s="21">
        <v>2010</v>
      </c>
      <c r="AB47" s="21">
        <v>2010</v>
      </c>
      <c r="AC47" s="21">
        <v>2010</v>
      </c>
      <c r="AD47" s="21">
        <v>2010</v>
      </c>
      <c r="AE47" s="21">
        <v>1770</v>
      </c>
      <c r="AF47" s="21">
        <v>1560</v>
      </c>
      <c r="AG47" s="21">
        <v>1380</v>
      </c>
      <c r="AH47" s="21">
        <v>1220</v>
      </c>
      <c r="AI47" s="21">
        <v>1090</v>
      </c>
      <c r="AJ47" s="21">
        <v>970</v>
      </c>
      <c r="AK47" s="21">
        <v>860</v>
      </c>
      <c r="AL47" s="21">
        <v>770</v>
      </c>
      <c r="AM47" s="21">
        <v>690</v>
      </c>
      <c r="AN47" s="21">
        <v>610</v>
      </c>
      <c r="AO47" s="21">
        <v>540</v>
      </c>
      <c r="AP47" s="21">
        <v>480</v>
      </c>
      <c r="AQ47" s="21">
        <v>430</v>
      </c>
      <c r="AR47" s="21">
        <v>380</v>
      </c>
      <c r="AS47" s="21">
        <v>330</v>
      </c>
      <c r="AT47" s="21">
        <v>290</v>
      </c>
      <c r="AU47" s="21">
        <v>260</v>
      </c>
      <c r="AV47" s="21">
        <v>220</v>
      </c>
      <c r="AW47" s="21">
        <v>180</v>
      </c>
      <c r="AX47" s="21" t="s">
        <v>109</v>
      </c>
      <c r="AY47" s="21" t="s">
        <v>109</v>
      </c>
      <c r="AZ47" s="21" t="s">
        <v>109</v>
      </c>
      <c r="BA47" s="21" t="s">
        <v>109</v>
      </c>
      <c r="BB47" s="21" t="s">
        <v>109</v>
      </c>
      <c r="BC47" s="21" t="s">
        <v>109</v>
      </c>
      <c r="BD47" s="21" t="s">
        <v>109</v>
      </c>
      <c r="BE47" s="21" t="s">
        <v>109</v>
      </c>
      <c r="BF47" s="21" t="s">
        <v>109</v>
      </c>
      <c r="BG47" s="21" t="s">
        <v>109</v>
      </c>
      <c r="BH47" s="21" t="s">
        <v>109</v>
      </c>
      <c r="BI47" s="21" t="s">
        <v>109</v>
      </c>
      <c r="BJ47" s="21" t="s">
        <v>109</v>
      </c>
      <c r="BK47" s="21" t="s">
        <v>109</v>
      </c>
      <c r="BL47" s="21" t="s">
        <v>109</v>
      </c>
      <c r="BM47" s="21" t="s">
        <v>109</v>
      </c>
      <c r="BN47" s="21" t="s">
        <v>109</v>
      </c>
      <c r="BO47" s="21" t="s">
        <v>109</v>
      </c>
      <c r="BP47" s="21" t="s">
        <v>109</v>
      </c>
      <c r="BQ47" s="21" t="s">
        <v>109</v>
      </c>
      <c r="BR47" s="21" t="s">
        <v>109</v>
      </c>
      <c r="BS47" s="21" t="s">
        <v>109</v>
      </c>
      <c r="BT47" s="21" t="s">
        <v>109</v>
      </c>
      <c r="BU47" s="21" t="s">
        <v>109</v>
      </c>
      <c r="BV47" s="21" t="s">
        <v>109</v>
      </c>
      <c r="BW47" s="21" t="s">
        <v>109</v>
      </c>
      <c r="BX47" s="21" t="s">
        <v>109</v>
      </c>
      <c r="BY47" s="21" t="s">
        <v>109</v>
      </c>
      <c r="BZ47" s="21" t="s">
        <v>109</v>
      </c>
      <c r="CA47" s="21" t="s">
        <v>109</v>
      </c>
      <c r="CB47" s="21" t="s">
        <v>109</v>
      </c>
      <c r="CC47" s="21" t="s">
        <v>109</v>
      </c>
      <c r="CD47" s="21" t="s">
        <v>109</v>
      </c>
      <c r="CE47" s="21" t="s">
        <v>109</v>
      </c>
      <c r="CF47" s="21" t="s">
        <v>109</v>
      </c>
      <c r="CG47" s="21" t="s">
        <v>109</v>
      </c>
      <c r="CH47" s="21" t="s">
        <v>109</v>
      </c>
      <c r="CI47" s="21" t="s">
        <v>109</v>
      </c>
      <c r="CJ47" s="21" t="s">
        <v>109</v>
      </c>
      <c r="CK47" s="21" t="s">
        <v>109</v>
      </c>
      <c r="CL47" s="21" t="s">
        <v>109</v>
      </c>
      <c r="CM47" s="21" t="s">
        <v>109</v>
      </c>
      <c r="CN47" s="21" t="s">
        <v>109</v>
      </c>
      <c r="CO47" s="21" t="s">
        <v>109</v>
      </c>
      <c r="CP47" s="21" t="s">
        <v>109</v>
      </c>
      <c r="CQ47" s="21" t="s">
        <v>109</v>
      </c>
      <c r="CR47" s="21" t="s">
        <v>109</v>
      </c>
      <c r="CS47" s="21" t="s">
        <v>109</v>
      </c>
      <c r="CT47" s="21" t="s">
        <v>109</v>
      </c>
      <c r="CU47" s="21" t="s">
        <v>109</v>
      </c>
      <c r="CV47" s="21" t="s">
        <v>109</v>
      </c>
      <c r="CW47" s="21" t="s">
        <v>109</v>
      </c>
      <c r="CX47" s="21" t="s">
        <v>109</v>
      </c>
      <c r="CY47" s="21" t="s">
        <v>109</v>
      </c>
      <c r="CZ47" s="21" t="s">
        <v>109</v>
      </c>
      <c r="DB47" s="21">
        <f>INDEX(Z$47:CZ$51,5,MATCH(Calculator!$O$19,Z$2:CZ$2))</f>
        <v>790</v>
      </c>
    </row>
    <row r="48" spans="6:106" x14ac:dyDescent="0.25">
      <c r="W48" s="20">
        <v>25</v>
      </c>
      <c r="X48" s="21" t="str">
        <f>"25086"</f>
        <v>25086</v>
      </c>
      <c r="Y48" s="21">
        <v>12.55</v>
      </c>
      <c r="Z48" s="21">
        <v>2310</v>
      </c>
      <c r="AA48" s="21">
        <v>2310</v>
      </c>
      <c r="AB48" s="21">
        <v>2310</v>
      </c>
      <c r="AC48" s="21">
        <v>2310</v>
      </c>
      <c r="AD48" s="21">
        <v>2310</v>
      </c>
      <c r="AE48" s="21">
        <v>2170</v>
      </c>
      <c r="AF48" s="21">
        <v>2040</v>
      </c>
      <c r="AG48" s="21">
        <v>1900</v>
      </c>
      <c r="AH48" s="21">
        <v>1700</v>
      </c>
      <c r="AI48" s="21">
        <v>1520</v>
      </c>
      <c r="AJ48" s="21">
        <v>1370</v>
      </c>
      <c r="AK48" s="21">
        <v>1230</v>
      </c>
      <c r="AL48" s="21">
        <v>1110</v>
      </c>
      <c r="AM48" s="21">
        <v>1000</v>
      </c>
      <c r="AN48" s="21">
        <v>900</v>
      </c>
      <c r="AO48" s="21">
        <v>820</v>
      </c>
      <c r="AP48" s="21">
        <v>740</v>
      </c>
      <c r="AQ48" s="21">
        <v>670</v>
      </c>
      <c r="AR48" s="21">
        <v>600</v>
      </c>
      <c r="AS48" s="21">
        <v>540</v>
      </c>
      <c r="AT48" s="21">
        <v>490</v>
      </c>
      <c r="AU48" s="21">
        <v>440</v>
      </c>
      <c r="AV48" s="21">
        <v>400</v>
      </c>
      <c r="AW48" s="21">
        <v>350</v>
      </c>
      <c r="AX48" s="21">
        <v>310</v>
      </c>
      <c r="AY48" s="21">
        <v>260</v>
      </c>
      <c r="AZ48" s="21">
        <v>220</v>
      </c>
      <c r="BA48" s="21">
        <v>180</v>
      </c>
      <c r="BB48" s="21">
        <v>150</v>
      </c>
      <c r="BC48" s="21" t="s">
        <v>109</v>
      </c>
      <c r="BD48" s="21" t="s">
        <v>109</v>
      </c>
      <c r="BE48" s="21" t="s">
        <v>109</v>
      </c>
      <c r="BF48" s="21" t="s">
        <v>109</v>
      </c>
      <c r="BG48" s="21" t="s">
        <v>109</v>
      </c>
      <c r="BH48" s="21" t="s">
        <v>109</v>
      </c>
      <c r="BI48" s="21" t="s">
        <v>109</v>
      </c>
      <c r="BJ48" s="21" t="s">
        <v>109</v>
      </c>
      <c r="BK48" s="21" t="s">
        <v>109</v>
      </c>
      <c r="BL48" s="21" t="s">
        <v>109</v>
      </c>
      <c r="BM48" s="21" t="s">
        <v>109</v>
      </c>
      <c r="BN48" s="21" t="s">
        <v>109</v>
      </c>
      <c r="BO48" s="21" t="s">
        <v>109</v>
      </c>
      <c r="BP48" s="21" t="s">
        <v>109</v>
      </c>
      <c r="BQ48" s="21" t="s">
        <v>109</v>
      </c>
      <c r="BR48" s="21" t="s">
        <v>109</v>
      </c>
      <c r="BS48" s="21" t="s">
        <v>109</v>
      </c>
      <c r="BT48" s="21" t="s">
        <v>109</v>
      </c>
      <c r="BU48" s="21" t="s">
        <v>109</v>
      </c>
      <c r="BV48" s="21" t="s">
        <v>109</v>
      </c>
      <c r="BW48" s="21" t="s">
        <v>109</v>
      </c>
      <c r="BX48" s="21" t="s">
        <v>109</v>
      </c>
      <c r="BY48" s="21" t="s">
        <v>109</v>
      </c>
      <c r="BZ48" s="21" t="s">
        <v>109</v>
      </c>
      <c r="CA48" s="21" t="s">
        <v>109</v>
      </c>
      <c r="CB48" s="21" t="s">
        <v>109</v>
      </c>
      <c r="CC48" s="21" t="s">
        <v>109</v>
      </c>
      <c r="CD48" s="21" t="s">
        <v>109</v>
      </c>
      <c r="CE48" s="21" t="s">
        <v>109</v>
      </c>
      <c r="CF48" s="21" t="s">
        <v>109</v>
      </c>
      <c r="CG48" s="21" t="s">
        <v>109</v>
      </c>
      <c r="CH48" s="21" t="s">
        <v>109</v>
      </c>
      <c r="CI48" s="21" t="s">
        <v>109</v>
      </c>
      <c r="CJ48" s="21" t="s">
        <v>109</v>
      </c>
      <c r="CK48" s="21" t="s">
        <v>109</v>
      </c>
      <c r="CL48" s="21" t="s">
        <v>109</v>
      </c>
      <c r="CM48" s="21" t="s">
        <v>109</v>
      </c>
      <c r="CN48" s="21" t="s">
        <v>109</v>
      </c>
      <c r="CO48" s="21" t="s">
        <v>109</v>
      </c>
      <c r="CP48" s="21" t="s">
        <v>109</v>
      </c>
      <c r="CQ48" s="21" t="s">
        <v>109</v>
      </c>
      <c r="CR48" s="21" t="s">
        <v>109</v>
      </c>
      <c r="CS48" s="21" t="s">
        <v>109</v>
      </c>
      <c r="CT48" s="21" t="s">
        <v>109</v>
      </c>
      <c r="CU48" s="21" t="s">
        <v>109</v>
      </c>
      <c r="CV48" s="21" t="s">
        <v>109</v>
      </c>
      <c r="CW48" s="21" t="s">
        <v>109</v>
      </c>
      <c r="CX48" s="21" t="s">
        <v>109</v>
      </c>
      <c r="CY48" s="21" t="s">
        <v>109</v>
      </c>
      <c r="CZ48" s="21" t="s">
        <v>109</v>
      </c>
      <c r="DB48" s="21">
        <f>INDEX(Z$47:CZ$51,4,MATCH(Calculator!$O$19,Z$2:CZ$2))</f>
        <v>670</v>
      </c>
    </row>
    <row r="49" spans="23:106" x14ac:dyDescent="0.25">
      <c r="W49" s="20">
        <v>25</v>
      </c>
      <c r="X49" s="21" t="str">
        <f>"25106"</f>
        <v>25106</v>
      </c>
      <c r="Y49" s="21">
        <v>15.3</v>
      </c>
      <c r="Z49" s="21">
        <v>2420</v>
      </c>
      <c r="AA49" s="21">
        <v>2420</v>
      </c>
      <c r="AB49" s="21">
        <v>2420</v>
      </c>
      <c r="AC49" s="21">
        <v>2420</v>
      </c>
      <c r="AD49" s="21">
        <v>2420</v>
      </c>
      <c r="AE49" s="21">
        <v>2280</v>
      </c>
      <c r="AF49" s="21">
        <v>2140</v>
      </c>
      <c r="AG49" s="21">
        <v>2020</v>
      </c>
      <c r="AH49" s="21">
        <v>1910</v>
      </c>
      <c r="AI49" s="21">
        <v>1810</v>
      </c>
      <c r="AJ49" s="21">
        <v>1720</v>
      </c>
      <c r="AK49" s="21">
        <v>1580</v>
      </c>
      <c r="AL49" s="21">
        <v>1430</v>
      </c>
      <c r="AM49" s="21">
        <v>1300</v>
      </c>
      <c r="AN49" s="21">
        <v>1180</v>
      </c>
      <c r="AO49" s="21">
        <v>1080</v>
      </c>
      <c r="AP49" s="21">
        <v>980</v>
      </c>
      <c r="AQ49" s="21">
        <v>900</v>
      </c>
      <c r="AR49" s="21">
        <v>820</v>
      </c>
      <c r="AS49" s="21">
        <v>750</v>
      </c>
      <c r="AT49" s="21">
        <v>680</v>
      </c>
      <c r="AU49" s="21">
        <v>620</v>
      </c>
      <c r="AV49" s="21">
        <v>570</v>
      </c>
      <c r="AW49" s="21">
        <v>520</v>
      </c>
      <c r="AX49" s="21">
        <v>460</v>
      </c>
      <c r="AY49" s="21">
        <v>410</v>
      </c>
      <c r="AZ49" s="21">
        <v>360</v>
      </c>
      <c r="BA49" s="21">
        <v>320</v>
      </c>
      <c r="BB49" s="21">
        <v>280</v>
      </c>
      <c r="BC49" s="21">
        <v>240</v>
      </c>
      <c r="BD49" s="21">
        <v>200</v>
      </c>
      <c r="BE49" s="21">
        <v>170</v>
      </c>
      <c r="BF49" s="21" t="s">
        <v>109</v>
      </c>
      <c r="BG49" s="21" t="s">
        <v>109</v>
      </c>
      <c r="BH49" s="21" t="s">
        <v>109</v>
      </c>
      <c r="BI49" s="21" t="s">
        <v>109</v>
      </c>
      <c r="BJ49" s="21" t="s">
        <v>109</v>
      </c>
      <c r="BK49" s="21" t="s">
        <v>109</v>
      </c>
      <c r="BL49" s="21" t="s">
        <v>109</v>
      </c>
      <c r="BM49" s="21" t="s">
        <v>109</v>
      </c>
      <c r="BN49" s="21" t="s">
        <v>109</v>
      </c>
      <c r="BO49" s="21" t="s">
        <v>109</v>
      </c>
      <c r="BP49" s="21" t="s">
        <v>109</v>
      </c>
      <c r="BQ49" s="21" t="s">
        <v>109</v>
      </c>
      <c r="BR49" s="21" t="s">
        <v>109</v>
      </c>
      <c r="BS49" s="21" t="s">
        <v>109</v>
      </c>
      <c r="BT49" s="21" t="s">
        <v>109</v>
      </c>
      <c r="BU49" s="21" t="s">
        <v>109</v>
      </c>
      <c r="BV49" s="21" t="s">
        <v>109</v>
      </c>
      <c r="BW49" s="21" t="s">
        <v>109</v>
      </c>
      <c r="BX49" s="21" t="s">
        <v>109</v>
      </c>
      <c r="BY49" s="21" t="s">
        <v>109</v>
      </c>
      <c r="BZ49" s="21" t="s">
        <v>109</v>
      </c>
      <c r="CA49" s="21" t="s">
        <v>109</v>
      </c>
      <c r="CB49" s="21" t="s">
        <v>109</v>
      </c>
      <c r="CC49" s="21" t="s">
        <v>109</v>
      </c>
      <c r="CD49" s="21" t="s">
        <v>109</v>
      </c>
      <c r="CE49" s="21" t="s">
        <v>109</v>
      </c>
      <c r="CF49" s="21" t="s">
        <v>109</v>
      </c>
      <c r="CG49" s="21" t="s">
        <v>109</v>
      </c>
      <c r="CH49" s="21" t="s">
        <v>109</v>
      </c>
      <c r="CI49" s="21" t="s">
        <v>109</v>
      </c>
      <c r="CJ49" s="21" t="s">
        <v>109</v>
      </c>
      <c r="CK49" s="21" t="s">
        <v>109</v>
      </c>
      <c r="CL49" s="21" t="s">
        <v>109</v>
      </c>
      <c r="CM49" s="21" t="s">
        <v>109</v>
      </c>
      <c r="CN49" s="21" t="s">
        <v>109</v>
      </c>
      <c r="CO49" s="21" t="s">
        <v>109</v>
      </c>
      <c r="CP49" s="21" t="s">
        <v>109</v>
      </c>
      <c r="CQ49" s="21" t="s">
        <v>109</v>
      </c>
      <c r="CR49" s="21" t="s">
        <v>109</v>
      </c>
      <c r="CS49" s="21" t="s">
        <v>109</v>
      </c>
      <c r="CT49" s="21" t="s">
        <v>109</v>
      </c>
      <c r="CU49" s="21" t="s">
        <v>109</v>
      </c>
      <c r="CV49" s="21" t="s">
        <v>109</v>
      </c>
      <c r="CW49" s="21" t="s">
        <v>109</v>
      </c>
      <c r="CX49" s="21" t="s">
        <v>109</v>
      </c>
      <c r="CY49" s="21" t="s">
        <v>109</v>
      </c>
      <c r="CZ49" s="21" t="s">
        <v>109</v>
      </c>
      <c r="DB49" s="21">
        <f>INDEX(Z$47:CZ$51,3,MATCH(Calculator!$O$19,Z$2:CZ$2))</f>
        <v>360</v>
      </c>
    </row>
    <row r="50" spans="23:106" x14ac:dyDescent="0.25">
      <c r="W50" s="20">
        <v>25</v>
      </c>
      <c r="X50" s="21" t="str">
        <f>"25088"</f>
        <v>25088</v>
      </c>
      <c r="Y50" s="21">
        <v>22.22</v>
      </c>
      <c r="Z50" s="21">
        <v>2490</v>
      </c>
      <c r="AA50" s="21">
        <v>2490</v>
      </c>
      <c r="AB50" s="21">
        <v>2490</v>
      </c>
      <c r="AC50" s="21">
        <v>2490</v>
      </c>
      <c r="AD50" s="21">
        <v>2490</v>
      </c>
      <c r="AE50" s="21">
        <v>2490</v>
      </c>
      <c r="AF50" s="21">
        <v>2340</v>
      </c>
      <c r="AG50" s="21">
        <v>2210</v>
      </c>
      <c r="AH50" s="21">
        <v>2100</v>
      </c>
      <c r="AI50" s="21">
        <v>1990</v>
      </c>
      <c r="AJ50" s="21">
        <v>1890</v>
      </c>
      <c r="AK50" s="21">
        <v>1800</v>
      </c>
      <c r="AL50" s="21">
        <v>1720</v>
      </c>
      <c r="AM50" s="21">
        <v>1640</v>
      </c>
      <c r="AN50" s="21">
        <v>1570</v>
      </c>
      <c r="AO50" s="21">
        <v>1500</v>
      </c>
      <c r="AP50" s="21">
        <v>1440</v>
      </c>
      <c r="AQ50" s="21">
        <v>1380</v>
      </c>
      <c r="AR50" s="21">
        <v>1330</v>
      </c>
      <c r="AS50" s="21">
        <v>1240</v>
      </c>
      <c r="AT50" s="21">
        <v>1130</v>
      </c>
      <c r="AU50" s="21">
        <v>1040</v>
      </c>
      <c r="AV50" s="21">
        <v>950</v>
      </c>
      <c r="AW50" s="21">
        <v>870</v>
      </c>
      <c r="AX50" s="21">
        <v>800</v>
      </c>
      <c r="AY50" s="21">
        <v>730</v>
      </c>
      <c r="AZ50" s="21">
        <v>670</v>
      </c>
      <c r="BA50" s="21">
        <v>610</v>
      </c>
      <c r="BB50" s="21">
        <v>550</v>
      </c>
      <c r="BC50" s="21">
        <v>500</v>
      </c>
      <c r="BD50" s="21">
        <v>460</v>
      </c>
      <c r="BE50" s="21">
        <v>410</v>
      </c>
      <c r="BF50" s="21">
        <v>370</v>
      </c>
      <c r="BG50" s="21">
        <v>330</v>
      </c>
      <c r="BH50" s="21">
        <v>300</v>
      </c>
      <c r="BI50" s="21">
        <v>260</v>
      </c>
      <c r="BJ50" s="21">
        <v>230</v>
      </c>
      <c r="BK50" s="21">
        <v>180</v>
      </c>
      <c r="BL50" s="21" t="s">
        <v>109</v>
      </c>
      <c r="BM50" s="21" t="s">
        <v>109</v>
      </c>
      <c r="BN50" s="21" t="s">
        <v>109</v>
      </c>
      <c r="BO50" s="21" t="s">
        <v>109</v>
      </c>
      <c r="BP50" s="21" t="s">
        <v>109</v>
      </c>
      <c r="BQ50" s="21" t="s">
        <v>109</v>
      </c>
      <c r="BR50" s="21" t="s">
        <v>109</v>
      </c>
      <c r="BS50" s="21" t="s">
        <v>109</v>
      </c>
      <c r="BT50" s="21" t="s">
        <v>109</v>
      </c>
      <c r="BU50" s="21" t="s">
        <v>109</v>
      </c>
      <c r="BV50" s="21" t="s">
        <v>109</v>
      </c>
      <c r="BW50" s="21" t="s">
        <v>109</v>
      </c>
      <c r="BX50" s="21" t="s">
        <v>109</v>
      </c>
      <c r="BY50" s="21" t="s">
        <v>109</v>
      </c>
      <c r="BZ50" s="21" t="s">
        <v>109</v>
      </c>
      <c r="CA50" s="21" t="s">
        <v>109</v>
      </c>
      <c r="CB50" s="21" t="s">
        <v>109</v>
      </c>
      <c r="CC50" s="21" t="s">
        <v>109</v>
      </c>
      <c r="CD50" s="21" t="s">
        <v>109</v>
      </c>
      <c r="CE50" s="21" t="s">
        <v>109</v>
      </c>
      <c r="CF50" s="21" t="s">
        <v>109</v>
      </c>
      <c r="CG50" s="21" t="s">
        <v>109</v>
      </c>
      <c r="CH50" s="21" t="s">
        <v>109</v>
      </c>
      <c r="CI50" s="21" t="s">
        <v>109</v>
      </c>
      <c r="CJ50" s="21" t="s">
        <v>109</v>
      </c>
      <c r="CK50" s="21" t="s">
        <v>109</v>
      </c>
      <c r="CL50" s="21" t="s">
        <v>109</v>
      </c>
      <c r="CM50" s="21" t="s">
        <v>109</v>
      </c>
      <c r="CN50" s="21" t="s">
        <v>109</v>
      </c>
      <c r="CO50" s="21" t="s">
        <v>109</v>
      </c>
      <c r="CP50" s="21" t="s">
        <v>109</v>
      </c>
      <c r="CQ50" s="21" t="s">
        <v>109</v>
      </c>
      <c r="CR50" s="21" t="s">
        <v>109</v>
      </c>
      <c r="CS50" s="21" t="s">
        <v>109</v>
      </c>
      <c r="CT50" s="21" t="s">
        <v>109</v>
      </c>
      <c r="CU50" s="21" t="s">
        <v>109</v>
      </c>
      <c r="CV50" s="21" t="s">
        <v>109</v>
      </c>
      <c r="CW50" s="21" t="s">
        <v>109</v>
      </c>
      <c r="CX50" s="21" t="s">
        <v>109</v>
      </c>
      <c r="CY50" s="21" t="s">
        <v>109</v>
      </c>
      <c r="CZ50" s="21" t="s">
        <v>109</v>
      </c>
      <c r="DB50" s="21">
        <f>INDEX(Z$47:CZ$51,2,MATCH(Calculator!$O$19,Z$2:CZ$2))</f>
        <v>220</v>
      </c>
    </row>
    <row r="51" spans="23:106" x14ac:dyDescent="0.25">
      <c r="W51" s="20">
        <v>25</v>
      </c>
      <c r="X51" s="21">
        <v>25088026</v>
      </c>
      <c r="Y51" s="21">
        <v>24.85</v>
      </c>
      <c r="Z51" s="21">
        <v>2410</v>
      </c>
      <c r="AA51" s="21">
        <v>2410</v>
      </c>
      <c r="AB51" s="21">
        <v>2410</v>
      </c>
      <c r="AC51" s="21">
        <v>2410</v>
      </c>
      <c r="AD51" s="21">
        <v>2410</v>
      </c>
      <c r="AE51" s="21">
        <v>2410</v>
      </c>
      <c r="AF51" s="21">
        <v>2410</v>
      </c>
      <c r="AG51" s="21">
        <v>2280</v>
      </c>
      <c r="AH51" s="21">
        <v>2160</v>
      </c>
      <c r="AI51" s="21">
        <v>2050</v>
      </c>
      <c r="AJ51" s="21">
        <v>1950</v>
      </c>
      <c r="AK51" s="21">
        <v>1860</v>
      </c>
      <c r="AL51" s="21">
        <v>1770</v>
      </c>
      <c r="AM51" s="21">
        <v>1690</v>
      </c>
      <c r="AN51" s="21">
        <v>1620</v>
      </c>
      <c r="AO51" s="21">
        <v>1550</v>
      </c>
      <c r="AP51" s="21">
        <v>1490</v>
      </c>
      <c r="AQ51" s="21">
        <v>1430</v>
      </c>
      <c r="AR51" s="21">
        <v>1370</v>
      </c>
      <c r="AS51" s="21">
        <v>1320</v>
      </c>
      <c r="AT51" s="21">
        <v>1270</v>
      </c>
      <c r="AU51" s="21">
        <v>1190</v>
      </c>
      <c r="AV51" s="21">
        <v>1090</v>
      </c>
      <c r="AW51" s="21">
        <v>1010</v>
      </c>
      <c r="AX51" s="21">
        <v>930</v>
      </c>
      <c r="AY51" s="21">
        <v>850</v>
      </c>
      <c r="AZ51" s="21">
        <v>790</v>
      </c>
      <c r="BA51" s="21">
        <v>720</v>
      </c>
      <c r="BB51" s="21">
        <v>660</v>
      </c>
      <c r="BC51" s="21">
        <v>610</v>
      </c>
      <c r="BD51" s="21">
        <v>560</v>
      </c>
      <c r="BE51" s="21">
        <v>510</v>
      </c>
      <c r="BF51" s="21">
        <v>460</v>
      </c>
      <c r="BG51" s="21">
        <v>420</v>
      </c>
      <c r="BH51" s="21">
        <v>380</v>
      </c>
      <c r="BI51" s="21">
        <v>340</v>
      </c>
      <c r="BJ51" s="21">
        <v>310</v>
      </c>
      <c r="BK51" s="21">
        <v>280</v>
      </c>
      <c r="BL51" s="21">
        <v>250</v>
      </c>
      <c r="BM51" s="21">
        <v>180</v>
      </c>
      <c r="BN51" s="21" t="s">
        <v>109</v>
      </c>
      <c r="BO51" s="21" t="s">
        <v>109</v>
      </c>
      <c r="BP51" s="21" t="s">
        <v>109</v>
      </c>
      <c r="BQ51" s="21" t="s">
        <v>109</v>
      </c>
      <c r="BR51" s="21" t="s">
        <v>109</v>
      </c>
      <c r="BS51" s="21" t="s">
        <v>109</v>
      </c>
      <c r="BT51" s="21" t="s">
        <v>109</v>
      </c>
      <c r="BU51" s="21" t="s">
        <v>109</v>
      </c>
      <c r="BV51" s="21" t="s">
        <v>109</v>
      </c>
      <c r="BW51" s="21" t="s">
        <v>109</v>
      </c>
      <c r="BX51" s="21" t="s">
        <v>109</v>
      </c>
      <c r="BY51" s="21" t="s">
        <v>109</v>
      </c>
      <c r="BZ51" s="21" t="s">
        <v>109</v>
      </c>
      <c r="CA51" s="21" t="s">
        <v>109</v>
      </c>
      <c r="CB51" s="21" t="s">
        <v>109</v>
      </c>
      <c r="CC51" s="21" t="s">
        <v>109</v>
      </c>
      <c r="CD51" s="21" t="s">
        <v>109</v>
      </c>
      <c r="CE51" s="21" t="s">
        <v>109</v>
      </c>
      <c r="CF51" s="21" t="s">
        <v>109</v>
      </c>
      <c r="CG51" s="21" t="s">
        <v>109</v>
      </c>
      <c r="CH51" s="21" t="s">
        <v>109</v>
      </c>
      <c r="CI51" s="21" t="s">
        <v>109</v>
      </c>
      <c r="CJ51" s="21" t="s">
        <v>109</v>
      </c>
      <c r="CK51" s="21" t="s">
        <v>109</v>
      </c>
      <c r="CL51" s="21" t="s">
        <v>109</v>
      </c>
      <c r="CM51" s="21" t="s">
        <v>109</v>
      </c>
      <c r="CN51" s="21" t="s">
        <v>109</v>
      </c>
      <c r="CO51" s="21" t="s">
        <v>109</v>
      </c>
      <c r="CP51" s="21" t="s">
        <v>109</v>
      </c>
      <c r="CQ51" s="21" t="s">
        <v>109</v>
      </c>
      <c r="CR51" s="21" t="s">
        <v>109</v>
      </c>
      <c r="CS51" s="21" t="s">
        <v>109</v>
      </c>
      <c r="CT51" s="21" t="s">
        <v>109</v>
      </c>
      <c r="CU51" s="21" t="s">
        <v>109</v>
      </c>
      <c r="CV51" s="21" t="s">
        <v>109</v>
      </c>
      <c r="CW51" s="21" t="s">
        <v>109</v>
      </c>
      <c r="CX51" s="21" t="s">
        <v>109</v>
      </c>
      <c r="CY51" s="21" t="s">
        <v>109</v>
      </c>
      <c r="CZ51" s="21" t="s">
        <v>109</v>
      </c>
      <c r="DB51" s="21" t="str">
        <f>INDEX(Z$47:CZ$51,1,MATCH(Calculator!$O$19,Z$2:CZ$2))</f>
        <v>N</v>
      </c>
    </row>
    <row r="52" spans="23:106" x14ac:dyDescent="0.25">
      <c r="W52" s="20">
        <v>30</v>
      </c>
      <c r="X52" s="21" t="s">
        <v>123</v>
      </c>
      <c r="Y52" s="21">
        <v>21</v>
      </c>
      <c r="Z52" s="21">
        <v>2180</v>
      </c>
      <c r="AA52" s="21">
        <v>2180</v>
      </c>
      <c r="AB52" s="21">
        <v>2180</v>
      </c>
      <c r="AC52" s="21">
        <v>2180</v>
      </c>
      <c r="AD52" s="21">
        <v>2180</v>
      </c>
      <c r="AE52" s="21">
        <v>2180</v>
      </c>
      <c r="AF52" s="21">
        <v>2180</v>
      </c>
      <c r="AG52" s="21">
        <v>2180</v>
      </c>
      <c r="AH52" s="21">
        <v>2180</v>
      </c>
      <c r="AI52" s="21">
        <v>2070</v>
      </c>
      <c r="AJ52" s="21">
        <v>1970</v>
      </c>
      <c r="AK52" s="21">
        <v>1870</v>
      </c>
      <c r="AL52" s="21">
        <v>1780</v>
      </c>
      <c r="AM52" s="21">
        <v>1700</v>
      </c>
      <c r="AN52" s="21">
        <v>1630</v>
      </c>
      <c r="AO52" s="21">
        <v>1560</v>
      </c>
      <c r="AP52" s="21">
        <v>1440</v>
      </c>
      <c r="AQ52" s="21">
        <v>1320</v>
      </c>
      <c r="AR52" s="21">
        <v>1210</v>
      </c>
      <c r="AS52" s="21">
        <v>1120</v>
      </c>
      <c r="AT52" s="21">
        <v>1030</v>
      </c>
      <c r="AU52" s="21">
        <v>940</v>
      </c>
      <c r="AV52" s="21">
        <v>870</v>
      </c>
      <c r="AW52" s="21">
        <v>800</v>
      </c>
      <c r="AX52" s="21">
        <v>740</v>
      </c>
      <c r="AY52" s="21">
        <v>680</v>
      </c>
      <c r="AZ52" s="21">
        <v>620</v>
      </c>
      <c r="BA52" s="21">
        <v>570</v>
      </c>
      <c r="BB52" s="21">
        <v>520</v>
      </c>
      <c r="BC52" s="21">
        <v>470</v>
      </c>
      <c r="BD52" s="21">
        <v>420</v>
      </c>
      <c r="BE52" s="21">
        <v>380</v>
      </c>
      <c r="BF52" s="21">
        <v>340</v>
      </c>
      <c r="BG52" s="21">
        <v>300</v>
      </c>
      <c r="BH52" s="21">
        <v>260</v>
      </c>
      <c r="BI52" s="21">
        <v>220</v>
      </c>
      <c r="BJ52" s="21">
        <v>190</v>
      </c>
      <c r="BK52" s="21">
        <v>160</v>
      </c>
      <c r="BL52" s="21" t="s">
        <v>109</v>
      </c>
      <c r="BM52" s="21" t="s">
        <v>109</v>
      </c>
      <c r="BN52" s="21" t="s">
        <v>109</v>
      </c>
      <c r="BO52" s="21" t="s">
        <v>109</v>
      </c>
      <c r="BP52" s="21" t="s">
        <v>109</v>
      </c>
      <c r="BQ52" s="21" t="s">
        <v>109</v>
      </c>
      <c r="BR52" s="21" t="s">
        <v>109</v>
      </c>
      <c r="BS52" s="21" t="s">
        <v>109</v>
      </c>
      <c r="BT52" s="21" t="s">
        <v>109</v>
      </c>
      <c r="BU52" s="21" t="s">
        <v>109</v>
      </c>
      <c r="BV52" s="21" t="s">
        <v>109</v>
      </c>
      <c r="BW52" s="21" t="s">
        <v>109</v>
      </c>
      <c r="BX52" s="21" t="s">
        <v>109</v>
      </c>
      <c r="BY52" s="21" t="s">
        <v>109</v>
      </c>
      <c r="BZ52" s="21" t="s">
        <v>109</v>
      </c>
      <c r="CA52" s="21" t="s">
        <v>109</v>
      </c>
      <c r="CB52" s="21" t="s">
        <v>109</v>
      </c>
      <c r="CC52" s="21" t="s">
        <v>109</v>
      </c>
      <c r="CD52" s="21" t="s">
        <v>109</v>
      </c>
      <c r="CE52" s="21" t="s">
        <v>109</v>
      </c>
      <c r="CF52" s="21" t="s">
        <v>109</v>
      </c>
      <c r="CG52" s="21" t="s">
        <v>109</v>
      </c>
      <c r="CH52" s="21" t="s">
        <v>109</v>
      </c>
      <c r="CI52" s="21" t="s">
        <v>109</v>
      </c>
      <c r="CJ52" s="21" t="s">
        <v>109</v>
      </c>
      <c r="CK52" s="21" t="s">
        <v>109</v>
      </c>
      <c r="CL52" s="21" t="s">
        <v>109</v>
      </c>
      <c r="CM52" s="21" t="s">
        <v>109</v>
      </c>
      <c r="CN52" s="21" t="s">
        <v>109</v>
      </c>
      <c r="CO52" s="21" t="s">
        <v>109</v>
      </c>
      <c r="CP52" s="21" t="s">
        <v>109</v>
      </c>
      <c r="CQ52" s="21" t="s">
        <v>109</v>
      </c>
      <c r="CR52" s="21" t="s">
        <v>109</v>
      </c>
      <c r="CS52" s="21" t="s">
        <v>109</v>
      </c>
      <c r="CT52" s="21" t="s">
        <v>109</v>
      </c>
      <c r="CU52" s="21" t="s">
        <v>109</v>
      </c>
      <c r="CV52" s="21" t="s">
        <v>109</v>
      </c>
      <c r="CW52" s="21" t="s">
        <v>109</v>
      </c>
      <c r="CX52" s="21" t="s">
        <v>109</v>
      </c>
      <c r="CY52" s="21" t="s">
        <v>109</v>
      </c>
      <c r="CZ52" s="21" t="s">
        <v>109</v>
      </c>
      <c r="DB52" s="21">
        <f>INDEX(Z$52:CZ$57,6,MATCH(Calculator!$O$19,Z$2:CZ$2))</f>
        <v>1230</v>
      </c>
    </row>
    <row r="53" spans="23:106" x14ac:dyDescent="0.25">
      <c r="W53" s="20">
        <v>30</v>
      </c>
      <c r="X53" s="21" t="s">
        <v>124</v>
      </c>
      <c r="Y53" s="21">
        <v>24.1</v>
      </c>
      <c r="Z53" s="21">
        <v>2260</v>
      </c>
      <c r="AA53" s="21">
        <v>2260</v>
      </c>
      <c r="AB53" s="21">
        <v>2260</v>
      </c>
      <c r="AC53" s="21">
        <v>2260</v>
      </c>
      <c r="AD53" s="21">
        <v>2260</v>
      </c>
      <c r="AE53" s="21">
        <v>2260</v>
      </c>
      <c r="AF53" s="21">
        <v>2260</v>
      </c>
      <c r="AG53" s="21">
        <v>2260</v>
      </c>
      <c r="AH53" s="21">
        <v>2260</v>
      </c>
      <c r="AI53" s="21">
        <v>2150</v>
      </c>
      <c r="AJ53" s="21">
        <v>2040</v>
      </c>
      <c r="AK53" s="21">
        <v>1940</v>
      </c>
      <c r="AL53" s="21">
        <v>1850</v>
      </c>
      <c r="AM53" s="21">
        <v>1770</v>
      </c>
      <c r="AN53" s="21">
        <v>1690</v>
      </c>
      <c r="AO53" s="21">
        <v>1620</v>
      </c>
      <c r="AP53" s="21">
        <v>1550</v>
      </c>
      <c r="AQ53" s="21">
        <v>1490</v>
      </c>
      <c r="AR53" s="21">
        <v>1430</v>
      </c>
      <c r="AS53" s="21">
        <v>1340</v>
      </c>
      <c r="AT53" s="21">
        <v>1240</v>
      </c>
      <c r="AU53" s="21">
        <v>1150</v>
      </c>
      <c r="AV53" s="21">
        <v>1060</v>
      </c>
      <c r="AW53" s="21">
        <v>980</v>
      </c>
      <c r="AX53" s="21">
        <v>910</v>
      </c>
      <c r="AY53" s="21">
        <v>840</v>
      </c>
      <c r="AZ53" s="21">
        <v>780</v>
      </c>
      <c r="BA53" s="21">
        <v>720</v>
      </c>
      <c r="BB53" s="21">
        <v>660</v>
      </c>
      <c r="BC53" s="21">
        <v>600</v>
      </c>
      <c r="BD53" s="21">
        <v>550</v>
      </c>
      <c r="BE53" s="21">
        <v>500</v>
      </c>
      <c r="BF53" s="21">
        <v>450</v>
      </c>
      <c r="BG53" s="21">
        <v>410</v>
      </c>
      <c r="BH53" s="21">
        <v>360</v>
      </c>
      <c r="BI53" s="21">
        <v>330</v>
      </c>
      <c r="BJ53" s="21">
        <v>290</v>
      </c>
      <c r="BK53" s="21">
        <v>250</v>
      </c>
      <c r="BL53" s="21">
        <v>220</v>
      </c>
      <c r="BM53" s="21">
        <v>190</v>
      </c>
      <c r="BN53" s="21">
        <v>160</v>
      </c>
      <c r="BO53" s="21" t="s">
        <v>109</v>
      </c>
      <c r="BP53" s="21" t="s">
        <v>109</v>
      </c>
      <c r="BQ53" s="21" t="s">
        <v>109</v>
      </c>
      <c r="BR53" s="21" t="s">
        <v>109</v>
      </c>
      <c r="BS53" s="21" t="s">
        <v>109</v>
      </c>
      <c r="BT53" s="21" t="s">
        <v>109</v>
      </c>
      <c r="BU53" s="21" t="s">
        <v>109</v>
      </c>
      <c r="BV53" s="21" t="s">
        <v>109</v>
      </c>
      <c r="BW53" s="21" t="s">
        <v>109</v>
      </c>
      <c r="BX53" s="21" t="s">
        <v>109</v>
      </c>
      <c r="BY53" s="21" t="s">
        <v>109</v>
      </c>
      <c r="BZ53" s="21" t="s">
        <v>109</v>
      </c>
      <c r="CA53" s="21" t="s">
        <v>109</v>
      </c>
      <c r="CB53" s="21" t="s">
        <v>109</v>
      </c>
      <c r="CC53" s="21" t="s">
        <v>109</v>
      </c>
      <c r="CD53" s="21" t="s">
        <v>109</v>
      </c>
      <c r="CE53" s="21" t="s">
        <v>109</v>
      </c>
      <c r="CF53" s="21" t="s">
        <v>109</v>
      </c>
      <c r="CG53" s="21" t="s">
        <v>109</v>
      </c>
      <c r="CH53" s="21" t="s">
        <v>109</v>
      </c>
      <c r="CI53" s="21" t="s">
        <v>109</v>
      </c>
      <c r="CJ53" s="21" t="s">
        <v>109</v>
      </c>
      <c r="CK53" s="21" t="s">
        <v>109</v>
      </c>
      <c r="CL53" s="21" t="s">
        <v>109</v>
      </c>
      <c r="CM53" s="21" t="s">
        <v>109</v>
      </c>
      <c r="CN53" s="21" t="s">
        <v>109</v>
      </c>
      <c r="CO53" s="21" t="s">
        <v>109</v>
      </c>
      <c r="CP53" s="21" t="s">
        <v>109</v>
      </c>
      <c r="CQ53" s="21" t="s">
        <v>109</v>
      </c>
      <c r="CR53" s="21" t="s">
        <v>109</v>
      </c>
      <c r="CS53" s="21" t="s">
        <v>109</v>
      </c>
      <c r="CT53" s="21" t="s">
        <v>109</v>
      </c>
      <c r="CU53" s="21" t="s">
        <v>109</v>
      </c>
      <c r="CV53" s="21" t="s">
        <v>109</v>
      </c>
      <c r="CW53" s="21" t="s">
        <v>109</v>
      </c>
      <c r="CX53" s="21" t="s">
        <v>109</v>
      </c>
      <c r="CY53" s="21" t="s">
        <v>109</v>
      </c>
      <c r="CZ53" s="21" t="s">
        <v>109</v>
      </c>
      <c r="DB53" s="21">
        <f>INDEX(Z$52:CZ$57,5,MATCH(Calculator!$O$19,Z$2:CZ$2))</f>
        <v>1150</v>
      </c>
    </row>
    <row r="54" spans="23:106" x14ac:dyDescent="0.25">
      <c r="W54" s="20">
        <v>30</v>
      </c>
      <c r="X54" s="21" t="s">
        <v>125</v>
      </c>
      <c r="Y54" s="21">
        <v>27.17</v>
      </c>
      <c r="Z54" s="21">
        <v>2340</v>
      </c>
      <c r="AA54" s="21">
        <v>2340</v>
      </c>
      <c r="AB54" s="21">
        <v>2340</v>
      </c>
      <c r="AC54" s="21">
        <v>2340</v>
      </c>
      <c r="AD54" s="21">
        <v>2340</v>
      </c>
      <c r="AE54" s="21">
        <v>2340</v>
      </c>
      <c r="AF54" s="21">
        <v>2340</v>
      </c>
      <c r="AG54" s="21">
        <v>2340</v>
      </c>
      <c r="AH54" s="21">
        <v>2340</v>
      </c>
      <c r="AI54" s="21">
        <v>2220</v>
      </c>
      <c r="AJ54" s="21">
        <v>2110</v>
      </c>
      <c r="AK54" s="21">
        <v>2000</v>
      </c>
      <c r="AL54" s="21">
        <v>1910</v>
      </c>
      <c r="AM54" s="21">
        <v>1830</v>
      </c>
      <c r="AN54" s="21">
        <v>1750</v>
      </c>
      <c r="AO54" s="21">
        <v>1670</v>
      </c>
      <c r="AP54" s="21">
        <v>1600</v>
      </c>
      <c r="AQ54" s="21">
        <v>1540</v>
      </c>
      <c r="AR54" s="21">
        <v>1480</v>
      </c>
      <c r="AS54" s="21">
        <v>1420</v>
      </c>
      <c r="AT54" s="21">
        <v>1370</v>
      </c>
      <c r="AU54" s="21">
        <v>1320</v>
      </c>
      <c r="AV54" s="21">
        <v>1250</v>
      </c>
      <c r="AW54" s="21">
        <v>1160</v>
      </c>
      <c r="AX54" s="21">
        <v>1080</v>
      </c>
      <c r="AY54" s="21">
        <v>1000</v>
      </c>
      <c r="AZ54" s="21">
        <v>930</v>
      </c>
      <c r="BA54" s="21">
        <v>860</v>
      </c>
      <c r="BB54" s="21">
        <v>790</v>
      </c>
      <c r="BC54" s="21">
        <v>730</v>
      </c>
      <c r="BD54" s="21">
        <v>670</v>
      </c>
      <c r="BE54" s="21">
        <v>610</v>
      </c>
      <c r="BF54" s="21">
        <v>560</v>
      </c>
      <c r="BG54" s="21">
        <v>510</v>
      </c>
      <c r="BH54" s="21">
        <v>470</v>
      </c>
      <c r="BI54" s="21">
        <v>420</v>
      </c>
      <c r="BJ54" s="21">
        <v>380</v>
      </c>
      <c r="BK54" s="21">
        <v>350</v>
      </c>
      <c r="BL54" s="21">
        <v>310</v>
      </c>
      <c r="BM54" s="21">
        <v>280</v>
      </c>
      <c r="BN54" s="21">
        <v>240</v>
      </c>
      <c r="BO54" s="21">
        <v>210</v>
      </c>
      <c r="BP54" s="21">
        <v>190</v>
      </c>
      <c r="BQ54" s="21">
        <v>150</v>
      </c>
      <c r="BR54" s="21" t="s">
        <v>109</v>
      </c>
      <c r="BS54" s="21" t="s">
        <v>109</v>
      </c>
      <c r="BT54" s="21" t="s">
        <v>109</v>
      </c>
      <c r="BU54" s="21" t="s">
        <v>109</v>
      </c>
      <c r="BV54" s="21" t="s">
        <v>109</v>
      </c>
      <c r="BW54" s="21" t="s">
        <v>109</v>
      </c>
      <c r="BX54" s="21" t="s">
        <v>109</v>
      </c>
      <c r="BY54" s="21" t="s">
        <v>109</v>
      </c>
      <c r="BZ54" s="21" t="s">
        <v>109</v>
      </c>
      <c r="CA54" s="21" t="s">
        <v>109</v>
      </c>
      <c r="CB54" s="21" t="s">
        <v>109</v>
      </c>
      <c r="CC54" s="21" t="s">
        <v>109</v>
      </c>
      <c r="CD54" s="21" t="s">
        <v>109</v>
      </c>
      <c r="CE54" s="21" t="s">
        <v>109</v>
      </c>
      <c r="CF54" s="21" t="s">
        <v>109</v>
      </c>
      <c r="CG54" s="21" t="s">
        <v>109</v>
      </c>
      <c r="CH54" s="21" t="s">
        <v>109</v>
      </c>
      <c r="CI54" s="21" t="s">
        <v>109</v>
      </c>
      <c r="CJ54" s="21" t="s">
        <v>109</v>
      </c>
      <c r="CK54" s="21" t="s">
        <v>109</v>
      </c>
      <c r="CL54" s="21" t="s">
        <v>109</v>
      </c>
      <c r="CM54" s="21" t="s">
        <v>109</v>
      </c>
      <c r="CN54" s="21" t="s">
        <v>109</v>
      </c>
      <c r="CO54" s="21" t="s">
        <v>109</v>
      </c>
      <c r="CP54" s="21" t="s">
        <v>109</v>
      </c>
      <c r="CQ54" s="21" t="s">
        <v>109</v>
      </c>
      <c r="CR54" s="21" t="s">
        <v>109</v>
      </c>
      <c r="CS54" s="21" t="s">
        <v>109</v>
      </c>
      <c r="CT54" s="21" t="s">
        <v>109</v>
      </c>
      <c r="CU54" s="21" t="s">
        <v>109</v>
      </c>
      <c r="CV54" s="21" t="s">
        <v>109</v>
      </c>
      <c r="CW54" s="21" t="s">
        <v>109</v>
      </c>
      <c r="CX54" s="21" t="s">
        <v>109</v>
      </c>
      <c r="CY54" s="21" t="s">
        <v>109</v>
      </c>
      <c r="CZ54" s="21" t="s">
        <v>109</v>
      </c>
      <c r="DB54" s="21">
        <f>INDEX(Z$52:CZ$57,4,MATCH(Calculator!$O$19,Z$2:CZ$2))</f>
        <v>1040</v>
      </c>
    </row>
    <row r="55" spans="23:106" x14ac:dyDescent="0.25">
      <c r="W55" s="20">
        <v>30</v>
      </c>
      <c r="X55" s="21" t="s">
        <v>126</v>
      </c>
      <c r="Y55" s="21">
        <v>29.71</v>
      </c>
      <c r="Z55" s="21">
        <v>2420</v>
      </c>
      <c r="AA55" s="21">
        <v>2420</v>
      </c>
      <c r="AB55" s="21">
        <v>2420</v>
      </c>
      <c r="AC55" s="21">
        <v>2420</v>
      </c>
      <c r="AD55" s="21">
        <v>2420</v>
      </c>
      <c r="AE55" s="21">
        <v>2420</v>
      </c>
      <c r="AF55" s="21">
        <v>2420</v>
      </c>
      <c r="AG55" s="21">
        <v>2420</v>
      </c>
      <c r="AH55" s="21">
        <v>2420</v>
      </c>
      <c r="AI55" s="21">
        <v>2300</v>
      </c>
      <c r="AJ55" s="21">
        <v>2180</v>
      </c>
      <c r="AK55" s="21">
        <v>2080</v>
      </c>
      <c r="AL55" s="21">
        <v>1980</v>
      </c>
      <c r="AM55" s="21">
        <v>1890</v>
      </c>
      <c r="AN55" s="21">
        <v>1810</v>
      </c>
      <c r="AO55" s="21">
        <v>1740</v>
      </c>
      <c r="AP55" s="21">
        <v>1660</v>
      </c>
      <c r="AQ55" s="21">
        <v>1600</v>
      </c>
      <c r="AR55" s="21">
        <v>1540</v>
      </c>
      <c r="AS55" s="21">
        <v>1480</v>
      </c>
      <c r="AT55" s="21">
        <v>1420</v>
      </c>
      <c r="AU55" s="21">
        <v>1370</v>
      </c>
      <c r="AV55" s="21">
        <v>1320</v>
      </c>
      <c r="AW55" s="21">
        <v>1270</v>
      </c>
      <c r="AX55" s="21">
        <v>1220</v>
      </c>
      <c r="AY55" s="21">
        <v>1130</v>
      </c>
      <c r="AZ55" s="21">
        <v>1040</v>
      </c>
      <c r="BA55" s="21">
        <v>960</v>
      </c>
      <c r="BB55" s="21">
        <v>890</v>
      </c>
      <c r="BC55" s="21">
        <v>820</v>
      </c>
      <c r="BD55" s="21">
        <v>760</v>
      </c>
      <c r="BE55" s="21">
        <v>700</v>
      </c>
      <c r="BF55" s="21">
        <v>650</v>
      </c>
      <c r="BG55" s="21">
        <v>590</v>
      </c>
      <c r="BH55" s="21">
        <v>550</v>
      </c>
      <c r="BI55" s="21">
        <v>500</v>
      </c>
      <c r="BJ55" s="21">
        <v>460</v>
      </c>
      <c r="BK55" s="21">
        <v>420</v>
      </c>
      <c r="BL55" s="21">
        <v>380</v>
      </c>
      <c r="BM55" s="21">
        <v>340</v>
      </c>
      <c r="BN55" s="21">
        <v>310</v>
      </c>
      <c r="BO55" s="21">
        <v>280</v>
      </c>
      <c r="BP55" s="21">
        <v>250</v>
      </c>
      <c r="BQ55" s="21">
        <v>220</v>
      </c>
      <c r="BR55" s="21">
        <v>180</v>
      </c>
      <c r="BS55" s="21" t="s">
        <v>109</v>
      </c>
      <c r="BT55" s="21" t="s">
        <v>109</v>
      </c>
      <c r="BU55" s="21" t="s">
        <v>109</v>
      </c>
      <c r="BV55" s="21" t="s">
        <v>109</v>
      </c>
      <c r="BW55" s="21" t="s">
        <v>109</v>
      </c>
      <c r="BX55" s="21" t="s">
        <v>109</v>
      </c>
      <c r="BY55" s="21" t="s">
        <v>109</v>
      </c>
      <c r="BZ55" s="21" t="s">
        <v>109</v>
      </c>
      <c r="CA55" s="21" t="s">
        <v>109</v>
      </c>
      <c r="CB55" s="21" t="s">
        <v>109</v>
      </c>
      <c r="CC55" s="21" t="s">
        <v>109</v>
      </c>
      <c r="CD55" s="21" t="s">
        <v>109</v>
      </c>
      <c r="CE55" s="21" t="s">
        <v>109</v>
      </c>
      <c r="CF55" s="21" t="s">
        <v>109</v>
      </c>
      <c r="CG55" s="21" t="s">
        <v>109</v>
      </c>
      <c r="CH55" s="21" t="s">
        <v>109</v>
      </c>
      <c r="CI55" s="21" t="s">
        <v>109</v>
      </c>
      <c r="CJ55" s="21" t="s">
        <v>109</v>
      </c>
      <c r="CK55" s="21" t="s">
        <v>109</v>
      </c>
      <c r="CL55" s="21" t="s">
        <v>109</v>
      </c>
      <c r="CM55" s="21" t="s">
        <v>109</v>
      </c>
      <c r="CN55" s="21" t="s">
        <v>109</v>
      </c>
      <c r="CO55" s="21" t="s">
        <v>109</v>
      </c>
      <c r="CP55" s="21" t="s">
        <v>109</v>
      </c>
      <c r="CQ55" s="21" t="s">
        <v>109</v>
      </c>
      <c r="CR55" s="21" t="s">
        <v>109</v>
      </c>
      <c r="CS55" s="21" t="s">
        <v>109</v>
      </c>
      <c r="CT55" s="21" t="s">
        <v>109</v>
      </c>
      <c r="CU55" s="21" t="s">
        <v>109</v>
      </c>
      <c r="CV55" s="21" t="s">
        <v>109</v>
      </c>
      <c r="CW55" s="21" t="s">
        <v>109</v>
      </c>
      <c r="CX55" s="21" t="s">
        <v>109</v>
      </c>
      <c r="CY55" s="21" t="s">
        <v>109</v>
      </c>
      <c r="CZ55" s="21" t="s">
        <v>109</v>
      </c>
      <c r="DB55" s="21">
        <f>INDEX(Z$52:CZ$57,3,MATCH(Calculator!$O$19,Z$2:CZ$2))</f>
        <v>930</v>
      </c>
    </row>
    <row r="56" spans="23:106" x14ac:dyDescent="0.25">
      <c r="W56" s="20">
        <v>30</v>
      </c>
      <c r="X56" s="21" t="s">
        <v>127</v>
      </c>
      <c r="Y56" s="21">
        <v>32.200000000000003</v>
      </c>
      <c r="Z56" s="21">
        <v>2370</v>
      </c>
      <c r="AA56" s="21">
        <v>2370</v>
      </c>
      <c r="AB56" s="21">
        <v>2370</v>
      </c>
      <c r="AC56" s="21">
        <v>2370</v>
      </c>
      <c r="AD56" s="21">
        <v>2370</v>
      </c>
      <c r="AE56" s="21">
        <v>2370</v>
      </c>
      <c r="AF56" s="21">
        <v>2370</v>
      </c>
      <c r="AG56" s="21">
        <v>2370</v>
      </c>
      <c r="AH56" s="21">
        <v>2370</v>
      </c>
      <c r="AI56" s="21">
        <v>2370</v>
      </c>
      <c r="AJ56" s="21">
        <v>2250</v>
      </c>
      <c r="AK56" s="21">
        <v>2150</v>
      </c>
      <c r="AL56" s="21">
        <v>2050</v>
      </c>
      <c r="AM56" s="21">
        <v>1960</v>
      </c>
      <c r="AN56" s="21">
        <v>1870</v>
      </c>
      <c r="AO56" s="21">
        <v>1800</v>
      </c>
      <c r="AP56" s="21">
        <v>1720</v>
      </c>
      <c r="AQ56" s="21">
        <v>1650</v>
      </c>
      <c r="AR56" s="21">
        <v>1590</v>
      </c>
      <c r="AS56" s="21">
        <v>1530</v>
      </c>
      <c r="AT56" s="21">
        <v>1470</v>
      </c>
      <c r="AU56" s="21">
        <v>1420</v>
      </c>
      <c r="AV56" s="21">
        <v>1370</v>
      </c>
      <c r="AW56" s="21">
        <v>1320</v>
      </c>
      <c r="AX56" s="21">
        <v>1280</v>
      </c>
      <c r="AY56" s="21">
        <v>1230</v>
      </c>
      <c r="AZ56" s="21">
        <v>1150</v>
      </c>
      <c r="BA56" s="21">
        <v>1070</v>
      </c>
      <c r="BB56" s="21">
        <v>990</v>
      </c>
      <c r="BC56" s="21">
        <v>920</v>
      </c>
      <c r="BD56" s="21">
        <v>850</v>
      </c>
      <c r="BE56" s="21">
        <v>790</v>
      </c>
      <c r="BF56" s="21">
        <v>730</v>
      </c>
      <c r="BG56" s="21">
        <v>670</v>
      </c>
      <c r="BH56" s="21">
        <v>620</v>
      </c>
      <c r="BI56" s="21">
        <v>570</v>
      </c>
      <c r="BJ56" s="21">
        <v>530</v>
      </c>
      <c r="BK56" s="21">
        <v>480</v>
      </c>
      <c r="BL56" s="21">
        <v>440</v>
      </c>
      <c r="BM56" s="21">
        <v>410</v>
      </c>
      <c r="BN56" s="21">
        <v>370</v>
      </c>
      <c r="BO56" s="21">
        <v>340</v>
      </c>
      <c r="BP56" s="21">
        <v>300</v>
      </c>
      <c r="BQ56" s="21">
        <v>270</v>
      </c>
      <c r="BR56" s="21">
        <v>240</v>
      </c>
      <c r="BS56" s="21">
        <v>210</v>
      </c>
      <c r="BT56" s="21">
        <v>150</v>
      </c>
      <c r="BU56" s="21" t="s">
        <v>109</v>
      </c>
      <c r="BV56" s="21" t="s">
        <v>109</v>
      </c>
      <c r="BW56" s="21" t="s">
        <v>109</v>
      </c>
      <c r="BX56" s="21" t="s">
        <v>109</v>
      </c>
      <c r="BY56" s="21" t="s">
        <v>109</v>
      </c>
      <c r="BZ56" s="21" t="s">
        <v>109</v>
      </c>
      <c r="CA56" s="21" t="s">
        <v>109</v>
      </c>
      <c r="CB56" s="21" t="s">
        <v>109</v>
      </c>
      <c r="CC56" s="21" t="s">
        <v>109</v>
      </c>
      <c r="CD56" s="21" t="s">
        <v>109</v>
      </c>
      <c r="CE56" s="21" t="s">
        <v>109</v>
      </c>
      <c r="CF56" s="21" t="s">
        <v>109</v>
      </c>
      <c r="CG56" s="21" t="s">
        <v>109</v>
      </c>
      <c r="CH56" s="21" t="s">
        <v>109</v>
      </c>
      <c r="CI56" s="21" t="s">
        <v>109</v>
      </c>
      <c r="CJ56" s="21" t="s">
        <v>109</v>
      </c>
      <c r="CK56" s="21" t="s">
        <v>109</v>
      </c>
      <c r="CL56" s="21" t="s">
        <v>109</v>
      </c>
      <c r="CM56" s="21" t="s">
        <v>109</v>
      </c>
      <c r="CN56" s="21" t="s">
        <v>109</v>
      </c>
      <c r="CO56" s="21" t="s">
        <v>109</v>
      </c>
      <c r="CP56" s="21" t="s">
        <v>109</v>
      </c>
      <c r="CQ56" s="21" t="s">
        <v>109</v>
      </c>
      <c r="CR56" s="21" t="s">
        <v>109</v>
      </c>
      <c r="CS56" s="21" t="s">
        <v>109</v>
      </c>
      <c r="CT56" s="21" t="s">
        <v>109</v>
      </c>
      <c r="CU56" s="21" t="s">
        <v>109</v>
      </c>
      <c r="CV56" s="21" t="s">
        <v>109</v>
      </c>
      <c r="CW56" s="21" t="s">
        <v>109</v>
      </c>
      <c r="CX56" s="21" t="s">
        <v>109</v>
      </c>
      <c r="CY56" s="21" t="s">
        <v>109</v>
      </c>
      <c r="CZ56" s="21" t="s">
        <v>109</v>
      </c>
      <c r="DB56" s="21">
        <f>INDEX(Z$52:CZ$57,2,MATCH(Calculator!$O$19,Z$2:CZ$2))</f>
        <v>780</v>
      </c>
    </row>
    <row r="57" spans="23:106" x14ac:dyDescent="0.25">
      <c r="W57" s="20">
        <v>30</v>
      </c>
      <c r="X57" s="21" t="s">
        <v>128</v>
      </c>
      <c r="Y57" s="21">
        <v>34.67</v>
      </c>
      <c r="Z57" s="21">
        <v>2440</v>
      </c>
      <c r="AA57" s="21">
        <v>2440</v>
      </c>
      <c r="AB57" s="21">
        <v>2440</v>
      </c>
      <c r="AC57" s="21">
        <v>2440</v>
      </c>
      <c r="AD57" s="21">
        <v>2440</v>
      </c>
      <c r="AE57" s="21">
        <v>2440</v>
      </c>
      <c r="AF57" s="21">
        <v>2440</v>
      </c>
      <c r="AG57" s="21">
        <v>2440</v>
      </c>
      <c r="AH57" s="21">
        <v>2440</v>
      </c>
      <c r="AI57" s="21">
        <v>2440</v>
      </c>
      <c r="AJ57" s="21">
        <v>2320</v>
      </c>
      <c r="AK57" s="21">
        <v>2210</v>
      </c>
      <c r="AL57" s="21">
        <v>2110</v>
      </c>
      <c r="AM57" s="21">
        <v>2020</v>
      </c>
      <c r="AN57" s="21">
        <v>1930</v>
      </c>
      <c r="AO57" s="21">
        <v>1850</v>
      </c>
      <c r="AP57" s="21">
        <v>1780</v>
      </c>
      <c r="AQ57" s="21">
        <v>1710</v>
      </c>
      <c r="AR57" s="21">
        <v>1640</v>
      </c>
      <c r="AS57" s="21">
        <v>1580</v>
      </c>
      <c r="AT57" s="21">
        <v>1520</v>
      </c>
      <c r="AU57" s="21">
        <v>1470</v>
      </c>
      <c r="AV57" s="21">
        <v>1410</v>
      </c>
      <c r="AW57" s="21">
        <v>1370</v>
      </c>
      <c r="AX57" s="21">
        <v>1320</v>
      </c>
      <c r="AY57" s="21">
        <v>1280</v>
      </c>
      <c r="AZ57" s="21">
        <v>1230</v>
      </c>
      <c r="BA57" s="21">
        <v>1170</v>
      </c>
      <c r="BB57" s="21">
        <v>1080</v>
      </c>
      <c r="BC57" s="21">
        <v>1010</v>
      </c>
      <c r="BD57" s="21">
        <v>940</v>
      </c>
      <c r="BE57" s="21">
        <v>870</v>
      </c>
      <c r="BF57" s="21">
        <v>810</v>
      </c>
      <c r="BG57" s="21">
        <v>750</v>
      </c>
      <c r="BH57" s="21">
        <v>690</v>
      </c>
      <c r="BI57" s="21">
        <v>640</v>
      </c>
      <c r="BJ57" s="21">
        <v>600</v>
      </c>
      <c r="BK57" s="21">
        <v>550</v>
      </c>
      <c r="BL57" s="21">
        <v>510</v>
      </c>
      <c r="BM57" s="21">
        <v>470</v>
      </c>
      <c r="BN57" s="21">
        <v>430</v>
      </c>
      <c r="BO57" s="21">
        <v>390</v>
      </c>
      <c r="BP57" s="21">
        <v>360</v>
      </c>
      <c r="BQ57" s="21">
        <v>330</v>
      </c>
      <c r="BR57" s="21">
        <v>290</v>
      </c>
      <c r="BS57" s="21">
        <v>270</v>
      </c>
      <c r="BT57" s="21">
        <v>230</v>
      </c>
      <c r="BU57" s="21" t="s">
        <v>109</v>
      </c>
      <c r="BV57" s="21" t="s">
        <v>109</v>
      </c>
      <c r="BW57" s="21" t="s">
        <v>109</v>
      </c>
      <c r="BX57" s="21" t="s">
        <v>109</v>
      </c>
      <c r="BY57" s="21" t="s">
        <v>109</v>
      </c>
      <c r="BZ57" s="21" t="s">
        <v>109</v>
      </c>
      <c r="CA57" s="21" t="s">
        <v>109</v>
      </c>
      <c r="CB57" s="21" t="s">
        <v>109</v>
      </c>
      <c r="CC57" s="21" t="s">
        <v>109</v>
      </c>
      <c r="CD57" s="21" t="s">
        <v>109</v>
      </c>
      <c r="CE57" s="21" t="s">
        <v>109</v>
      </c>
      <c r="CF57" s="21" t="s">
        <v>109</v>
      </c>
      <c r="CG57" s="21" t="s">
        <v>109</v>
      </c>
      <c r="CH57" s="21" t="s">
        <v>109</v>
      </c>
      <c r="CI57" s="21" t="s">
        <v>109</v>
      </c>
      <c r="CJ57" s="21" t="s">
        <v>109</v>
      </c>
      <c r="CK57" s="21" t="s">
        <v>109</v>
      </c>
      <c r="CL57" s="21" t="s">
        <v>109</v>
      </c>
      <c r="CM57" s="21" t="s">
        <v>109</v>
      </c>
      <c r="CN57" s="21" t="s">
        <v>109</v>
      </c>
      <c r="CO57" s="21" t="s">
        <v>109</v>
      </c>
      <c r="CP57" s="21" t="s">
        <v>109</v>
      </c>
      <c r="CQ57" s="21" t="s">
        <v>109</v>
      </c>
      <c r="CR57" s="21" t="s">
        <v>109</v>
      </c>
      <c r="CS57" s="21" t="s">
        <v>109</v>
      </c>
      <c r="CT57" s="21" t="s">
        <v>109</v>
      </c>
      <c r="CU57" s="21" t="s">
        <v>109</v>
      </c>
      <c r="CV57" s="21" t="s">
        <v>109</v>
      </c>
      <c r="CW57" s="21" t="s">
        <v>109</v>
      </c>
      <c r="CX57" s="21" t="s">
        <v>109</v>
      </c>
      <c r="CY57" s="21" t="s">
        <v>109</v>
      </c>
      <c r="CZ57" s="21" t="s">
        <v>109</v>
      </c>
      <c r="DB57" s="21">
        <f>INDEX(Z$52:CZ$57,1,MATCH(Calculator!$O$19,Z$2:CZ$2))</f>
        <v>620</v>
      </c>
    </row>
    <row r="58" spans="23:106" x14ac:dyDescent="0.25">
      <c r="W58" s="20">
        <v>40</v>
      </c>
      <c r="X58" s="21" t="s">
        <v>129</v>
      </c>
      <c r="Y58" s="21">
        <v>28.4</v>
      </c>
      <c r="Z58" s="21">
        <v>2360</v>
      </c>
      <c r="AA58" s="21">
        <v>2360</v>
      </c>
      <c r="AB58" s="21">
        <v>2360</v>
      </c>
      <c r="AC58" s="21">
        <v>2360</v>
      </c>
      <c r="AD58" s="21">
        <v>2360</v>
      </c>
      <c r="AE58" s="21">
        <v>2360</v>
      </c>
      <c r="AF58" s="21">
        <v>2360</v>
      </c>
      <c r="AG58" s="21">
        <v>2360</v>
      </c>
      <c r="AH58" s="21">
        <v>2360</v>
      </c>
      <c r="AI58" s="21">
        <v>2360</v>
      </c>
      <c r="AJ58" s="21">
        <v>2360</v>
      </c>
      <c r="AK58" s="21">
        <v>2360</v>
      </c>
      <c r="AL58" s="21">
        <v>2360</v>
      </c>
      <c r="AM58" s="21">
        <v>2360</v>
      </c>
      <c r="AN58" s="21">
        <v>2360</v>
      </c>
      <c r="AO58" s="21">
        <v>2160</v>
      </c>
      <c r="AP58" s="21">
        <v>1980</v>
      </c>
      <c r="AQ58" s="21">
        <v>1820</v>
      </c>
      <c r="AR58" s="21">
        <v>1680</v>
      </c>
      <c r="AS58" s="21">
        <v>1540</v>
      </c>
      <c r="AT58" s="21">
        <v>1420</v>
      </c>
      <c r="AU58" s="21">
        <v>1310</v>
      </c>
      <c r="AV58" s="21">
        <v>1210</v>
      </c>
      <c r="AW58" s="21">
        <v>1120</v>
      </c>
      <c r="AX58" s="21">
        <v>1030</v>
      </c>
      <c r="AY58" s="21">
        <v>950</v>
      </c>
      <c r="AZ58" s="21">
        <v>880</v>
      </c>
      <c r="BA58" s="21">
        <v>810</v>
      </c>
      <c r="BB58" s="21">
        <v>750</v>
      </c>
      <c r="BC58" s="21">
        <v>690</v>
      </c>
      <c r="BD58" s="21">
        <v>630</v>
      </c>
      <c r="BE58" s="21">
        <v>580</v>
      </c>
      <c r="BF58" s="21">
        <v>530</v>
      </c>
      <c r="BG58" s="21">
        <v>490</v>
      </c>
      <c r="BH58" s="21">
        <v>440</v>
      </c>
      <c r="BI58" s="21">
        <v>400</v>
      </c>
      <c r="BJ58" s="21">
        <v>370</v>
      </c>
      <c r="BK58" s="21">
        <v>330</v>
      </c>
      <c r="BL58" s="21">
        <v>300</v>
      </c>
      <c r="BM58" s="21">
        <v>270</v>
      </c>
      <c r="BN58" s="21">
        <v>240</v>
      </c>
      <c r="BO58" s="21">
        <v>210</v>
      </c>
      <c r="BP58" s="21">
        <v>180</v>
      </c>
      <c r="BQ58" s="21">
        <v>150</v>
      </c>
      <c r="BR58" s="21" t="s">
        <v>109</v>
      </c>
      <c r="BS58" s="21" t="s">
        <v>109</v>
      </c>
      <c r="BT58" s="21" t="s">
        <v>109</v>
      </c>
      <c r="BU58" s="21" t="s">
        <v>109</v>
      </c>
      <c r="BV58" s="21" t="s">
        <v>109</v>
      </c>
      <c r="BW58" s="21" t="s">
        <v>109</v>
      </c>
      <c r="BX58" s="21" t="s">
        <v>109</v>
      </c>
      <c r="BY58" s="21" t="s">
        <v>109</v>
      </c>
      <c r="BZ58" s="21" t="s">
        <v>109</v>
      </c>
      <c r="CA58" s="21" t="s">
        <v>109</v>
      </c>
      <c r="CB58" s="21" t="s">
        <v>109</v>
      </c>
      <c r="CC58" s="21" t="s">
        <v>109</v>
      </c>
      <c r="CD58" s="21" t="s">
        <v>109</v>
      </c>
      <c r="CE58" s="21" t="s">
        <v>109</v>
      </c>
      <c r="CF58" s="21" t="s">
        <v>109</v>
      </c>
      <c r="CG58" s="21" t="s">
        <v>109</v>
      </c>
      <c r="CH58" s="21" t="s">
        <v>109</v>
      </c>
      <c r="CI58" s="21" t="s">
        <v>109</v>
      </c>
      <c r="CJ58" s="21" t="s">
        <v>109</v>
      </c>
      <c r="CK58" s="21" t="s">
        <v>109</v>
      </c>
      <c r="CL58" s="21" t="s">
        <v>109</v>
      </c>
      <c r="CM58" s="21" t="s">
        <v>109</v>
      </c>
      <c r="CN58" s="21" t="s">
        <v>109</v>
      </c>
      <c r="CO58" s="21" t="s">
        <v>109</v>
      </c>
      <c r="CP58" s="21" t="s">
        <v>109</v>
      </c>
      <c r="CQ58" s="21" t="s">
        <v>109</v>
      </c>
      <c r="CR58" s="21" t="s">
        <v>109</v>
      </c>
      <c r="CS58" s="21" t="s">
        <v>109</v>
      </c>
      <c r="CT58" s="21" t="s">
        <v>109</v>
      </c>
      <c r="CU58" s="21" t="s">
        <v>109</v>
      </c>
      <c r="CV58" s="21" t="s">
        <v>109</v>
      </c>
      <c r="CW58" s="21" t="s">
        <v>109</v>
      </c>
      <c r="CX58" s="21" t="s">
        <v>109</v>
      </c>
      <c r="CY58" s="21" t="s">
        <v>109</v>
      </c>
      <c r="CZ58" s="21" t="s">
        <v>109</v>
      </c>
      <c r="DB58" s="21">
        <f>INDEX(Z$58:CZ$63,1,MATCH(Calculator!$O$19,Z$2:CZ$2))</f>
        <v>880</v>
      </c>
    </row>
    <row r="59" spans="23:106" x14ac:dyDescent="0.25">
      <c r="W59" s="20">
        <v>40</v>
      </c>
      <c r="X59" s="21" t="s">
        <v>130</v>
      </c>
      <c r="Y59" s="21">
        <v>32.729999999999997</v>
      </c>
      <c r="Z59" s="21">
        <v>2370</v>
      </c>
      <c r="AA59" s="21">
        <v>2370</v>
      </c>
      <c r="AB59" s="21">
        <v>2370</v>
      </c>
      <c r="AC59" s="21">
        <v>2370</v>
      </c>
      <c r="AD59" s="21">
        <v>2370</v>
      </c>
      <c r="AE59" s="21">
        <v>2370</v>
      </c>
      <c r="AF59" s="21">
        <v>2370</v>
      </c>
      <c r="AG59" s="21">
        <v>2370</v>
      </c>
      <c r="AH59" s="21">
        <v>2370</v>
      </c>
      <c r="AI59" s="21">
        <v>2370</v>
      </c>
      <c r="AJ59" s="21">
        <v>2370</v>
      </c>
      <c r="AK59" s="21">
        <v>2370</v>
      </c>
      <c r="AL59" s="21">
        <v>2370</v>
      </c>
      <c r="AM59" s="21">
        <v>2370</v>
      </c>
      <c r="AN59" s="21">
        <v>2370</v>
      </c>
      <c r="AO59" s="21">
        <v>2370</v>
      </c>
      <c r="AP59" s="21">
        <v>2370</v>
      </c>
      <c r="AQ59" s="21">
        <v>2180</v>
      </c>
      <c r="AR59" s="21">
        <v>2020</v>
      </c>
      <c r="AS59" s="21">
        <v>1860</v>
      </c>
      <c r="AT59" s="21">
        <v>1720</v>
      </c>
      <c r="AU59" s="21">
        <v>1600</v>
      </c>
      <c r="AV59" s="21">
        <v>1480</v>
      </c>
      <c r="AW59" s="21">
        <v>1370</v>
      </c>
      <c r="AX59" s="21">
        <v>1270</v>
      </c>
      <c r="AY59" s="21">
        <v>1180</v>
      </c>
      <c r="AZ59" s="21">
        <v>1090</v>
      </c>
      <c r="BA59" s="21">
        <v>1020</v>
      </c>
      <c r="BB59" s="21">
        <v>940</v>
      </c>
      <c r="BC59" s="21">
        <v>870</v>
      </c>
      <c r="BD59" s="21">
        <v>810</v>
      </c>
      <c r="BE59" s="21">
        <v>750</v>
      </c>
      <c r="BF59" s="21">
        <v>700</v>
      </c>
      <c r="BG59" s="21">
        <v>640</v>
      </c>
      <c r="BH59" s="21">
        <v>590</v>
      </c>
      <c r="BI59" s="21">
        <v>550</v>
      </c>
      <c r="BJ59" s="21">
        <v>510</v>
      </c>
      <c r="BK59" s="21">
        <v>460</v>
      </c>
      <c r="BL59" s="21">
        <v>430</v>
      </c>
      <c r="BM59" s="21">
        <v>390</v>
      </c>
      <c r="BN59" s="21">
        <v>360</v>
      </c>
      <c r="BO59" s="21">
        <v>320</v>
      </c>
      <c r="BP59" s="21">
        <v>290</v>
      </c>
      <c r="BQ59" s="21">
        <v>250</v>
      </c>
      <c r="BR59" s="21">
        <v>220</v>
      </c>
      <c r="BS59" s="21">
        <v>190</v>
      </c>
      <c r="BT59" s="21">
        <v>160</v>
      </c>
      <c r="BU59" s="21" t="s">
        <v>109</v>
      </c>
      <c r="BV59" s="21" t="s">
        <v>109</v>
      </c>
      <c r="BW59" s="21" t="s">
        <v>109</v>
      </c>
      <c r="BX59" s="21" t="s">
        <v>109</v>
      </c>
      <c r="BY59" s="21" t="s">
        <v>109</v>
      </c>
      <c r="BZ59" s="21" t="s">
        <v>109</v>
      </c>
      <c r="CA59" s="21" t="s">
        <v>109</v>
      </c>
      <c r="CB59" s="21" t="s">
        <v>109</v>
      </c>
      <c r="CC59" s="21" t="s">
        <v>109</v>
      </c>
      <c r="CD59" s="21" t="s">
        <v>109</v>
      </c>
      <c r="CE59" s="21" t="s">
        <v>109</v>
      </c>
      <c r="CF59" s="21" t="s">
        <v>109</v>
      </c>
      <c r="CG59" s="21" t="s">
        <v>109</v>
      </c>
      <c r="CH59" s="21" t="s">
        <v>109</v>
      </c>
      <c r="CI59" s="21" t="s">
        <v>109</v>
      </c>
      <c r="CJ59" s="21" t="s">
        <v>109</v>
      </c>
      <c r="CK59" s="21" t="s">
        <v>109</v>
      </c>
      <c r="CL59" s="21" t="s">
        <v>109</v>
      </c>
      <c r="CM59" s="21" t="s">
        <v>109</v>
      </c>
      <c r="CN59" s="21" t="s">
        <v>109</v>
      </c>
      <c r="CO59" s="21" t="s">
        <v>109</v>
      </c>
      <c r="CP59" s="21" t="s">
        <v>109</v>
      </c>
      <c r="CQ59" s="21" t="s">
        <v>109</v>
      </c>
      <c r="CR59" s="21" t="s">
        <v>109</v>
      </c>
      <c r="CS59" s="21" t="s">
        <v>109</v>
      </c>
      <c r="CT59" s="21" t="s">
        <v>109</v>
      </c>
      <c r="CU59" s="21" t="s">
        <v>109</v>
      </c>
      <c r="CV59" s="21" t="s">
        <v>109</v>
      </c>
      <c r="CW59" s="21" t="s">
        <v>109</v>
      </c>
      <c r="CX59" s="21" t="s">
        <v>109</v>
      </c>
      <c r="CY59" s="21" t="s">
        <v>109</v>
      </c>
      <c r="CZ59" s="21" t="s">
        <v>109</v>
      </c>
      <c r="DB59" s="21">
        <f>INDEX(Z$58:CZ$63,2,MATCH(Calculator!$O$19,Z$2:CZ$2))</f>
        <v>1090</v>
      </c>
    </row>
    <row r="60" spans="23:106" x14ac:dyDescent="0.25">
      <c r="W60" s="20">
        <v>40</v>
      </c>
      <c r="X60" s="21" t="s">
        <v>131</v>
      </c>
      <c r="Y60" s="21">
        <v>37.020000000000003</v>
      </c>
      <c r="Z60" s="21">
        <v>2400</v>
      </c>
      <c r="AA60" s="21">
        <v>2400</v>
      </c>
      <c r="AB60" s="21">
        <v>2400</v>
      </c>
      <c r="AC60" s="21">
        <v>2400</v>
      </c>
      <c r="AD60" s="21">
        <v>2400</v>
      </c>
      <c r="AE60" s="21">
        <v>2400</v>
      </c>
      <c r="AF60" s="21">
        <v>2400</v>
      </c>
      <c r="AG60" s="21">
        <v>2400</v>
      </c>
      <c r="AH60" s="21">
        <v>2400</v>
      </c>
      <c r="AI60" s="21">
        <v>2400</v>
      </c>
      <c r="AJ60" s="21">
        <v>2400</v>
      </c>
      <c r="AK60" s="21">
        <v>2400</v>
      </c>
      <c r="AL60" s="21">
        <v>2400</v>
      </c>
      <c r="AM60" s="21">
        <v>2400</v>
      </c>
      <c r="AN60" s="21">
        <v>2400</v>
      </c>
      <c r="AO60" s="21">
        <v>2400</v>
      </c>
      <c r="AP60" s="21">
        <v>2400</v>
      </c>
      <c r="AQ60" s="21">
        <v>2400</v>
      </c>
      <c r="AR60" s="21">
        <v>2310</v>
      </c>
      <c r="AS60" s="21">
        <v>2180</v>
      </c>
      <c r="AT60" s="21">
        <v>2020</v>
      </c>
      <c r="AU60" s="21">
        <v>1880</v>
      </c>
      <c r="AV60" s="21">
        <v>1740</v>
      </c>
      <c r="AW60" s="21">
        <v>1620</v>
      </c>
      <c r="AX60" s="21">
        <v>1510</v>
      </c>
      <c r="AY60" s="21">
        <v>1410</v>
      </c>
      <c r="AZ60" s="21">
        <v>1310</v>
      </c>
      <c r="BA60" s="21">
        <v>1220</v>
      </c>
      <c r="BB60" s="21">
        <v>1140</v>
      </c>
      <c r="BC60" s="21">
        <v>1060</v>
      </c>
      <c r="BD60" s="21">
        <v>990</v>
      </c>
      <c r="BE60" s="21">
        <v>920</v>
      </c>
      <c r="BF60" s="21">
        <v>860</v>
      </c>
      <c r="BG60" s="21">
        <v>800</v>
      </c>
      <c r="BH60" s="21">
        <v>740</v>
      </c>
      <c r="BI60" s="21">
        <v>690</v>
      </c>
      <c r="BJ60" s="21">
        <v>640</v>
      </c>
      <c r="BK60" s="21">
        <v>600</v>
      </c>
      <c r="BL60" s="21">
        <v>550</v>
      </c>
      <c r="BM60" s="21">
        <v>510</v>
      </c>
      <c r="BN60" s="21">
        <v>470</v>
      </c>
      <c r="BO60" s="21">
        <v>440</v>
      </c>
      <c r="BP60" s="21">
        <v>390</v>
      </c>
      <c r="BQ60" s="21">
        <v>360</v>
      </c>
      <c r="BR60" s="21">
        <v>320</v>
      </c>
      <c r="BS60" s="21">
        <v>290</v>
      </c>
      <c r="BT60" s="21">
        <v>250</v>
      </c>
      <c r="BU60" s="21">
        <v>220</v>
      </c>
      <c r="BV60" s="21">
        <v>190</v>
      </c>
      <c r="BW60" s="21">
        <v>160</v>
      </c>
      <c r="BX60" s="21" t="s">
        <v>109</v>
      </c>
      <c r="BY60" s="21" t="s">
        <v>109</v>
      </c>
      <c r="BZ60" s="21" t="s">
        <v>109</v>
      </c>
      <c r="CA60" s="21" t="s">
        <v>109</v>
      </c>
      <c r="CB60" s="21" t="s">
        <v>109</v>
      </c>
      <c r="CC60" s="21" t="s">
        <v>109</v>
      </c>
      <c r="CD60" s="21" t="s">
        <v>109</v>
      </c>
      <c r="CE60" s="21" t="s">
        <v>109</v>
      </c>
      <c r="CF60" s="21" t="s">
        <v>109</v>
      </c>
      <c r="CG60" s="21" t="s">
        <v>109</v>
      </c>
      <c r="CH60" s="21" t="s">
        <v>109</v>
      </c>
      <c r="CI60" s="21" t="s">
        <v>109</v>
      </c>
      <c r="CJ60" s="21" t="s">
        <v>109</v>
      </c>
      <c r="CK60" s="21" t="s">
        <v>109</v>
      </c>
      <c r="CL60" s="21" t="s">
        <v>109</v>
      </c>
      <c r="CM60" s="21" t="s">
        <v>109</v>
      </c>
      <c r="CN60" s="21" t="s">
        <v>109</v>
      </c>
      <c r="CO60" s="21" t="s">
        <v>109</v>
      </c>
      <c r="CP60" s="21" t="s">
        <v>109</v>
      </c>
      <c r="CQ60" s="21" t="s">
        <v>109</v>
      </c>
      <c r="CR60" s="21" t="s">
        <v>109</v>
      </c>
      <c r="CS60" s="21" t="s">
        <v>109</v>
      </c>
      <c r="CT60" s="21" t="s">
        <v>109</v>
      </c>
      <c r="CU60" s="21" t="s">
        <v>109</v>
      </c>
      <c r="CV60" s="21" t="s">
        <v>109</v>
      </c>
      <c r="CW60" s="21" t="s">
        <v>109</v>
      </c>
      <c r="CX60" s="21" t="s">
        <v>109</v>
      </c>
      <c r="CY60" s="21" t="s">
        <v>109</v>
      </c>
      <c r="CZ60" s="21" t="s">
        <v>109</v>
      </c>
      <c r="DB60" s="21">
        <f>INDEX(Z$58:CZ$63,3,MATCH(Calculator!$O$19,Z$2:CZ$2))</f>
        <v>1310</v>
      </c>
    </row>
    <row r="61" spans="23:106" x14ac:dyDescent="0.25">
      <c r="W61" s="20">
        <v>40</v>
      </c>
      <c r="X61" s="21" t="s">
        <v>132</v>
      </c>
      <c r="Y61" s="21">
        <v>40.79</v>
      </c>
      <c r="Z61" s="21">
        <v>2480</v>
      </c>
      <c r="AA61" s="21">
        <v>2480</v>
      </c>
      <c r="AB61" s="21">
        <v>2480</v>
      </c>
      <c r="AC61" s="21">
        <v>2480</v>
      </c>
      <c r="AD61" s="21">
        <v>2480</v>
      </c>
      <c r="AE61" s="21">
        <v>2480</v>
      </c>
      <c r="AF61" s="21">
        <v>2480</v>
      </c>
      <c r="AG61" s="21">
        <v>2480</v>
      </c>
      <c r="AH61" s="21">
        <v>2480</v>
      </c>
      <c r="AI61" s="21">
        <v>2480</v>
      </c>
      <c r="AJ61" s="21">
        <v>2480</v>
      </c>
      <c r="AK61" s="21">
        <v>2480</v>
      </c>
      <c r="AL61" s="21">
        <v>2480</v>
      </c>
      <c r="AM61" s="21">
        <v>2480</v>
      </c>
      <c r="AN61" s="21">
        <v>2480</v>
      </c>
      <c r="AO61" s="21">
        <v>2480</v>
      </c>
      <c r="AP61" s="21">
        <v>2480</v>
      </c>
      <c r="AQ61" s="21">
        <v>2480</v>
      </c>
      <c r="AR61" s="21">
        <v>2390</v>
      </c>
      <c r="AS61" s="21">
        <v>2300</v>
      </c>
      <c r="AT61" s="21">
        <v>2220</v>
      </c>
      <c r="AU61" s="21">
        <v>2120</v>
      </c>
      <c r="AV61" s="21">
        <v>1980</v>
      </c>
      <c r="AW61" s="21">
        <v>1840</v>
      </c>
      <c r="AX61" s="21">
        <v>1720</v>
      </c>
      <c r="AY61" s="21">
        <v>1600</v>
      </c>
      <c r="AZ61" s="21">
        <v>1500</v>
      </c>
      <c r="BA61" s="21">
        <v>1400</v>
      </c>
      <c r="BB61" s="21">
        <v>1310</v>
      </c>
      <c r="BC61" s="21">
        <v>1220</v>
      </c>
      <c r="BD61" s="21">
        <v>1140</v>
      </c>
      <c r="BE61" s="21">
        <v>1070</v>
      </c>
      <c r="BF61" s="21">
        <v>1000</v>
      </c>
      <c r="BG61" s="21">
        <v>940</v>
      </c>
      <c r="BH61" s="21">
        <v>870</v>
      </c>
      <c r="BI61" s="21">
        <v>820</v>
      </c>
      <c r="BJ61" s="21">
        <v>760</v>
      </c>
      <c r="BK61" s="21">
        <v>710</v>
      </c>
      <c r="BL61" s="21">
        <v>660</v>
      </c>
      <c r="BM61" s="21">
        <v>620</v>
      </c>
      <c r="BN61" s="21">
        <v>570</v>
      </c>
      <c r="BO61" s="21">
        <v>530</v>
      </c>
      <c r="BP61" s="21">
        <v>480</v>
      </c>
      <c r="BQ61" s="21">
        <v>440</v>
      </c>
      <c r="BR61" s="21">
        <v>400</v>
      </c>
      <c r="BS61" s="21">
        <v>370</v>
      </c>
      <c r="BT61" s="21">
        <v>330</v>
      </c>
      <c r="BU61" s="21">
        <v>300</v>
      </c>
      <c r="BV61" s="21">
        <v>270</v>
      </c>
      <c r="BW61" s="21">
        <v>230</v>
      </c>
      <c r="BX61" s="21">
        <v>210</v>
      </c>
      <c r="BY61" s="21">
        <v>180</v>
      </c>
      <c r="BZ61" s="21">
        <v>150</v>
      </c>
      <c r="CA61" s="21" t="s">
        <v>109</v>
      </c>
      <c r="CB61" s="21" t="s">
        <v>109</v>
      </c>
      <c r="CC61" s="21" t="s">
        <v>109</v>
      </c>
      <c r="CD61" s="21" t="s">
        <v>109</v>
      </c>
      <c r="CE61" s="21" t="s">
        <v>109</v>
      </c>
      <c r="CF61" s="21" t="s">
        <v>109</v>
      </c>
      <c r="CG61" s="21" t="s">
        <v>109</v>
      </c>
      <c r="CH61" s="21" t="s">
        <v>109</v>
      </c>
      <c r="CI61" s="21" t="s">
        <v>109</v>
      </c>
      <c r="CJ61" s="21" t="s">
        <v>109</v>
      </c>
      <c r="CK61" s="21" t="s">
        <v>109</v>
      </c>
      <c r="CL61" s="21" t="s">
        <v>109</v>
      </c>
      <c r="CM61" s="21" t="s">
        <v>109</v>
      </c>
      <c r="CN61" s="21" t="s">
        <v>109</v>
      </c>
      <c r="CO61" s="21" t="s">
        <v>109</v>
      </c>
      <c r="CP61" s="21" t="s">
        <v>109</v>
      </c>
      <c r="CQ61" s="21" t="s">
        <v>109</v>
      </c>
      <c r="CR61" s="21" t="s">
        <v>109</v>
      </c>
      <c r="CS61" s="21" t="s">
        <v>109</v>
      </c>
      <c r="CT61" s="21" t="s">
        <v>109</v>
      </c>
      <c r="CU61" s="21" t="s">
        <v>109</v>
      </c>
      <c r="CV61" s="21" t="s">
        <v>109</v>
      </c>
      <c r="CW61" s="21" t="s">
        <v>109</v>
      </c>
      <c r="CX61" s="21" t="s">
        <v>109</v>
      </c>
      <c r="CY61" s="21" t="s">
        <v>109</v>
      </c>
      <c r="CZ61" s="21" t="s">
        <v>109</v>
      </c>
      <c r="DB61" s="21">
        <f>INDEX(Z$58:CZ$63,4,MATCH(Calculator!$O$19,Z$2:CZ$2))</f>
        <v>1500</v>
      </c>
    </row>
    <row r="62" spans="23:106" x14ac:dyDescent="0.25">
      <c r="W62" s="20">
        <v>40</v>
      </c>
      <c r="X62" s="21" t="s">
        <v>133</v>
      </c>
      <c r="Y62" s="21">
        <v>44.5</v>
      </c>
      <c r="Z62" s="21">
        <v>2460</v>
      </c>
      <c r="AA62" s="21">
        <v>2460</v>
      </c>
      <c r="AB62" s="21">
        <v>2460</v>
      </c>
      <c r="AC62" s="21">
        <v>2460</v>
      </c>
      <c r="AD62" s="21">
        <v>2460</v>
      </c>
      <c r="AE62" s="21">
        <v>2460</v>
      </c>
      <c r="AF62" s="21">
        <v>2460</v>
      </c>
      <c r="AG62" s="21">
        <v>2460</v>
      </c>
      <c r="AH62" s="21">
        <v>2460</v>
      </c>
      <c r="AI62" s="21">
        <v>2460</v>
      </c>
      <c r="AJ62" s="21">
        <v>2460</v>
      </c>
      <c r="AK62" s="21">
        <v>2460</v>
      </c>
      <c r="AL62" s="21">
        <v>2460</v>
      </c>
      <c r="AM62" s="21">
        <v>2460</v>
      </c>
      <c r="AN62" s="21">
        <v>2460</v>
      </c>
      <c r="AO62" s="21">
        <v>2460</v>
      </c>
      <c r="AP62" s="21">
        <v>2460</v>
      </c>
      <c r="AQ62" s="21">
        <v>2460</v>
      </c>
      <c r="AR62" s="21">
        <v>2460</v>
      </c>
      <c r="AS62" s="21">
        <v>2370</v>
      </c>
      <c r="AT62" s="21">
        <v>2290</v>
      </c>
      <c r="AU62" s="21">
        <v>2210</v>
      </c>
      <c r="AV62" s="21">
        <v>2130</v>
      </c>
      <c r="AW62" s="21">
        <v>2060</v>
      </c>
      <c r="AX62" s="21">
        <v>1920</v>
      </c>
      <c r="AY62" s="21">
        <v>1800</v>
      </c>
      <c r="AZ62" s="21">
        <v>1680</v>
      </c>
      <c r="BA62" s="21">
        <v>1580</v>
      </c>
      <c r="BB62" s="21">
        <v>1480</v>
      </c>
      <c r="BC62" s="21">
        <v>1380</v>
      </c>
      <c r="BD62" s="21">
        <v>1300</v>
      </c>
      <c r="BE62" s="21">
        <v>1220</v>
      </c>
      <c r="BF62" s="21">
        <v>1140</v>
      </c>
      <c r="BG62" s="21">
        <v>1070</v>
      </c>
      <c r="BH62" s="21">
        <v>1000</v>
      </c>
      <c r="BI62" s="21">
        <v>940</v>
      </c>
      <c r="BJ62" s="21">
        <v>880</v>
      </c>
      <c r="BK62" s="21">
        <v>830</v>
      </c>
      <c r="BL62" s="21">
        <v>770</v>
      </c>
      <c r="BM62" s="21">
        <v>720</v>
      </c>
      <c r="BN62" s="21">
        <v>660</v>
      </c>
      <c r="BO62" s="21">
        <v>620</v>
      </c>
      <c r="BP62" s="21">
        <v>570</v>
      </c>
      <c r="BQ62" s="21">
        <v>530</v>
      </c>
      <c r="BR62" s="21">
        <v>480</v>
      </c>
      <c r="BS62" s="21">
        <v>440</v>
      </c>
      <c r="BT62" s="21">
        <v>410</v>
      </c>
      <c r="BU62" s="21">
        <v>370</v>
      </c>
      <c r="BV62" s="21">
        <v>340</v>
      </c>
      <c r="BW62" s="21">
        <v>300</v>
      </c>
      <c r="BX62" s="21">
        <v>270</v>
      </c>
      <c r="BY62" s="21">
        <v>240</v>
      </c>
      <c r="BZ62" s="21">
        <v>220</v>
      </c>
      <c r="CA62" s="21">
        <v>190</v>
      </c>
      <c r="CB62" s="21">
        <v>160</v>
      </c>
      <c r="CC62" s="21" t="s">
        <v>109</v>
      </c>
      <c r="CD62" s="21" t="s">
        <v>109</v>
      </c>
      <c r="CE62" s="21" t="s">
        <v>109</v>
      </c>
      <c r="CF62" s="21" t="s">
        <v>109</v>
      </c>
      <c r="CG62" s="21" t="s">
        <v>109</v>
      </c>
      <c r="CH62" s="21" t="s">
        <v>109</v>
      </c>
      <c r="CI62" s="21" t="s">
        <v>109</v>
      </c>
      <c r="CJ62" s="21" t="s">
        <v>109</v>
      </c>
      <c r="CK62" s="21" t="s">
        <v>109</v>
      </c>
      <c r="CL62" s="21" t="s">
        <v>109</v>
      </c>
      <c r="CM62" s="21" t="s">
        <v>109</v>
      </c>
      <c r="CN62" s="21" t="s">
        <v>109</v>
      </c>
      <c r="CO62" s="21" t="s">
        <v>109</v>
      </c>
      <c r="CP62" s="21" t="s">
        <v>109</v>
      </c>
      <c r="CQ62" s="21" t="s">
        <v>109</v>
      </c>
      <c r="CR62" s="21" t="s">
        <v>109</v>
      </c>
      <c r="CS62" s="21" t="s">
        <v>109</v>
      </c>
      <c r="CT62" s="21" t="s">
        <v>109</v>
      </c>
      <c r="CU62" s="21" t="s">
        <v>109</v>
      </c>
      <c r="CV62" s="21" t="s">
        <v>109</v>
      </c>
      <c r="CW62" s="21" t="s">
        <v>109</v>
      </c>
      <c r="CX62" s="21" t="s">
        <v>109</v>
      </c>
      <c r="CY62" s="21" t="s">
        <v>109</v>
      </c>
      <c r="CZ62" s="21" t="s">
        <v>109</v>
      </c>
      <c r="DB62" s="21">
        <f>INDEX(Z$58:CZ$63,5,MATCH(Calculator!$O$19,Z$2:CZ$2))</f>
        <v>1680</v>
      </c>
    </row>
    <row r="63" spans="23:106" x14ac:dyDescent="0.25">
      <c r="W63" s="20">
        <v>40</v>
      </c>
      <c r="X63" s="21" t="s">
        <v>134</v>
      </c>
      <c r="Y63" s="21">
        <v>48.2</v>
      </c>
      <c r="Z63" s="21">
        <v>2480</v>
      </c>
      <c r="AA63" s="21">
        <v>2480</v>
      </c>
      <c r="AB63" s="21">
        <v>2480</v>
      </c>
      <c r="AC63" s="21">
        <v>2480</v>
      </c>
      <c r="AD63" s="21">
        <v>2480</v>
      </c>
      <c r="AE63" s="21">
        <v>2480</v>
      </c>
      <c r="AF63" s="21">
        <v>2480</v>
      </c>
      <c r="AG63" s="21">
        <v>2480</v>
      </c>
      <c r="AH63" s="21">
        <v>2480</v>
      </c>
      <c r="AI63" s="21">
        <v>2480</v>
      </c>
      <c r="AJ63" s="21">
        <v>2480</v>
      </c>
      <c r="AK63" s="21">
        <v>2480</v>
      </c>
      <c r="AL63" s="21">
        <v>2480</v>
      </c>
      <c r="AM63" s="21">
        <v>2480</v>
      </c>
      <c r="AN63" s="21">
        <v>2480</v>
      </c>
      <c r="AO63" s="21">
        <v>2480</v>
      </c>
      <c r="AP63" s="21">
        <v>2480</v>
      </c>
      <c r="AQ63" s="21">
        <v>2480</v>
      </c>
      <c r="AR63" s="21">
        <v>2480</v>
      </c>
      <c r="AS63" s="21">
        <v>2480</v>
      </c>
      <c r="AT63" s="21">
        <v>2390</v>
      </c>
      <c r="AU63" s="21">
        <v>2310</v>
      </c>
      <c r="AV63" s="21">
        <v>2230</v>
      </c>
      <c r="AW63" s="21">
        <v>2160</v>
      </c>
      <c r="AX63" s="21">
        <v>2090</v>
      </c>
      <c r="AY63" s="21">
        <v>1990</v>
      </c>
      <c r="AZ63" s="21">
        <v>1870</v>
      </c>
      <c r="BA63" s="21">
        <v>1750</v>
      </c>
      <c r="BB63" s="21">
        <v>1640</v>
      </c>
      <c r="BC63" s="21">
        <v>1540</v>
      </c>
      <c r="BD63" s="21">
        <v>1450</v>
      </c>
      <c r="BE63" s="21">
        <v>1360</v>
      </c>
      <c r="BF63" s="21">
        <v>1280</v>
      </c>
      <c r="BG63" s="21">
        <v>1200</v>
      </c>
      <c r="BH63" s="21">
        <v>1130</v>
      </c>
      <c r="BI63" s="21">
        <v>1050</v>
      </c>
      <c r="BJ63" s="21">
        <v>980</v>
      </c>
      <c r="BK63" s="21">
        <v>920</v>
      </c>
      <c r="BL63" s="21">
        <v>860</v>
      </c>
      <c r="BM63" s="21">
        <v>800</v>
      </c>
      <c r="BN63" s="21">
        <v>740</v>
      </c>
      <c r="BO63" s="21">
        <v>690</v>
      </c>
      <c r="BP63" s="21">
        <v>640</v>
      </c>
      <c r="BQ63" s="21">
        <v>600</v>
      </c>
      <c r="BR63" s="21">
        <v>550</v>
      </c>
      <c r="BS63" s="21">
        <v>510</v>
      </c>
      <c r="BT63" s="21">
        <v>470</v>
      </c>
      <c r="BU63" s="21">
        <v>430</v>
      </c>
      <c r="BV63" s="21">
        <v>400</v>
      </c>
      <c r="BW63" s="21">
        <v>360</v>
      </c>
      <c r="BX63" s="21">
        <v>330</v>
      </c>
      <c r="BY63" s="21">
        <v>300</v>
      </c>
      <c r="BZ63" s="21">
        <v>270</v>
      </c>
      <c r="CA63" s="21">
        <v>240</v>
      </c>
      <c r="CB63" s="21">
        <v>210</v>
      </c>
      <c r="CC63" s="21">
        <v>190</v>
      </c>
      <c r="CD63" s="21">
        <v>160</v>
      </c>
      <c r="CE63" s="21" t="s">
        <v>109</v>
      </c>
      <c r="CF63" s="21" t="s">
        <v>109</v>
      </c>
      <c r="CG63" s="21" t="s">
        <v>109</v>
      </c>
      <c r="CH63" s="21" t="s">
        <v>109</v>
      </c>
      <c r="CI63" s="21" t="s">
        <v>109</v>
      </c>
      <c r="CJ63" s="21" t="s">
        <v>109</v>
      </c>
      <c r="CK63" s="21" t="s">
        <v>109</v>
      </c>
      <c r="CL63" s="21" t="s">
        <v>109</v>
      </c>
      <c r="CM63" s="21" t="s">
        <v>109</v>
      </c>
      <c r="CN63" s="21" t="s">
        <v>109</v>
      </c>
      <c r="CO63" s="21" t="s">
        <v>109</v>
      </c>
      <c r="CP63" s="21" t="s">
        <v>109</v>
      </c>
      <c r="CQ63" s="21" t="s">
        <v>109</v>
      </c>
      <c r="CR63" s="21" t="s">
        <v>109</v>
      </c>
      <c r="CS63" s="21" t="s">
        <v>109</v>
      </c>
      <c r="CT63" s="21" t="s">
        <v>109</v>
      </c>
      <c r="CU63" s="21" t="s">
        <v>109</v>
      </c>
      <c r="CV63" s="21" t="s">
        <v>109</v>
      </c>
      <c r="CW63" s="21" t="s">
        <v>109</v>
      </c>
      <c r="CX63" s="21" t="s">
        <v>109</v>
      </c>
      <c r="CY63" s="21" t="s">
        <v>109</v>
      </c>
      <c r="CZ63" s="21" t="s">
        <v>109</v>
      </c>
      <c r="DB63" s="21">
        <f>INDEX(Z$58:CZ$63,6,MATCH(Calculator!$O$19,Z$2:CZ$2))</f>
        <v>1870</v>
      </c>
    </row>
    <row r="64" spans="23:106" x14ac:dyDescent="0.25">
      <c r="W64" s="20">
        <v>50</v>
      </c>
      <c r="X64" s="21" t="s">
        <v>135</v>
      </c>
      <c r="Y64" s="21">
        <v>28.4</v>
      </c>
      <c r="Z64" s="21">
        <v>3300</v>
      </c>
      <c r="AA64" s="21">
        <v>3300</v>
      </c>
      <c r="AB64" s="21">
        <v>3300</v>
      </c>
      <c r="AC64" s="21">
        <v>3300</v>
      </c>
      <c r="AD64" s="21">
        <v>3300</v>
      </c>
      <c r="AE64" s="21">
        <v>3300</v>
      </c>
      <c r="AF64" s="21">
        <v>3300</v>
      </c>
      <c r="AG64" s="21">
        <v>3300</v>
      </c>
      <c r="AH64" s="21">
        <v>3300</v>
      </c>
      <c r="AI64" s="21">
        <v>3300</v>
      </c>
      <c r="AJ64" s="21">
        <v>3300</v>
      </c>
      <c r="AK64" s="21">
        <v>3300</v>
      </c>
      <c r="AL64" s="21">
        <v>3300</v>
      </c>
      <c r="AM64" s="21">
        <v>3300</v>
      </c>
      <c r="AN64" s="21">
        <v>3300</v>
      </c>
      <c r="AO64" s="21">
        <v>3300</v>
      </c>
      <c r="AP64" s="21">
        <v>3300</v>
      </c>
      <c r="AQ64" s="21">
        <v>3300</v>
      </c>
      <c r="AR64" s="21">
        <v>3300</v>
      </c>
      <c r="AS64" s="21">
        <v>2800</v>
      </c>
      <c r="AT64" s="21">
        <v>2800</v>
      </c>
      <c r="AU64" s="21">
        <v>2500</v>
      </c>
      <c r="AV64" s="21">
        <v>2500</v>
      </c>
      <c r="AW64" s="21">
        <v>2150</v>
      </c>
      <c r="AX64" s="21">
        <v>2150</v>
      </c>
      <c r="AY64" s="21">
        <v>1900</v>
      </c>
      <c r="AZ64" s="21">
        <v>1900</v>
      </c>
      <c r="BA64" s="21">
        <v>1650</v>
      </c>
      <c r="BB64" s="21">
        <v>1650</v>
      </c>
      <c r="BC64" s="21">
        <v>1450</v>
      </c>
      <c r="BD64" s="21">
        <v>1450</v>
      </c>
      <c r="BE64" s="21">
        <v>1250</v>
      </c>
      <c r="BF64" s="21">
        <v>1250</v>
      </c>
      <c r="BG64" s="21">
        <v>1100</v>
      </c>
      <c r="BH64" s="21">
        <v>1100</v>
      </c>
      <c r="BI64" s="21">
        <v>980</v>
      </c>
      <c r="BJ64" s="21">
        <v>980</v>
      </c>
      <c r="BK64" s="21">
        <v>850</v>
      </c>
      <c r="BL64" s="21">
        <v>850</v>
      </c>
      <c r="BM64" s="21">
        <v>745</v>
      </c>
      <c r="BN64" s="21">
        <v>745</v>
      </c>
      <c r="BO64" s="21">
        <v>660</v>
      </c>
      <c r="BP64" s="21">
        <v>660</v>
      </c>
      <c r="BQ64" s="21">
        <v>560</v>
      </c>
      <c r="BR64" s="21">
        <v>560</v>
      </c>
      <c r="BS64" s="21">
        <v>470</v>
      </c>
      <c r="BT64" s="21">
        <v>470</v>
      </c>
      <c r="BU64" s="21">
        <v>400</v>
      </c>
      <c r="BV64" s="21">
        <v>400</v>
      </c>
      <c r="BW64" s="21">
        <v>340</v>
      </c>
      <c r="BX64" s="21">
        <v>340</v>
      </c>
      <c r="BY64" s="21">
        <v>270</v>
      </c>
      <c r="BZ64" s="21">
        <v>270</v>
      </c>
      <c r="CA64" s="21">
        <v>215</v>
      </c>
      <c r="CB64" s="21">
        <v>215</v>
      </c>
      <c r="CC64" s="21">
        <v>170</v>
      </c>
      <c r="CD64" s="21">
        <v>170</v>
      </c>
      <c r="CE64" s="21">
        <v>100</v>
      </c>
      <c r="CF64" s="21">
        <v>100</v>
      </c>
      <c r="CG64" s="21" t="s">
        <v>109</v>
      </c>
      <c r="CH64" s="21" t="s">
        <v>109</v>
      </c>
      <c r="CI64" s="21" t="s">
        <v>109</v>
      </c>
      <c r="CJ64" s="21" t="s">
        <v>109</v>
      </c>
      <c r="CK64" s="21" t="s">
        <v>109</v>
      </c>
      <c r="CL64" s="21" t="s">
        <v>109</v>
      </c>
      <c r="CM64" s="21" t="s">
        <v>109</v>
      </c>
      <c r="CN64" s="21" t="s">
        <v>109</v>
      </c>
      <c r="CO64" s="21" t="s">
        <v>109</v>
      </c>
      <c r="CP64" s="21" t="s">
        <v>109</v>
      </c>
      <c r="CQ64" s="21" t="s">
        <v>109</v>
      </c>
      <c r="CR64" s="21" t="s">
        <v>109</v>
      </c>
      <c r="CS64" s="21" t="s">
        <v>109</v>
      </c>
      <c r="CT64" s="21" t="s">
        <v>109</v>
      </c>
      <c r="CU64" s="21" t="s">
        <v>109</v>
      </c>
      <c r="CV64" s="21" t="s">
        <v>109</v>
      </c>
      <c r="CW64" s="21" t="s">
        <v>109</v>
      </c>
      <c r="CX64" s="21" t="s">
        <v>109</v>
      </c>
      <c r="CY64" s="21" t="s">
        <v>109</v>
      </c>
      <c r="CZ64" s="21" t="s">
        <v>109</v>
      </c>
      <c r="DB64" s="21">
        <f>INDEX(Z$64:CZ$68,1,MATCH(Calculator!$O$19,Z$2:CZ$2))</f>
        <v>1900</v>
      </c>
    </row>
    <row r="65" spans="23:106" x14ac:dyDescent="0.25">
      <c r="W65" s="20">
        <v>50</v>
      </c>
      <c r="X65" s="21" t="s">
        <v>136</v>
      </c>
      <c r="Y65" s="21">
        <v>32.729999999999997</v>
      </c>
      <c r="Z65" s="21">
        <v>3550</v>
      </c>
      <c r="AA65" s="21">
        <v>3550</v>
      </c>
      <c r="AB65" s="21">
        <v>3550</v>
      </c>
      <c r="AC65" s="21">
        <v>3550</v>
      </c>
      <c r="AD65" s="21">
        <v>3550</v>
      </c>
      <c r="AE65" s="21">
        <v>3550</v>
      </c>
      <c r="AF65" s="21">
        <v>3550</v>
      </c>
      <c r="AG65" s="21">
        <v>3550</v>
      </c>
      <c r="AH65" s="21">
        <v>3550</v>
      </c>
      <c r="AI65" s="21">
        <v>3550</v>
      </c>
      <c r="AJ65" s="21">
        <v>3550</v>
      </c>
      <c r="AK65" s="21">
        <v>3550</v>
      </c>
      <c r="AL65" s="21">
        <v>3550</v>
      </c>
      <c r="AM65" s="21">
        <v>3550</v>
      </c>
      <c r="AN65" s="21">
        <v>3550</v>
      </c>
      <c r="AO65" s="21">
        <v>3550</v>
      </c>
      <c r="AP65" s="21">
        <v>3550</v>
      </c>
      <c r="AQ65" s="21">
        <v>3550</v>
      </c>
      <c r="AR65" s="21">
        <v>3550</v>
      </c>
      <c r="AS65" s="21">
        <v>3250</v>
      </c>
      <c r="AT65" s="21">
        <v>3250</v>
      </c>
      <c r="AU65" s="21">
        <v>3050</v>
      </c>
      <c r="AV65" s="21">
        <v>3050</v>
      </c>
      <c r="AW65" s="21">
        <v>2720</v>
      </c>
      <c r="AX65" s="21">
        <v>2720</v>
      </c>
      <c r="AY65" s="21">
        <v>2500</v>
      </c>
      <c r="AZ65" s="21">
        <v>2500</v>
      </c>
      <c r="BA65" s="21">
        <v>2170</v>
      </c>
      <c r="BB65" s="21">
        <v>2170</v>
      </c>
      <c r="BC65" s="21">
        <v>1950</v>
      </c>
      <c r="BD65" s="21">
        <v>1950</v>
      </c>
      <c r="BE65" s="21">
        <v>1704</v>
      </c>
      <c r="BF65" s="21">
        <v>1704</v>
      </c>
      <c r="BG65" s="21">
        <v>1540</v>
      </c>
      <c r="BH65" s="21">
        <v>1540</v>
      </c>
      <c r="BI65" s="21">
        <v>1336</v>
      </c>
      <c r="BJ65" s="21">
        <v>1336</v>
      </c>
      <c r="BK65" s="21">
        <v>1200</v>
      </c>
      <c r="BL65" s="21">
        <v>1200</v>
      </c>
      <c r="BM65" s="21">
        <v>1050</v>
      </c>
      <c r="BN65" s="21">
        <v>1050</v>
      </c>
      <c r="BO65" s="21">
        <v>950</v>
      </c>
      <c r="BP65" s="21">
        <v>950</v>
      </c>
      <c r="BQ65" s="21">
        <v>824</v>
      </c>
      <c r="BR65" s="21">
        <v>824</v>
      </c>
      <c r="BS65" s="21">
        <v>740</v>
      </c>
      <c r="BT65" s="21">
        <v>740</v>
      </c>
      <c r="BU65" s="21">
        <v>638</v>
      </c>
      <c r="BV65" s="21">
        <v>638</v>
      </c>
      <c r="BW65" s="21">
        <v>570</v>
      </c>
      <c r="BX65" s="21">
        <v>570</v>
      </c>
      <c r="BY65" s="21">
        <v>480</v>
      </c>
      <c r="BZ65" s="21">
        <v>480</v>
      </c>
      <c r="CA65" s="21">
        <v>420</v>
      </c>
      <c r="CB65" s="21">
        <v>420</v>
      </c>
      <c r="CC65" s="21">
        <v>342</v>
      </c>
      <c r="CD65" s="21">
        <v>342</v>
      </c>
      <c r="CE65" s="21">
        <v>290</v>
      </c>
      <c r="CF65" s="21">
        <v>290</v>
      </c>
      <c r="CG65" s="21">
        <v>182</v>
      </c>
      <c r="CH65" s="21">
        <v>182</v>
      </c>
      <c r="CI65" s="21">
        <v>110</v>
      </c>
      <c r="CJ65" s="21">
        <v>110</v>
      </c>
      <c r="CK65" s="21" t="s">
        <v>109</v>
      </c>
      <c r="CL65" s="21" t="s">
        <v>109</v>
      </c>
      <c r="CM65" s="21" t="s">
        <v>109</v>
      </c>
      <c r="CN65" s="21" t="s">
        <v>109</v>
      </c>
      <c r="CO65" s="21" t="s">
        <v>109</v>
      </c>
      <c r="CP65" s="21" t="s">
        <v>109</v>
      </c>
      <c r="CQ65" s="21" t="s">
        <v>109</v>
      </c>
      <c r="CR65" s="21" t="s">
        <v>109</v>
      </c>
      <c r="CS65" s="21" t="s">
        <v>109</v>
      </c>
      <c r="CT65" s="21" t="s">
        <v>109</v>
      </c>
      <c r="CU65" s="21" t="s">
        <v>109</v>
      </c>
      <c r="CV65" s="21" t="s">
        <v>109</v>
      </c>
      <c r="CW65" s="21" t="s">
        <v>109</v>
      </c>
      <c r="CX65" s="21" t="s">
        <v>109</v>
      </c>
      <c r="CY65" s="21" t="s">
        <v>109</v>
      </c>
      <c r="CZ65" s="21" t="s">
        <v>109</v>
      </c>
      <c r="DB65" s="21">
        <f>INDEX(Z$64:CZ$68,2,MATCH(Calculator!$O$19,Z$2:CZ$2))</f>
        <v>2500</v>
      </c>
    </row>
    <row r="66" spans="23:106" x14ac:dyDescent="0.25">
      <c r="W66" s="20">
        <v>50</v>
      </c>
      <c r="X66" s="21" t="s">
        <v>137</v>
      </c>
      <c r="Y66" s="21">
        <v>37.020000000000003</v>
      </c>
      <c r="Z66" s="21">
        <v>3800</v>
      </c>
      <c r="AA66" s="21">
        <v>3800</v>
      </c>
      <c r="AB66" s="21">
        <v>3800</v>
      </c>
      <c r="AC66" s="21">
        <v>3800</v>
      </c>
      <c r="AD66" s="21">
        <v>3800</v>
      </c>
      <c r="AE66" s="21">
        <v>3800</v>
      </c>
      <c r="AF66" s="21">
        <v>3800</v>
      </c>
      <c r="AG66" s="21">
        <v>3800</v>
      </c>
      <c r="AH66" s="21">
        <v>3800</v>
      </c>
      <c r="AI66" s="21">
        <v>3800</v>
      </c>
      <c r="AJ66" s="21">
        <v>3800</v>
      </c>
      <c r="AK66" s="21">
        <v>3800</v>
      </c>
      <c r="AL66" s="21">
        <v>3800</v>
      </c>
      <c r="AM66" s="21">
        <v>3800</v>
      </c>
      <c r="AN66" s="21">
        <v>3800</v>
      </c>
      <c r="AO66" s="21">
        <v>3800</v>
      </c>
      <c r="AP66" s="21">
        <v>3800</v>
      </c>
      <c r="AQ66" s="21">
        <v>3800</v>
      </c>
      <c r="AR66" s="21">
        <v>3800</v>
      </c>
      <c r="AS66" s="21">
        <v>3470</v>
      </c>
      <c r="AT66" s="21">
        <v>3470</v>
      </c>
      <c r="AU66" s="21">
        <v>3250</v>
      </c>
      <c r="AV66" s="21">
        <v>3250</v>
      </c>
      <c r="AW66" s="21">
        <v>2980</v>
      </c>
      <c r="AX66" s="21">
        <v>2980</v>
      </c>
      <c r="AY66" s="21">
        <v>2800</v>
      </c>
      <c r="AZ66" s="21">
        <v>2800</v>
      </c>
      <c r="BA66" s="21">
        <v>2560</v>
      </c>
      <c r="BB66" s="21">
        <v>2560</v>
      </c>
      <c r="BC66" s="21">
        <v>2400</v>
      </c>
      <c r="BD66" s="21">
        <v>2400</v>
      </c>
      <c r="BE66" s="21">
        <v>2100</v>
      </c>
      <c r="BF66" s="21">
        <v>2100</v>
      </c>
      <c r="BG66" s="21">
        <v>1900</v>
      </c>
      <c r="BH66" s="21">
        <v>1900</v>
      </c>
      <c r="BI66" s="21">
        <v>1672</v>
      </c>
      <c r="BJ66" s="21">
        <v>1672</v>
      </c>
      <c r="BK66" s="21">
        <v>1520</v>
      </c>
      <c r="BL66" s="21">
        <v>1520</v>
      </c>
      <c r="BM66" s="21">
        <v>1328</v>
      </c>
      <c r="BN66" s="21">
        <v>1328</v>
      </c>
      <c r="BO66" s="21">
        <v>1200</v>
      </c>
      <c r="BP66" s="21">
        <v>1200</v>
      </c>
      <c r="BQ66" s="21">
        <v>1050</v>
      </c>
      <c r="BR66" s="21">
        <v>1050</v>
      </c>
      <c r="BS66" s="21">
        <v>950</v>
      </c>
      <c r="BT66" s="21">
        <v>950</v>
      </c>
      <c r="BU66" s="21">
        <v>824</v>
      </c>
      <c r="BV66" s="21">
        <v>824</v>
      </c>
      <c r="BW66" s="21">
        <v>740</v>
      </c>
      <c r="BX66" s="21">
        <v>740</v>
      </c>
      <c r="BY66" s="21">
        <v>632</v>
      </c>
      <c r="BZ66" s="21">
        <v>632</v>
      </c>
      <c r="CA66" s="21">
        <v>560</v>
      </c>
      <c r="CB66" s="21">
        <v>560</v>
      </c>
      <c r="CC66" s="21">
        <v>476</v>
      </c>
      <c r="CD66" s="21">
        <v>476</v>
      </c>
      <c r="CE66" s="21">
        <v>420</v>
      </c>
      <c r="CF66" s="21">
        <v>420</v>
      </c>
      <c r="CG66" s="21">
        <v>324</v>
      </c>
      <c r="CH66" s="21">
        <v>324</v>
      </c>
      <c r="CI66" s="21">
        <v>260</v>
      </c>
      <c r="CJ66" s="21">
        <v>260</v>
      </c>
      <c r="CK66" s="21" t="s">
        <v>109</v>
      </c>
      <c r="CL66" s="21" t="s">
        <v>109</v>
      </c>
      <c r="CM66" s="21" t="s">
        <v>109</v>
      </c>
      <c r="CN66" s="21" t="s">
        <v>109</v>
      </c>
      <c r="CO66" s="21" t="s">
        <v>109</v>
      </c>
      <c r="CP66" s="21" t="s">
        <v>109</v>
      </c>
      <c r="CQ66" s="21" t="s">
        <v>109</v>
      </c>
      <c r="CR66" s="21" t="s">
        <v>109</v>
      </c>
      <c r="CS66" s="21" t="s">
        <v>109</v>
      </c>
      <c r="CT66" s="21" t="s">
        <v>109</v>
      </c>
      <c r="CU66" s="21" t="s">
        <v>109</v>
      </c>
      <c r="CV66" s="21" t="s">
        <v>109</v>
      </c>
      <c r="CW66" s="21" t="s">
        <v>109</v>
      </c>
      <c r="CX66" s="21" t="s">
        <v>109</v>
      </c>
      <c r="CY66" s="21" t="s">
        <v>109</v>
      </c>
      <c r="CZ66" s="21" t="s">
        <v>109</v>
      </c>
      <c r="DB66" s="21">
        <f>INDEX(Z$64:CZ$68,3,MATCH(Calculator!$O$19,Z$2:CZ$2))</f>
        <v>2800</v>
      </c>
    </row>
    <row r="67" spans="23:106" x14ac:dyDescent="0.25">
      <c r="W67" s="20">
        <v>50</v>
      </c>
      <c r="X67" s="21" t="s">
        <v>138</v>
      </c>
      <c r="Y67" s="21">
        <v>40.79</v>
      </c>
      <c r="Z67" s="21">
        <v>4100</v>
      </c>
      <c r="AA67" s="21">
        <v>4100</v>
      </c>
      <c r="AB67" s="21">
        <v>4100</v>
      </c>
      <c r="AC67" s="21">
        <v>4100</v>
      </c>
      <c r="AD67" s="21">
        <v>4100</v>
      </c>
      <c r="AE67" s="21">
        <v>4100</v>
      </c>
      <c r="AF67" s="21">
        <v>4100</v>
      </c>
      <c r="AG67" s="21">
        <v>4100</v>
      </c>
      <c r="AH67" s="21">
        <v>4100</v>
      </c>
      <c r="AI67" s="21">
        <v>4100</v>
      </c>
      <c r="AJ67" s="21">
        <v>4100</v>
      </c>
      <c r="AK67" s="21">
        <v>4100</v>
      </c>
      <c r="AL67" s="21">
        <v>4100</v>
      </c>
      <c r="AM67" s="21">
        <v>4100</v>
      </c>
      <c r="AN67" s="21">
        <v>4100</v>
      </c>
      <c r="AO67" s="21">
        <v>4100</v>
      </c>
      <c r="AP67" s="21">
        <v>4100</v>
      </c>
      <c r="AQ67" s="21">
        <v>4100</v>
      </c>
      <c r="AR67" s="21">
        <v>4100</v>
      </c>
      <c r="AS67" s="21">
        <v>3740</v>
      </c>
      <c r="AT67" s="21">
        <v>3740</v>
      </c>
      <c r="AU67" s="21">
        <v>3500</v>
      </c>
      <c r="AV67" s="21">
        <v>3500</v>
      </c>
      <c r="AW67" s="21">
        <v>3200</v>
      </c>
      <c r="AX67" s="21">
        <v>3200</v>
      </c>
      <c r="AY67" s="21">
        <v>3000</v>
      </c>
      <c r="AZ67" s="21">
        <v>3000</v>
      </c>
      <c r="BA67" s="21">
        <v>2820</v>
      </c>
      <c r="BB67" s="21">
        <v>2820</v>
      </c>
      <c r="BC67" s="21">
        <v>2700</v>
      </c>
      <c r="BD67" s="21">
        <v>2700</v>
      </c>
      <c r="BE67" s="21">
        <v>2388</v>
      </c>
      <c r="BF67" s="21">
        <v>2388</v>
      </c>
      <c r="BG67" s="21">
        <v>2180</v>
      </c>
      <c r="BH67" s="21">
        <v>2180</v>
      </c>
      <c r="BI67" s="21">
        <v>1916</v>
      </c>
      <c r="BJ67" s="21">
        <v>1916</v>
      </c>
      <c r="BK67" s="21">
        <v>1740</v>
      </c>
      <c r="BL67" s="21">
        <v>1740</v>
      </c>
      <c r="BM67" s="21">
        <v>1536</v>
      </c>
      <c r="BN67" s="21">
        <v>1536</v>
      </c>
      <c r="BO67" s="21">
        <v>1400</v>
      </c>
      <c r="BP67" s="21">
        <v>1400</v>
      </c>
      <c r="BQ67" s="21">
        <v>1232</v>
      </c>
      <c r="BR67" s="21">
        <v>1232</v>
      </c>
      <c r="BS67" s="21">
        <v>1120</v>
      </c>
      <c r="BT67" s="21">
        <v>1120</v>
      </c>
      <c r="BU67" s="21">
        <v>976</v>
      </c>
      <c r="BV67" s="21">
        <v>976</v>
      </c>
      <c r="BW67" s="21">
        <v>880</v>
      </c>
      <c r="BX67" s="21">
        <v>880</v>
      </c>
      <c r="BY67" s="21">
        <v>772</v>
      </c>
      <c r="BZ67" s="21">
        <v>772</v>
      </c>
      <c r="CA67" s="21">
        <v>700</v>
      </c>
      <c r="CB67" s="21">
        <v>700</v>
      </c>
      <c r="CC67" s="21">
        <v>610</v>
      </c>
      <c r="CD67" s="21">
        <v>610</v>
      </c>
      <c r="CE67" s="21">
        <v>550</v>
      </c>
      <c r="CF67" s="21">
        <v>550</v>
      </c>
      <c r="CG67" s="21">
        <v>430</v>
      </c>
      <c r="CH67" s="21">
        <v>430</v>
      </c>
      <c r="CI67" s="21">
        <v>350</v>
      </c>
      <c r="CJ67" s="21">
        <v>350</v>
      </c>
      <c r="CK67" s="21">
        <v>200</v>
      </c>
      <c r="CL67" s="21">
        <v>200</v>
      </c>
      <c r="CM67" s="21">
        <v>100</v>
      </c>
      <c r="CN67" s="21">
        <v>100</v>
      </c>
      <c r="CO67" s="21" t="s">
        <v>109</v>
      </c>
      <c r="CP67" s="21" t="s">
        <v>109</v>
      </c>
      <c r="CQ67" s="21" t="s">
        <v>109</v>
      </c>
      <c r="CR67" s="21" t="s">
        <v>109</v>
      </c>
      <c r="CS67" s="21" t="s">
        <v>109</v>
      </c>
      <c r="CT67" s="21" t="s">
        <v>109</v>
      </c>
      <c r="CU67" s="21" t="s">
        <v>109</v>
      </c>
      <c r="CV67" s="21" t="s">
        <v>109</v>
      </c>
      <c r="CW67" s="21" t="s">
        <v>109</v>
      </c>
      <c r="CX67" s="21" t="s">
        <v>109</v>
      </c>
      <c r="CY67" s="21" t="s">
        <v>109</v>
      </c>
      <c r="CZ67" s="21" t="s">
        <v>109</v>
      </c>
      <c r="DB67" s="21">
        <f>INDEX(Z$64:CZ$68,4,MATCH(Calculator!$O$19,Z$2:CZ$2))</f>
        <v>3000</v>
      </c>
    </row>
    <row r="68" spans="23:106" x14ac:dyDescent="0.25">
      <c r="W68" s="20">
        <v>50</v>
      </c>
      <c r="X68" s="21" t="s">
        <v>139</v>
      </c>
      <c r="Y68" s="21">
        <v>44.5</v>
      </c>
      <c r="Z68" s="21">
        <v>4250</v>
      </c>
      <c r="AA68" s="21">
        <v>4250</v>
      </c>
      <c r="AB68" s="21">
        <v>4250</v>
      </c>
      <c r="AC68" s="21">
        <v>4250</v>
      </c>
      <c r="AD68" s="21">
        <v>4250</v>
      </c>
      <c r="AE68" s="21">
        <v>4250</v>
      </c>
      <c r="AF68" s="21">
        <v>4250</v>
      </c>
      <c r="AG68" s="21">
        <v>4250</v>
      </c>
      <c r="AH68" s="21">
        <v>4250</v>
      </c>
      <c r="AI68" s="21">
        <v>4250</v>
      </c>
      <c r="AJ68" s="21">
        <v>4250</v>
      </c>
      <c r="AK68" s="21">
        <v>4250</v>
      </c>
      <c r="AL68" s="21">
        <v>4250</v>
      </c>
      <c r="AM68" s="21">
        <v>4250</v>
      </c>
      <c r="AN68" s="21">
        <v>4250</v>
      </c>
      <c r="AO68" s="21">
        <v>4250</v>
      </c>
      <c r="AP68" s="21">
        <v>4250</v>
      </c>
      <c r="AQ68" s="21">
        <v>4250</v>
      </c>
      <c r="AR68" s="21">
        <v>4250</v>
      </c>
      <c r="AS68" s="21">
        <v>3890</v>
      </c>
      <c r="AT68" s="21">
        <v>3890</v>
      </c>
      <c r="AU68" s="21">
        <v>3650</v>
      </c>
      <c r="AV68" s="21">
        <v>3650</v>
      </c>
      <c r="AW68" s="21">
        <v>3350</v>
      </c>
      <c r="AX68" s="21">
        <v>3350</v>
      </c>
      <c r="AY68" s="21">
        <v>3150</v>
      </c>
      <c r="AZ68" s="21">
        <v>3150</v>
      </c>
      <c r="BA68" s="21">
        <v>2970</v>
      </c>
      <c r="BB68" s="21">
        <v>2970</v>
      </c>
      <c r="BC68" s="21">
        <v>2850</v>
      </c>
      <c r="BD68" s="21">
        <v>2850</v>
      </c>
      <c r="BE68" s="21">
        <v>2640</v>
      </c>
      <c r="BF68" s="21">
        <v>2640</v>
      </c>
      <c r="BG68" s="21">
        <v>2500</v>
      </c>
      <c r="BH68" s="21">
        <v>2500</v>
      </c>
      <c r="BI68" s="21">
        <v>2218</v>
      </c>
      <c r="BJ68" s="21">
        <v>2218</v>
      </c>
      <c r="BK68" s="21">
        <v>2030</v>
      </c>
      <c r="BL68" s="21">
        <v>2030</v>
      </c>
      <c r="BM68" s="21">
        <v>1802</v>
      </c>
      <c r="BN68" s="21">
        <v>1802</v>
      </c>
      <c r="BO68" s="21">
        <v>1650</v>
      </c>
      <c r="BP68" s="21">
        <v>1650</v>
      </c>
      <c r="BQ68" s="21">
        <v>1470</v>
      </c>
      <c r="BR68" s="21">
        <v>1470</v>
      </c>
      <c r="BS68" s="21">
        <v>1350</v>
      </c>
      <c r="BT68" s="21">
        <v>1350</v>
      </c>
      <c r="BU68" s="21">
        <v>1200</v>
      </c>
      <c r="BV68" s="21">
        <v>1200</v>
      </c>
      <c r="BW68" s="21">
        <v>1100</v>
      </c>
      <c r="BX68" s="21">
        <v>1100</v>
      </c>
      <c r="BY68" s="21">
        <v>974</v>
      </c>
      <c r="BZ68" s="21">
        <v>974</v>
      </c>
      <c r="CA68" s="21">
        <v>890</v>
      </c>
      <c r="CB68" s="21">
        <v>890</v>
      </c>
      <c r="CC68" s="21">
        <v>782</v>
      </c>
      <c r="CD68" s="21">
        <v>782</v>
      </c>
      <c r="CE68" s="21">
        <v>710</v>
      </c>
      <c r="CF68" s="21">
        <v>710</v>
      </c>
      <c r="CG68" s="21">
        <v>626</v>
      </c>
      <c r="CH68" s="21">
        <v>626</v>
      </c>
      <c r="CI68" s="21">
        <v>570</v>
      </c>
      <c r="CJ68" s="21">
        <v>570</v>
      </c>
      <c r="CK68" s="21">
        <v>492</v>
      </c>
      <c r="CL68" s="21">
        <v>492</v>
      </c>
      <c r="CM68" s="21">
        <v>440</v>
      </c>
      <c r="CN68" s="21">
        <v>440</v>
      </c>
      <c r="CO68" s="21">
        <v>374</v>
      </c>
      <c r="CP68" s="21">
        <v>374</v>
      </c>
      <c r="CQ68" s="21">
        <v>330</v>
      </c>
      <c r="CR68" s="21">
        <v>330</v>
      </c>
      <c r="CS68" s="21">
        <v>276</v>
      </c>
      <c r="CT68" s="21">
        <v>276</v>
      </c>
      <c r="CU68" s="21">
        <v>240</v>
      </c>
      <c r="CV68" s="21">
        <v>240</v>
      </c>
      <c r="CW68" s="21">
        <v>198</v>
      </c>
      <c r="CX68" s="21">
        <v>198</v>
      </c>
      <c r="CY68" s="21">
        <v>170</v>
      </c>
      <c r="CZ68" s="21">
        <v>170</v>
      </c>
      <c r="DB68" s="21">
        <f>INDEX(Z$64:CZ$68,5,MATCH(Calculator!$O$19,Z$2:CZ$2))</f>
        <v>3150</v>
      </c>
    </row>
    <row r="69" spans="23:106" x14ac:dyDescent="0.25">
      <c r="Y69" s="21"/>
    </row>
    <row r="70" spans="23:106" x14ac:dyDescent="0.25">
      <c r="Y70" s="20" t="s">
        <v>140</v>
      </c>
    </row>
    <row r="71" spans="23:106" x14ac:dyDescent="0.25">
      <c r="Y71" s="20">
        <f>IF(Calculator!O13="איתור מכלל הלוח""דים",1,0)</f>
        <v>1</v>
      </c>
    </row>
    <row r="72" spans="23:106" x14ac:dyDescent="0.25">
      <c r="W72" s="21" t="str">
        <f>IF(Calculator!O23="אין לוח""ד מתאים","N",1)</f>
        <v>N</v>
      </c>
      <c r="X72" s="21" t="str">
        <f>IF(Calculator!Q23&gt;Calculator!$O$17,1,"N")</f>
        <v>N</v>
      </c>
      <c r="Y72" s="21">
        <f>IF(Y$71=0,IF(24&gt;=Calculator!O$14,1,"N"),1)</f>
        <v>1</v>
      </c>
    </row>
    <row r="73" spans="23:106" x14ac:dyDescent="0.25">
      <c r="W73" s="21" t="str">
        <f>IF(Calculator!O24="אין לוח""ד מתאים","N",2)</f>
        <v>N</v>
      </c>
      <c r="X73" s="21" t="str">
        <f>IF(Calculator!Q24&gt;Calculator!$O$17,2,"N")</f>
        <v>N</v>
      </c>
      <c r="Y73" s="21">
        <f>IF(Y$71=0,IF(28&gt;=Calculator!O$14,2,"N"),2)</f>
        <v>2</v>
      </c>
    </row>
    <row r="74" spans="23:106" x14ac:dyDescent="0.25">
      <c r="W74" s="21">
        <f>IF(Calculator!O25="אין לוח""ד מתאים","N",3)</f>
        <v>3</v>
      </c>
      <c r="X74" s="21" t="str">
        <f>IF(Calculator!Q25&gt;Calculator!$O$17,3,"N")</f>
        <v>N</v>
      </c>
      <c r="Y74" s="21">
        <f>IF(Y$71=0,IF(33&gt;=Calculator!O$14,3,"N"),3)</f>
        <v>3</v>
      </c>
    </row>
    <row r="75" spans="23:106" x14ac:dyDescent="0.25">
      <c r="W75" s="21">
        <f>IF(Calculator!O26="אין לוח""ד מתאים","N",4)</f>
        <v>4</v>
      </c>
      <c r="X75" s="21" t="str">
        <f>IF(Calculator!Q26&gt;Calculator!$O$17,4,"N")</f>
        <v>N</v>
      </c>
      <c r="Y75" s="21">
        <f>IF(Y$71=0,IF(38&gt;=Calculator!O$14,4,"N"),4)</f>
        <v>4</v>
      </c>
    </row>
    <row r="76" spans="23:106" x14ac:dyDescent="0.25">
      <c r="W76" s="21">
        <f>IF(Calculator!O27="אין לוח""ד מתאים","N",5)</f>
        <v>5</v>
      </c>
      <c r="X76" s="21">
        <f>IF(Calculator!Q27&gt;Calculator!$O$17,5,"N")</f>
        <v>5</v>
      </c>
      <c r="Y76" s="21">
        <f>IF(Y$71=0,IF(48&gt;=Calculator!O$14,5,"N"),5)</f>
        <v>5</v>
      </c>
    </row>
    <row r="77" spans="23:106" x14ac:dyDescent="0.25">
      <c r="W77" s="21">
        <f>IF(Calculator!O28="אין לוח""ד מתאים","N",6)</f>
        <v>6</v>
      </c>
      <c r="X77" s="21">
        <f>IF(Calculator!Q28&gt;Calculator!$O$17,6,"N")</f>
        <v>6</v>
      </c>
      <c r="Y77" s="21">
        <f>IF(Y$71=0,IF(58&gt;=Calculator!O$14,6,"N"),6)</f>
        <v>6</v>
      </c>
    </row>
    <row r="78" spans="23:106" x14ac:dyDescent="0.25">
      <c r="W78" s="21">
        <f>IF(MIN(W72:W77)=0,"N",MIN(W72:W77))</f>
        <v>3</v>
      </c>
      <c r="X78" s="21">
        <f>IF(MIN(X72:X77)=0,"N",MIN(X72:X77))</f>
        <v>5</v>
      </c>
      <c r="Y78" s="21">
        <f>IF(MIN(Y72:Y77)=0,"N",MIN(Y72:Y77))</f>
        <v>1</v>
      </c>
    </row>
    <row r="79" spans="23:106" x14ac:dyDescent="0.25">
      <c r="W79" s="20">
        <f>IF(COUNTIF(W78:Y78,"N")&gt;0,"N",MAX(W78:Y78))</f>
        <v>5</v>
      </c>
    </row>
  </sheetData>
  <sheetProtection algorithmName="SHA-512" hashValue="4iVQGzYNjs7wxMMFMZyhl6Ngz36gaCNNpk4DZl5QdCWm6iOXNIBbputSB9hbaF1SjQGcs3u2DfOCPbbPzIpEzQ==" saltValue="eLA5R4jJ3EzmGu4fYKwbpw==" spinCount="100000" sheet="1" objects="1" scenarios="1" selectLockedCells="1" selectUnlockedCells="1"/>
  <mergeCells count="1">
    <mergeCell ref="B2:D3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Michael Amar</dc:creator>
  <cp:keywords/>
  <dc:description/>
  <cp:lastModifiedBy>Michael Amar</cp:lastModifiedBy>
  <cp:revision/>
  <dcterms:created xsi:type="dcterms:W3CDTF">2015-06-05T18:19:34Z</dcterms:created>
  <dcterms:modified xsi:type="dcterms:W3CDTF">2024-08-30T05:43:53Z</dcterms:modified>
  <cp:category/>
  <cp:contentStatus/>
</cp:coreProperties>
</file>