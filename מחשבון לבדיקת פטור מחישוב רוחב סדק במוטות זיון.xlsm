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ostbguacil-my.sharepoint.com/personal/amarmich_post_bgu_ac_il/Documents/SE_Excels/"/>
    </mc:Choice>
  </mc:AlternateContent>
  <xr:revisionPtr revIDLastSave="4627" documentId="8_{66C54EB2-D259-456F-860E-064CD20A2466}" xr6:coauthVersionLast="47" xr6:coauthVersionMax="47" xr10:uidLastSave="{4DC986BB-CED0-49B6-B7DE-B5B3C8C5EE9C}"/>
  <bookViews>
    <workbookView xWindow="-120" yWindow="-120" windowWidth="29040" windowHeight="15840" xr2:uid="{00000000-000D-0000-FFFF-FFFF00000000}"/>
  </bookViews>
  <sheets>
    <sheet name="בדיקת פטור מחישוב רוחב סדק" sheetId="1" r:id="rId1"/>
    <sheet name="S5" sheetId="5" state="veryHidden" r:id="rId2"/>
    <sheet name="S2" sheetId="2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" l="1"/>
  <c r="F10" i="1" s="1"/>
  <c r="F8" i="1"/>
  <c r="C15" i="1"/>
  <c r="B16" i="1" s="1"/>
  <c r="C14" i="1" a="1"/>
  <c r="C14" i="1" s="1"/>
  <c r="F11" i="1" a="1"/>
  <c r="F11" i="1" l="1"/>
  <c r="D18" i="5" s="1"/>
  <c r="D18" i="2" a="1"/>
  <c r="Q6" i="5" l="1"/>
  <c r="Q5" i="5"/>
  <c r="Q7" i="5"/>
  <c r="Q4" i="5"/>
  <c r="Q13" i="5"/>
  <c r="D19" i="5"/>
  <c r="Q11" i="5"/>
  <c r="Q8" i="5"/>
  <c r="Q3" i="5"/>
  <c r="D20" i="5"/>
  <c r="Q9" i="5"/>
  <c r="Q12" i="5"/>
  <c r="Q10" i="5"/>
  <c r="D17" i="5"/>
  <c r="D15" i="5" s="1"/>
  <c r="F18" i="1" s="1" a="1"/>
  <c r="F18" i="1" s="1"/>
  <c r="D18" i="2"/>
  <c r="Q1" i="5" l="1"/>
  <c r="F12" i="1" s="1" a="1"/>
  <c r="F12" i="1" s="1"/>
  <c r="F13" i="1" s="1"/>
  <c r="F1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Amar</author>
  </authors>
  <commentList>
    <comment ref="E11" authorId="0" shapeId="0" xr:uid="{B502CCFA-B7D2-4E87-A8BE-1B73842F80EA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נוסחה 6.5</t>
        </r>
      </text>
    </comment>
    <comment ref="B12" authorId="0" shapeId="0" xr:uid="{C957B341-8046-49BE-A728-1657AE767F93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ראה טבלה 6.3, עמ' 84.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<sst xmlns="http://schemas.openxmlformats.org/spreadsheetml/2006/main" count="76" uniqueCount="46">
  <si>
    <t>בס"ד</t>
  </si>
  <si>
    <t>אגרגט</t>
  </si>
  <si>
    <t>פלדה</t>
  </si>
  <si>
    <t>ב-20</t>
  </si>
  <si>
    <t>ב-25</t>
  </si>
  <si>
    <t>ב-30</t>
  </si>
  <si>
    <t>ב-40</t>
  </si>
  <si>
    <t>ב-50</t>
  </si>
  <si>
    <t>ב-60</t>
  </si>
  <si>
    <t>חוזק אופייני בלחיצה</t>
  </si>
  <si>
    <t>f_ck [M[a]</t>
  </si>
  <si>
    <t>E גירי</t>
  </si>
  <si>
    <t>E דולומיטי</t>
  </si>
  <si>
    <t>פ-240</t>
  </si>
  <si>
    <t>פ-400</t>
  </si>
  <si>
    <t>פ-500</t>
  </si>
  <si>
    <t>fsk</t>
  </si>
  <si>
    <t>fsd</t>
  </si>
  <si>
    <t>f_cd</t>
  </si>
  <si>
    <t>f_ctm</t>
  </si>
  <si>
    <t>f_ctk</t>
  </si>
  <si>
    <t>ח' - טובים</t>
  </si>
  <si>
    <t>ח' - נחותים</t>
  </si>
  <si>
    <t>מ' - טובים</t>
  </si>
  <si>
    <t>מ' - נחותים</t>
  </si>
  <si>
    <t>גירי</t>
  </si>
  <si>
    <t>דולומיטי</t>
  </si>
  <si>
    <t>נתונים</t>
  </si>
  <si>
    <t>h [mm]</t>
  </si>
  <si>
    <t>d [mm]</t>
  </si>
  <si>
    <r>
      <t>A</t>
    </r>
    <r>
      <rPr>
        <vertAlign val="subscript"/>
        <sz val="14"/>
        <color theme="0"/>
        <rFont val="Segoe UI"/>
        <family val="2"/>
      </rPr>
      <t>s</t>
    </r>
    <r>
      <rPr>
        <sz val="14"/>
        <color theme="0"/>
        <rFont val="Segoe UI"/>
        <family val="2"/>
      </rPr>
      <t xml:space="preserve"> [mm</t>
    </r>
    <r>
      <rPr>
        <vertAlign val="super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>]</t>
    </r>
  </si>
  <si>
    <t>K</t>
  </si>
  <si>
    <r>
      <t>σ</t>
    </r>
    <r>
      <rPr>
        <vertAlign val="subscript"/>
        <sz val="14"/>
        <color theme="0"/>
        <rFont val="Segoe UI"/>
        <family val="2"/>
        <scheme val="minor"/>
      </rPr>
      <t>s</t>
    </r>
    <r>
      <rPr>
        <sz val="14"/>
        <color theme="0"/>
        <rFont val="Segoe UI"/>
        <family val="2"/>
        <scheme val="minor"/>
      </rPr>
      <t xml:space="preserve"> [MPa]</t>
    </r>
  </si>
  <si>
    <r>
      <t>d</t>
    </r>
    <r>
      <rPr>
        <vertAlign val="subscript"/>
        <sz val="14"/>
        <color theme="0"/>
        <rFont val="Segoe UI"/>
        <family val="2"/>
      </rPr>
      <t>s</t>
    </r>
    <r>
      <rPr>
        <sz val="14"/>
        <color theme="0"/>
        <rFont val="Segoe UI"/>
        <family val="2"/>
      </rPr>
      <t xml:space="preserve"> [mm]</t>
    </r>
  </si>
  <si>
    <t>סוג מבנה או רכיב</t>
  </si>
  <si>
    <r>
      <t xml:space="preserve">רוחב סדק מקסימלי </t>
    </r>
    <r>
      <rPr>
        <sz val="14"/>
        <color theme="0"/>
        <rFont val="Segoe UI"/>
        <family val="2"/>
        <scheme val="major"/>
      </rPr>
      <t>[mm]</t>
    </r>
  </si>
  <si>
    <t>עומס לקביעת רוחב סדק</t>
  </si>
  <si>
    <t>N/A</t>
  </si>
  <si>
    <r>
      <t>K</t>
    </r>
    <r>
      <rPr>
        <vertAlign val="subscript"/>
        <sz val="14"/>
        <color theme="0"/>
        <rFont val="Segoe UI"/>
        <family val="2"/>
        <scheme val="minor"/>
      </rPr>
      <t>(6.8)</t>
    </r>
  </si>
  <si>
    <t>תנאים לפטור מחישוב רוחב סדק</t>
  </si>
  <si>
    <t>חישוב קוטר מקסימלי</t>
  </si>
  <si>
    <r>
      <rPr>
        <sz val="14"/>
        <color theme="0"/>
        <rFont val="David"/>
        <family val="2"/>
      </rPr>
      <t>קוטר מקסימלי</t>
    </r>
    <r>
      <rPr>
        <sz val="14"/>
        <color theme="0"/>
        <rFont val="Segoe UI"/>
        <family val="2"/>
        <scheme val="minor"/>
      </rPr>
      <t xml:space="preserve"> [mm]</t>
    </r>
  </si>
  <si>
    <r>
      <rPr>
        <sz val="14"/>
        <color theme="0"/>
        <rFont val="David"/>
        <family val="2"/>
      </rPr>
      <t>מרחק מקסימלי בין מוטות</t>
    </r>
    <r>
      <rPr>
        <sz val="14"/>
        <color theme="0"/>
        <rFont val="Segoe UI"/>
        <family val="2"/>
        <scheme val="minor"/>
      </rPr>
      <t xml:space="preserve"> [mm]</t>
    </r>
  </si>
  <si>
    <r>
      <rPr>
        <sz val="14"/>
        <color theme="0"/>
        <rFont val="David"/>
        <family val="2"/>
      </rPr>
      <t xml:space="preserve">קוטר מקסימלי </t>
    </r>
    <r>
      <rPr>
        <vertAlign val="subscript"/>
        <sz val="14"/>
        <color theme="0"/>
        <rFont val="David"/>
        <family val="2"/>
      </rPr>
      <t>(טבלה (6.6)</t>
    </r>
    <r>
      <rPr>
        <sz val="14"/>
        <color theme="0"/>
        <rFont val="Segoe UI"/>
        <family val="2"/>
        <scheme val="minor"/>
      </rPr>
      <t xml:space="preserve"> [mm]</t>
    </r>
  </si>
  <si>
    <t>מיכאל עמר | תשפ"ד</t>
  </si>
  <si>
    <r>
      <t xml:space="preserve">מחשבון לבדיקת פטור מחישוב רוחב סדק במוטות זיון | </t>
    </r>
    <r>
      <rPr>
        <sz val="24"/>
        <color theme="0"/>
        <rFont val="David"/>
        <family val="2"/>
      </rPr>
      <t>סעיפים 6.3.2.1 - 6.3.2.2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</si>
</sst>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Segoe UI"/>
      <family val="2"/>
      <scheme val="minor"/>
    </font>
    <font>
      <sz val="11"/>
      <color theme="0"/>
      <name val="Segoe UI"/>
      <family val="2"/>
      <scheme val="minor"/>
    </font>
    <font>
      <sz val="11"/>
      <color theme="0"/>
      <name val="David"/>
      <family val="2"/>
    </font>
    <font>
      <b/>
      <sz val="24"/>
      <color theme="0"/>
      <name val="David"/>
      <family val="2"/>
    </font>
    <font>
      <sz val="14"/>
      <color theme="0"/>
      <name val="David"/>
      <family val="2"/>
    </font>
    <font>
      <sz val="14"/>
      <name val="David"/>
      <family val="2"/>
    </font>
    <font>
      <sz val="16"/>
      <color theme="0"/>
      <name val="David"/>
      <family val="2"/>
    </font>
    <font>
      <sz val="24"/>
      <color theme="0"/>
      <name val="David"/>
      <family val="2"/>
    </font>
    <font>
      <sz val="14"/>
      <color theme="0"/>
      <name val="Segoe UI"/>
      <family val="2"/>
    </font>
    <font>
      <vertAlign val="subscript"/>
      <sz val="14"/>
      <color theme="0"/>
      <name val="Segoe UI"/>
      <family val="2"/>
    </font>
    <font>
      <sz val="14"/>
      <name val="Segoe UI"/>
      <family val="2"/>
      <scheme val="minor"/>
    </font>
    <font>
      <sz val="14"/>
      <color theme="0"/>
      <name val="Segoe UI"/>
      <family val="2"/>
      <scheme val="minor"/>
    </font>
    <font>
      <vertAlign val="subscript"/>
      <sz val="14"/>
      <color theme="0"/>
      <name val="Segoe U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perscript"/>
      <sz val="14"/>
      <color theme="0"/>
      <name val="Segoe UI"/>
      <family val="2"/>
    </font>
    <font>
      <sz val="14"/>
      <color theme="0"/>
      <name val="Segoe UI"/>
      <family val="2"/>
      <scheme val="major"/>
    </font>
    <font>
      <vertAlign val="subscript"/>
      <sz val="14"/>
      <color theme="0"/>
      <name val="David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6F92"/>
        <bgColor indexed="64"/>
      </patternFill>
    </fill>
    <fill>
      <patternFill patternType="solid">
        <fgColor rgb="FF004F68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0" fillId="0" borderId="4" xfId="0" applyBorder="1"/>
    <xf numFmtId="0" fontId="1" fillId="5" borderId="4" xfId="0" applyFont="1" applyFill="1" applyBorder="1"/>
    <xf numFmtId="0" fontId="0" fillId="6" borderId="4" xfId="0" applyFill="1" applyBorder="1"/>
    <xf numFmtId="0" fontId="4" fillId="3" borderId="3" xfId="0" applyFont="1" applyFill="1" applyBorder="1" applyAlignment="1">
      <alignment horizontal="right" vertical="center" indent="1"/>
    </xf>
    <xf numFmtId="0" fontId="5" fillId="4" borderId="3" xfId="0" applyFont="1" applyFill="1" applyBorder="1" applyAlignment="1">
      <alignment horizontal="right" vertical="center" indent="1"/>
    </xf>
    <xf numFmtId="0" fontId="1" fillId="8" borderId="4" xfId="0" applyFont="1" applyFill="1" applyBorder="1"/>
    <xf numFmtId="1" fontId="0" fillId="10" borderId="0" xfId="0" applyNumberFormat="1" applyFill="1"/>
    <xf numFmtId="1" fontId="0" fillId="0" borderId="0" xfId="0" applyNumberFormat="1"/>
    <xf numFmtId="0" fontId="2" fillId="0" borderId="0" xfId="0" applyFont="1" applyAlignment="1">
      <alignment readingOrder="2"/>
    </xf>
    <xf numFmtId="0" fontId="4" fillId="9" borderId="3" xfId="0" applyFont="1" applyFill="1" applyBorder="1" applyAlignment="1">
      <alignment horizontal="right" vertical="center" indent="1"/>
    </xf>
    <xf numFmtId="0" fontId="11" fillId="12" borderId="6" xfId="0" applyFont="1" applyFill="1" applyBorder="1" applyAlignment="1">
      <alignment horizontal="right" vertical="center" indent="1"/>
    </xf>
    <xf numFmtId="0" fontId="10" fillId="4" borderId="3" xfId="0" applyFont="1" applyFill="1" applyBorder="1" applyAlignment="1">
      <alignment horizontal="left" vertical="center" indent="1"/>
    </xf>
    <xf numFmtId="0" fontId="8" fillId="9" borderId="3" xfId="0" applyFont="1" applyFill="1" applyBorder="1" applyAlignment="1">
      <alignment horizontal="left" vertical="center" indent="1" readingOrder="1"/>
    </xf>
    <xf numFmtId="0" fontId="11" fillId="11" borderId="6" xfId="0" applyFont="1" applyFill="1" applyBorder="1" applyAlignment="1">
      <alignment horizontal="left" vertical="center" indent="1"/>
    </xf>
    <xf numFmtId="2" fontId="10" fillId="4" borderId="3" xfId="0" applyNumberFormat="1" applyFont="1" applyFill="1" applyBorder="1" applyAlignment="1">
      <alignment horizontal="left" vertical="center" indent="1"/>
    </xf>
    <xf numFmtId="0" fontId="11" fillId="12" borderId="6" xfId="0" applyFont="1" applyFill="1" applyBorder="1" applyAlignment="1">
      <alignment horizontal="left" vertical="center" indent="1"/>
    </xf>
    <xf numFmtId="0" fontId="4" fillId="9" borderId="3" xfId="0" applyFont="1" applyFill="1" applyBorder="1" applyAlignment="1">
      <alignment horizontal="right" vertical="center" indent="1" readingOrder="1"/>
    </xf>
    <xf numFmtId="0" fontId="11" fillId="11" borderId="6" xfId="0" applyFont="1" applyFill="1" applyBorder="1" applyAlignment="1">
      <alignment horizontal="right" vertical="center" indent="1"/>
    </xf>
    <xf numFmtId="1" fontId="10" fillId="4" borderId="3" xfId="0" applyNumberFormat="1" applyFont="1" applyFill="1" applyBorder="1" applyAlignment="1">
      <alignment horizontal="left" vertical="center" indent="1"/>
    </xf>
    <xf numFmtId="0" fontId="6" fillId="0" borderId="7" xfId="0" applyFont="1" applyBorder="1" applyAlignment="1">
      <alignment horizontal="right" vertical="center" indent="1"/>
    </xf>
    <xf numFmtId="0" fontId="10" fillId="4" borderId="3" xfId="0" applyFont="1" applyFill="1" applyBorder="1" applyAlignment="1" applyProtection="1">
      <alignment horizontal="left" vertical="center" indent="1"/>
      <protection locked="0"/>
    </xf>
    <xf numFmtId="0" fontId="5" fillId="4" borderId="3" xfId="0" applyFont="1" applyFill="1" applyBorder="1" applyAlignment="1" applyProtection="1">
      <alignment horizontal="right" vertical="center" indent="1"/>
      <protection locked="0"/>
    </xf>
    <xf numFmtId="0" fontId="4" fillId="7" borderId="6" xfId="0" applyFont="1" applyFill="1" applyBorder="1" applyAlignment="1">
      <alignment horizontal="right" vertical="center" indent="1"/>
    </xf>
    <xf numFmtId="0" fontId="6" fillId="2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right" vertical="center" indent="2"/>
    </xf>
    <xf numFmtId="0" fontId="3" fillId="2" borderId="0" xfId="0" applyFont="1" applyFill="1" applyAlignment="1">
      <alignment horizontal="right" vertical="center" indent="2"/>
    </xf>
    <xf numFmtId="0" fontId="3" fillId="2" borderId="1" xfId="0" applyFont="1" applyFill="1" applyBorder="1" applyAlignment="1">
      <alignment horizontal="right" vertical="center" indent="2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4F68"/>
      <color rgb="FFC8102E"/>
      <color rgb="FF360000"/>
      <color rgb="FF580000"/>
      <color rgb="FF00FA18"/>
      <color rgb="FF008A3E"/>
      <color rgb="FFFF9201"/>
      <color rgb="FF8A0000"/>
      <color rgb="FF4C21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78442</xdr:colOff>
      <xdr:row>5</xdr:row>
      <xdr:rowOff>56029</xdr:rowOff>
    </xdr:from>
    <xdr:to>
      <xdr:col>15</xdr:col>
      <xdr:colOff>661147</xdr:colOff>
      <xdr:row>18</xdr:row>
      <xdr:rowOff>286824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979918B-F380-A0D4-72D6-AD775E401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87829676" y="1053353"/>
          <a:ext cx="4684058" cy="4063206"/>
        </a:xfrm>
        <a:prstGeom prst="rect">
          <a:avLst/>
        </a:prstGeom>
      </xdr:spPr>
    </xdr:pic>
    <xdr:clientData/>
  </xdr:twoCellAnchor>
  <xdr:twoCellAnchor editAs="oneCell">
    <xdr:from>
      <xdr:col>9</xdr:col>
      <xdr:colOff>78442</xdr:colOff>
      <xdr:row>19</xdr:row>
      <xdr:rowOff>246530</xdr:rowOff>
    </xdr:from>
    <xdr:to>
      <xdr:col>15</xdr:col>
      <xdr:colOff>672353</xdr:colOff>
      <xdr:row>21</xdr:row>
      <xdr:rowOff>137660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EFDA1A-B4DD-DE52-CE83-5250B8518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87818470" y="5378824"/>
          <a:ext cx="4695264" cy="4962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_M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 UI">
      <a:majorFont>
        <a:latin typeface="Segoe UI"/>
        <a:ea typeface=""/>
        <a:cs typeface="Segoe UI"/>
      </a:majorFont>
      <a:minorFont>
        <a:latin typeface="Segoe UI"/>
        <a:ea typeface=""/>
        <a:cs typeface="Segoe U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23"/>
  <sheetViews>
    <sheetView showGridLines="0" rightToLeft="1" tabSelected="1" zoomScale="90" zoomScaleNormal="90" workbookViewId="0">
      <selection activeCell="C12" sqref="C12"/>
    </sheetView>
  </sheetViews>
  <sheetFormatPr defaultColWidth="0" defaultRowHeight="15" zeroHeight="1" x14ac:dyDescent="0.25"/>
  <cols>
    <col min="1" max="1" width="6.625" style="1" customWidth="1"/>
    <col min="2" max="2" width="26.625" style="1" bestFit="1" customWidth="1"/>
    <col min="3" max="3" width="11" style="1" customWidth="1"/>
    <col min="4" max="4" width="5.5" style="1" customWidth="1"/>
    <col min="5" max="5" width="36.5" style="1" customWidth="1"/>
    <col min="6" max="6" width="11.875" style="1" customWidth="1"/>
    <col min="7" max="7" width="5.5" style="1" customWidth="1"/>
    <col min="8" max="8" width="14.125" style="1" customWidth="1"/>
    <col min="9" max="9" width="5.5" style="1" customWidth="1"/>
    <col min="10" max="17" width="9" style="1" customWidth="1"/>
    <col min="18" max="18" width="0" style="1" hidden="1" customWidth="1"/>
    <col min="19" max="16384" width="9" style="1" hidden="1"/>
  </cols>
  <sheetData>
    <row r="1" spans="1:16" ht="15.75" thickBot="1" x14ac:dyDescent="0.3">
      <c r="A1" s="10" t="s">
        <v>0</v>
      </c>
    </row>
    <row r="2" spans="1:16" ht="15.75" customHeight="1" thickTop="1" x14ac:dyDescent="0.25">
      <c r="B2" s="27" t="s">
        <v>45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1:16" ht="15" customHeight="1" x14ac:dyDescent="0.2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6" ht="15.75" customHeight="1" thickBot="1" x14ac:dyDescent="0.3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</row>
    <row r="5" spans="1:16" ht="15.75" thickTop="1" x14ac:dyDescent="0.25"/>
    <row r="6" spans="1:16" ht="24" customHeight="1" x14ac:dyDescent="0.25">
      <c r="B6" s="26" t="s">
        <v>27</v>
      </c>
      <c r="C6" s="26"/>
      <c r="E6" s="25" t="s">
        <v>40</v>
      </c>
      <c r="F6" s="25"/>
    </row>
    <row r="7" spans="1:16" ht="15.75" customHeight="1" x14ac:dyDescent="0.25"/>
    <row r="8" spans="1:16" ht="24" customHeight="1" x14ac:dyDescent="0.25">
      <c r="B8" s="11" t="s">
        <v>2</v>
      </c>
      <c r="C8" s="23" t="s">
        <v>15</v>
      </c>
      <c r="E8" s="12" t="s">
        <v>29</v>
      </c>
      <c r="F8" s="13">
        <f>C9-C10</f>
        <v>550</v>
      </c>
    </row>
    <row r="9" spans="1:16" ht="24" customHeight="1" x14ac:dyDescent="0.25">
      <c r="B9" s="14" t="s">
        <v>28</v>
      </c>
      <c r="C9" s="22">
        <v>650</v>
      </c>
      <c r="E9" s="15" t="s">
        <v>38</v>
      </c>
      <c r="F9" s="16">
        <f>0.1*C9/C10</f>
        <v>0.65</v>
      </c>
    </row>
    <row r="10" spans="1:16" ht="24" customHeight="1" x14ac:dyDescent="0.25">
      <c r="B10" s="14" t="s">
        <v>33</v>
      </c>
      <c r="C10" s="22">
        <v>100</v>
      </c>
      <c r="E10" s="17" t="s">
        <v>31</v>
      </c>
      <c r="F10" s="16">
        <f>IF(F9&lt;1,1,F9)</f>
        <v>1</v>
      </c>
    </row>
    <row r="11" spans="1:16" ht="24" customHeight="1" x14ac:dyDescent="0.25">
      <c r="B11" s="14" t="s">
        <v>30</v>
      </c>
      <c r="C11" s="22">
        <v>1200</v>
      </c>
      <c r="E11" s="17" t="s">
        <v>32</v>
      </c>
      <c r="F11" s="16" cm="1">
        <f t="array" ref="F11">sigma_s(C16,F8,C11)</f>
        <v>87.07767328456984</v>
      </c>
    </row>
    <row r="12" spans="1:16" ht="24" customHeight="1" x14ac:dyDescent="0.25">
      <c r="B12" s="18" t="s">
        <v>34</v>
      </c>
      <c r="C12" s="22">
        <v>1</v>
      </c>
      <c r="E12" s="19" t="s">
        <v>43</v>
      </c>
      <c r="F12" s="20" cm="1">
        <f t="array" ref="F12">IF(C8="פ-500",INDEX('S5'!F3:I13,'S5'!Q1,MATCH(C14,'S5'!F2:I2,0)),INDEX('S5'!L3:O13,'S5'!Q1,MATCH(C14,'S5'!F2:I2,0)))</f>
        <v>36</v>
      </c>
    </row>
    <row r="13" spans="1:16" ht="24" customHeight="1" x14ac:dyDescent="0.25">
      <c r="E13" s="12" t="s">
        <v>41</v>
      </c>
      <c r="F13" s="20">
        <f>F12*F10</f>
        <v>36</v>
      </c>
    </row>
    <row r="14" spans="1:16" ht="24" customHeight="1" x14ac:dyDescent="0.25">
      <c r="B14" s="24" t="s">
        <v>35</v>
      </c>
      <c r="C14" s="13" cm="1">
        <f t="array" ref="C14">INDEX('S5'!C2:C12,'בדיקת פטור מחישוב רוחב סדק'!C12)</f>
        <v>0.3</v>
      </c>
    </row>
    <row r="15" spans="1:16" ht="24" customHeight="1" x14ac:dyDescent="0.25">
      <c r="B15" s="24" t="s">
        <v>36</v>
      </c>
      <c r="C15" s="13" t="str">
        <f>IF(OR(C12=1,C12=2,C12=3,C12=9),"F_sus","F_ser")</f>
        <v>F_sus</v>
      </c>
      <c r="E15" s="25" t="s">
        <v>39</v>
      </c>
      <c r="F15" s="25"/>
    </row>
    <row r="16" spans="1:16" ht="24" customHeight="1" x14ac:dyDescent="0.25">
      <c r="B16" s="14" t="str">
        <f>IF(C15="F_sus","M_sus [kNm]", "M_ser [kNm]")</f>
        <v>M_sus [kNm]</v>
      </c>
      <c r="C16" s="22">
        <v>50</v>
      </c>
    </row>
    <row r="17" spans="2:6" ht="24" customHeight="1" x14ac:dyDescent="0.25">
      <c r="E17" s="12" t="s">
        <v>41</v>
      </c>
      <c r="F17" s="20">
        <f>F12*F10</f>
        <v>36</v>
      </c>
    </row>
    <row r="18" spans="2:6" ht="24" customHeight="1" x14ac:dyDescent="0.25">
      <c r="E18" s="12" t="s">
        <v>42</v>
      </c>
      <c r="F18" s="20" cm="1">
        <f t="array" ref="F18">INDEX('S5'!F17:I20,'S5'!D15,MATCH(C14,'S5'!F2:I2,0))</f>
        <v>300</v>
      </c>
    </row>
    <row r="19" spans="2:6" ht="24" customHeight="1" x14ac:dyDescent="0.25"/>
    <row r="20" spans="2:6" ht="24" customHeight="1" x14ac:dyDescent="0.25"/>
    <row r="21" spans="2:6" ht="24" customHeight="1" x14ac:dyDescent="0.25"/>
    <row r="22" spans="2:6" ht="24" customHeight="1" x14ac:dyDescent="0.25">
      <c r="B22" s="21" t="s">
        <v>44</v>
      </c>
    </row>
    <row r="23" spans="2:6" ht="24" customHeight="1" x14ac:dyDescent="0.25"/>
  </sheetData>
  <sheetProtection algorithmName="SHA-512" hashValue="F20ohQ8njQnZnitjDM7zSv0zux/kNXOF3rUFF7zloGWayA0xU8P4LYHFZ3lOt/oZlQwtjZHXIFVCvuXDCyrWWQ==" saltValue="6ty1QoqcLeF5If+R+yvN/Q==" spinCount="100000" sheet="1" objects="1" scenarios="1" selectLockedCells="1"/>
  <mergeCells count="4">
    <mergeCell ref="E6:F6"/>
    <mergeCell ref="E15:F15"/>
    <mergeCell ref="B6:C6"/>
    <mergeCell ref="B2:P4"/>
  </mergeCells>
  <dataValidations count="1">
    <dataValidation type="decimal" operator="greaterThan" allowBlank="1" showInputMessage="1" showErrorMessage="1" sqref="C14 C9:C11 C16 F8" xr:uid="{C58592B3-C99C-4945-9468-179D98F894DF}">
      <formula1>0</formula1>
    </dataValidation>
  </dataValidations>
  <pageMargins left="0.7" right="0.7" top="0.75" bottom="0.75" header="0.3" footer="0.3"/>
  <drawing r:id="rId1"/>
  <legacy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55BE58-C451-468F-A611-78B3D1C9CC35}">
          <x14:formula1>
            <xm:f>'S2'!$L$2:$N$2</xm:f>
          </x14:formula1>
          <xm:sqref>C8</xm:sqref>
        </x14:dataValidation>
        <x14:dataValidation type="list" operator="greaterThan" showInputMessage="1" showErrorMessage="1" xr:uid="{7770BF25-88E7-48E1-BD39-886B060912B4}">
          <x14:formula1>
            <xm:f>'S5'!B2:B12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7CDC9-C3B3-40A3-9165-2BED28EBE43A}">
  <sheetPr codeName="Sheet1"/>
  <dimension ref="B1:Q20"/>
  <sheetViews>
    <sheetView rightToLeft="1" workbookViewId="0">
      <selection activeCell="E28" sqref="E28"/>
    </sheetView>
  </sheetViews>
  <sheetFormatPr defaultRowHeight="16.5" x14ac:dyDescent="0.3"/>
  <cols>
    <col min="17" max="17" width="9" style="9"/>
  </cols>
  <sheetData>
    <row r="1" spans="2:17" x14ac:dyDescent="0.3">
      <c r="Q1" s="8">
        <f>MIN(Q3:Q13)</f>
        <v>1</v>
      </c>
    </row>
    <row r="2" spans="2:17" x14ac:dyDescent="0.3">
      <c r="B2">
        <v>1</v>
      </c>
      <c r="C2">
        <v>0.3</v>
      </c>
      <c r="F2" s="4">
        <v>0.1</v>
      </c>
      <c r="G2" s="4">
        <v>0.15</v>
      </c>
      <c r="H2" s="4">
        <v>0.2</v>
      </c>
      <c r="I2" s="4">
        <v>0.3</v>
      </c>
      <c r="L2" s="4">
        <v>0.1</v>
      </c>
      <c r="M2" s="4">
        <v>0.15</v>
      </c>
      <c r="N2" s="4">
        <v>0.2</v>
      </c>
      <c r="O2" s="4">
        <v>0.3</v>
      </c>
    </row>
    <row r="3" spans="2:17" x14ac:dyDescent="0.3">
      <c r="B3">
        <v>2</v>
      </c>
      <c r="C3">
        <v>0.3</v>
      </c>
      <c r="E3" s="4">
        <v>140</v>
      </c>
      <c r="F3" s="2">
        <v>14</v>
      </c>
      <c r="G3" s="2">
        <v>18</v>
      </c>
      <c r="H3" s="2">
        <v>28</v>
      </c>
      <c r="I3" s="2">
        <v>36</v>
      </c>
      <c r="K3" s="4">
        <v>140</v>
      </c>
      <c r="L3" s="2">
        <v>14</v>
      </c>
      <c r="M3" s="2">
        <v>18</v>
      </c>
      <c r="N3" s="2">
        <v>28</v>
      </c>
      <c r="O3" s="2">
        <v>36</v>
      </c>
      <c r="Q3" s="9">
        <f>IF(K3-'בדיקת פטור מחישוב רוחב סדק'!F$11&gt;=0,ROW()-2,"")</f>
        <v>1</v>
      </c>
    </row>
    <row r="4" spans="2:17" x14ac:dyDescent="0.3">
      <c r="B4">
        <v>3</v>
      </c>
      <c r="C4">
        <v>0.2</v>
      </c>
      <c r="E4" s="4">
        <v>160</v>
      </c>
      <c r="F4" s="2">
        <v>12</v>
      </c>
      <c r="G4" s="2">
        <v>16</v>
      </c>
      <c r="H4" s="2">
        <v>25</v>
      </c>
      <c r="I4" s="2">
        <v>32</v>
      </c>
      <c r="K4" s="4">
        <v>160</v>
      </c>
      <c r="L4" s="2">
        <v>12</v>
      </c>
      <c r="M4" s="2">
        <v>16</v>
      </c>
      <c r="N4" s="2">
        <v>25</v>
      </c>
      <c r="O4" s="2">
        <v>32</v>
      </c>
      <c r="Q4" s="9">
        <f>IF(K4-'בדיקת פטור מחישוב רוחב סדק'!F$11&gt;=0,ROW()-2,"")</f>
        <v>2</v>
      </c>
    </row>
    <row r="5" spans="2:17" x14ac:dyDescent="0.3">
      <c r="B5">
        <v>4</v>
      </c>
      <c r="C5">
        <v>0.2</v>
      </c>
      <c r="E5" s="4">
        <v>180</v>
      </c>
      <c r="F5" s="2">
        <v>10</v>
      </c>
      <c r="G5" s="2">
        <v>14</v>
      </c>
      <c r="H5" s="2">
        <v>20</v>
      </c>
      <c r="I5" s="2">
        <v>28</v>
      </c>
      <c r="K5" s="4">
        <v>180</v>
      </c>
      <c r="L5" s="2">
        <v>10</v>
      </c>
      <c r="M5" s="2">
        <v>14</v>
      </c>
      <c r="N5" s="2">
        <v>20</v>
      </c>
      <c r="O5" s="2">
        <v>28</v>
      </c>
      <c r="Q5" s="9">
        <f>IF(K5-'בדיקת פטור מחישוב רוחב סדק'!F$11&gt;=0,ROW()-2,"")</f>
        <v>3</v>
      </c>
    </row>
    <row r="6" spans="2:17" x14ac:dyDescent="0.3">
      <c r="B6">
        <v>5</v>
      </c>
      <c r="C6">
        <v>0.15</v>
      </c>
      <c r="E6" s="4">
        <v>200</v>
      </c>
      <c r="F6" s="2">
        <v>8</v>
      </c>
      <c r="G6" s="2">
        <v>12</v>
      </c>
      <c r="H6" s="2">
        <v>16</v>
      </c>
      <c r="I6" s="2">
        <v>25</v>
      </c>
      <c r="K6" s="4">
        <v>200</v>
      </c>
      <c r="L6" s="2">
        <v>8</v>
      </c>
      <c r="M6" s="2">
        <v>12</v>
      </c>
      <c r="N6" s="2">
        <v>16</v>
      </c>
      <c r="O6" s="2">
        <v>25</v>
      </c>
      <c r="Q6" s="9">
        <f>IF(K6-'בדיקת פטור מחישוב רוחב סדק'!F$11&gt;=0,ROW()-2,"")</f>
        <v>4</v>
      </c>
    </row>
    <row r="7" spans="2:17" x14ac:dyDescent="0.3">
      <c r="B7">
        <v>6</v>
      </c>
      <c r="C7">
        <v>0.1</v>
      </c>
      <c r="E7" s="4">
        <v>220</v>
      </c>
      <c r="F7" s="2">
        <v>7</v>
      </c>
      <c r="G7" s="2">
        <v>10</v>
      </c>
      <c r="H7" s="2">
        <v>14</v>
      </c>
      <c r="I7" s="2">
        <v>22</v>
      </c>
      <c r="K7" s="4">
        <v>220</v>
      </c>
      <c r="L7" s="2" t="s">
        <v>37</v>
      </c>
      <c r="M7" s="2">
        <v>10</v>
      </c>
      <c r="N7" s="2">
        <v>14</v>
      </c>
      <c r="O7" s="2">
        <v>22</v>
      </c>
      <c r="Q7" s="9">
        <f>IF(K7-'בדיקת פטור מחישוב רוחב סדק'!F$11&gt;=0,ROW()-2,"")</f>
        <v>5</v>
      </c>
    </row>
    <row r="8" spans="2:17" x14ac:dyDescent="0.3">
      <c r="B8">
        <v>7</v>
      </c>
      <c r="C8">
        <v>0.1</v>
      </c>
      <c r="E8" s="4">
        <v>240</v>
      </c>
      <c r="F8" s="2">
        <v>6</v>
      </c>
      <c r="G8" s="2">
        <v>8</v>
      </c>
      <c r="H8" s="2">
        <v>12</v>
      </c>
      <c r="I8" s="2">
        <v>20</v>
      </c>
      <c r="K8" s="4">
        <v>240</v>
      </c>
      <c r="L8" s="2" t="s">
        <v>37</v>
      </c>
      <c r="M8" s="2">
        <v>8</v>
      </c>
      <c r="N8" s="2">
        <v>12</v>
      </c>
      <c r="O8" s="2">
        <v>20</v>
      </c>
      <c r="Q8" s="9">
        <f>IF(K8-'בדיקת פטור מחישוב רוחב סדק'!F$11&gt;=0,ROW()-2,"")</f>
        <v>6</v>
      </c>
    </row>
    <row r="9" spans="2:17" x14ac:dyDescent="0.3">
      <c r="B9">
        <v>8</v>
      </c>
      <c r="C9">
        <v>0.1</v>
      </c>
      <c r="E9" s="4">
        <v>260</v>
      </c>
      <c r="F9" s="2">
        <v>5</v>
      </c>
      <c r="G9" s="2">
        <v>6</v>
      </c>
      <c r="H9" s="2">
        <v>10</v>
      </c>
      <c r="I9" s="2">
        <v>18</v>
      </c>
      <c r="K9" s="4">
        <v>260</v>
      </c>
      <c r="L9" s="2" t="s">
        <v>37</v>
      </c>
      <c r="M9" s="2" t="s">
        <v>37</v>
      </c>
      <c r="N9" s="2">
        <v>10</v>
      </c>
      <c r="O9" s="2">
        <v>18</v>
      </c>
      <c r="Q9" s="9">
        <f>IF(K9-'בדיקת פטור מחישוב רוחב סדק'!F$11&gt;=0,ROW()-2,"")</f>
        <v>7</v>
      </c>
    </row>
    <row r="10" spans="2:17" x14ac:dyDescent="0.3">
      <c r="B10">
        <v>9</v>
      </c>
      <c r="C10">
        <v>0.15</v>
      </c>
      <c r="E10" s="4">
        <v>280</v>
      </c>
      <c r="F10" s="2" t="s">
        <v>37</v>
      </c>
      <c r="G10" s="2">
        <v>5</v>
      </c>
      <c r="H10" s="2">
        <v>8</v>
      </c>
      <c r="I10" s="2">
        <v>12</v>
      </c>
      <c r="K10" s="4">
        <v>280</v>
      </c>
      <c r="L10" s="2" t="s">
        <v>37</v>
      </c>
      <c r="M10" s="2" t="s">
        <v>37</v>
      </c>
      <c r="N10" s="2" t="s">
        <v>37</v>
      </c>
      <c r="O10" s="2" t="s">
        <v>37</v>
      </c>
      <c r="Q10" s="9">
        <f>IF(K10-'בדיקת פטור מחישוב רוחב סדק'!F$11&gt;=0,ROW()-2,"")</f>
        <v>8</v>
      </c>
    </row>
    <row r="11" spans="2:17" x14ac:dyDescent="0.3">
      <c r="B11">
        <v>10</v>
      </c>
      <c r="C11">
        <v>0.1</v>
      </c>
      <c r="E11" s="4">
        <v>300</v>
      </c>
      <c r="F11" s="2" t="s">
        <v>37</v>
      </c>
      <c r="G11" s="2" t="s">
        <v>37</v>
      </c>
      <c r="H11" s="2">
        <v>7</v>
      </c>
      <c r="I11" s="2">
        <v>12</v>
      </c>
      <c r="K11" s="4">
        <v>300</v>
      </c>
      <c r="L11" s="2" t="s">
        <v>37</v>
      </c>
      <c r="M11" s="2" t="s">
        <v>37</v>
      </c>
      <c r="N11" s="2" t="s">
        <v>37</v>
      </c>
      <c r="O11" s="2" t="s">
        <v>37</v>
      </c>
      <c r="Q11" s="9">
        <f>IF(K11-'בדיקת פטור מחישוב רוחב סדק'!F$11&gt;=0,ROW()-2,"")</f>
        <v>9</v>
      </c>
    </row>
    <row r="12" spans="2:17" x14ac:dyDescent="0.3">
      <c r="B12">
        <v>11</v>
      </c>
      <c r="C12">
        <v>0.1</v>
      </c>
      <c r="E12" s="4">
        <v>320</v>
      </c>
      <c r="F12" s="2" t="s">
        <v>37</v>
      </c>
      <c r="G12" s="2" t="s">
        <v>37</v>
      </c>
      <c r="H12" s="2">
        <v>6</v>
      </c>
      <c r="I12" s="2">
        <v>12</v>
      </c>
      <c r="K12" s="4">
        <v>320</v>
      </c>
      <c r="L12" s="2" t="s">
        <v>37</v>
      </c>
      <c r="M12" s="2" t="s">
        <v>37</v>
      </c>
      <c r="N12" s="2" t="s">
        <v>37</v>
      </c>
      <c r="O12" s="2" t="s">
        <v>37</v>
      </c>
      <c r="Q12" s="9">
        <f>IF(K12-'בדיקת פטור מחישוב רוחב סדק'!F$11&gt;=0,ROW()-2,"")</f>
        <v>10</v>
      </c>
    </row>
    <row r="13" spans="2:17" x14ac:dyDescent="0.3">
      <c r="E13" s="4">
        <v>340</v>
      </c>
      <c r="F13" s="2" t="s">
        <v>37</v>
      </c>
      <c r="G13" s="2" t="s">
        <v>37</v>
      </c>
      <c r="H13" s="2">
        <v>5</v>
      </c>
      <c r="I13" s="2">
        <v>10</v>
      </c>
      <c r="K13" s="4">
        <v>340</v>
      </c>
      <c r="L13" s="2" t="s">
        <v>37</v>
      </c>
      <c r="M13" s="2" t="s">
        <v>37</v>
      </c>
      <c r="N13" s="2" t="s">
        <v>37</v>
      </c>
      <c r="O13" s="2" t="s">
        <v>37</v>
      </c>
      <c r="Q13" s="9">
        <f>IF(K13-'בדיקת פטור מחישוב רוחב סדק'!F$11&gt;=0,ROW()-2,"")</f>
        <v>11</v>
      </c>
    </row>
    <row r="15" spans="2:17" x14ac:dyDescent="0.3">
      <c r="D15" s="8">
        <f>MIN(D17:D20)</f>
        <v>1</v>
      </c>
    </row>
    <row r="16" spans="2:17" x14ac:dyDescent="0.3">
      <c r="F16" s="4">
        <v>0.1</v>
      </c>
      <c r="G16" s="4">
        <v>0.15</v>
      </c>
      <c r="H16" s="4">
        <v>0.2</v>
      </c>
      <c r="I16" s="4">
        <v>0.3</v>
      </c>
    </row>
    <row r="17" spans="4:9" x14ac:dyDescent="0.3">
      <c r="D17" s="9">
        <f>IF(E17-'בדיקת פטור מחישוב רוחב סדק'!F$11&gt;=0,ROW()-16,"")</f>
        <v>1</v>
      </c>
      <c r="E17" s="4">
        <v>160</v>
      </c>
      <c r="F17">
        <v>100</v>
      </c>
      <c r="G17">
        <v>150</v>
      </c>
      <c r="H17">
        <v>200</v>
      </c>
      <c r="I17">
        <v>300</v>
      </c>
    </row>
    <row r="18" spans="4:9" x14ac:dyDescent="0.3">
      <c r="D18" s="9">
        <f>IF(E18-'בדיקת פטור מחישוב רוחב סדק'!F$11&gt;=0,ROW()-16,"")</f>
        <v>2</v>
      </c>
      <c r="E18" s="4">
        <v>200</v>
      </c>
      <c r="F18">
        <v>85</v>
      </c>
      <c r="G18">
        <v>125</v>
      </c>
      <c r="H18">
        <v>175</v>
      </c>
      <c r="I18">
        <v>250</v>
      </c>
    </row>
    <row r="19" spans="4:9" x14ac:dyDescent="0.3">
      <c r="D19" s="9">
        <f>IF(E19-'בדיקת פטור מחישוב רוחב סדק'!F$11&gt;=0,ROW()-16,"")</f>
        <v>3</v>
      </c>
      <c r="E19" s="4">
        <v>240</v>
      </c>
      <c r="F19">
        <v>70</v>
      </c>
      <c r="G19">
        <v>100</v>
      </c>
      <c r="H19">
        <v>150</v>
      </c>
      <c r="I19">
        <v>200</v>
      </c>
    </row>
    <row r="20" spans="4:9" x14ac:dyDescent="0.3">
      <c r="D20" s="9">
        <f>IF(E20-'בדיקת פטור מחישוב רוחב סדק'!F$11&gt;=0,ROW()-16,"")</f>
        <v>4</v>
      </c>
      <c r="E20" s="4">
        <v>280</v>
      </c>
      <c r="F20">
        <v>50</v>
      </c>
      <c r="G20">
        <v>75</v>
      </c>
      <c r="H20">
        <v>100</v>
      </c>
      <c r="I20"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C4F26-B582-426C-9A7C-1F8A8A51321B}">
  <sheetPr codeName="Sheet3"/>
  <dimension ref="B2:R22"/>
  <sheetViews>
    <sheetView rightToLeft="1" zoomScaleNormal="100" workbookViewId="0">
      <selection activeCell="A35" sqref="A35:XFD662"/>
    </sheetView>
  </sheetViews>
  <sheetFormatPr defaultRowHeight="16.5" x14ac:dyDescent="0.3"/>
  <cols>
    <col min="2" max="2" width="15.875" customWidth="1"/>
    <col min="3" max="3" width="9.75" customWidth="1"/>
  </cols>
  <sheetData>
    <row r="2" spans="2:18" x14ac:dyDescent="0.3"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K2" s="3" t="s">
        <v>2</v>
      </c>
      <c r="L2" s="3" t="s">
        <v>13</v>
      </c>
      <c r="M2" s="3" t="s">
        <v>14</v>
      </c>
      <c r="N2" s="3" t="s">
        <v>15</v>
      </c>
      <c r="Q2" s="7">
        <v>8</v>
      </c>
      <c r="R2" s="3">
        <v>1</v>
      </c>
    </row>
    <row r="3" spans="2:18" x14ac:dyDescent="0.3">
      <c r="B3" t="s">
        <v>9</v>
      </c>
      <c r="C3" t="s">
        <v>10</v>
      </c>
      <c r="D3" s="2">
        <v>20</v>
      </c>
      <c r="E3" s="2">
        <v>25</v>
      </c>
      <c r="F3" s="2">
        <v>30</v>
      </c>
      <c r="G3" s="2">
        <v>40</v>
      </c>
      <c r="H3" s="2">
        <v>50</v>
      </c>
      <c r="I3" s="2">
        <v>60</v>
      </c>
      <c r="K3" s="2" t="s">
        <v>16</v>
      </c>
      <c r="L3" s="2">
        <v>240</v>
      </c>
      <c r="M3" s="2">
        <v>400</v>
      </c>
      <c r="N3" s="2">
        <v>500</v>
      </c>
      <c r="Q3" s="7">
        <v>10</v>
      </c>
      <c r="R3" s="3">
        <v>2</v>
      </c>
    </row>
    <row r="4" spans="2:18" x14ac:dyDescent="0.3">
      <c r="C4" t="s">
        <v>11</v>
      </c>
      <c r="D4" s="4">
        <v>23800</v>
      </c>
      <c r="E4" s="4">
        <v>25000</v>
      </c>
      <c r="F4" s="4">
        <v>26200</v>
      </c>
      <c r="G4" s="4">
        <v>28200</v>
      </c>
      <c r="H4" s="4">
        <v>30000</v>
      </c>
      <c r="I4" s="4">
        <v>31700</v>
      </c>
      <c r="K4" s="2" t="s">
        <v>17</v>
      </c>
      <c r="L4" s="2">
        <v>200</v>
      </c>
      <c r="M4" s="2">
        <v>350</v>
      </c>
      <c r="N4" s="2">
        <v>435</v>
      </c>
      <c r="Q4" s="7">
        <v>12</v>
      </c>
      <c r="R4" s="3">
        <v>3</v>
      </c>
    </row>
    <row r="5" spans="2:18" x14ac:dyDescent="0.3">
      <c r="C5" t="s">
        <v>12</v>
      </c>
      <c r="D5" s="4">
        <v>26500</v>
      </c>
      <c r="E5" s="4">
        <v>27800</v>
      </c>
      <c r="F5" s="4">
        <v>29100</v>
      </c>
      <c r="G5" s="4">
        <v>31400</v>
      </c>
      <c r="H5" s="4">
        <v>33400</v>
      </c>
      <c r="I5" s="4">
        <v>35200</v>
      </c>
      <c r="Q5" s="7">
        <v>14</v>
      </c>
      <c r="R5" s="3">
        <v>4</v>
      </c>
    </row>
    <row r="6" spans="2:18" x14ac:dyDescent="0.3">
      <c r="C6" t="s">
        <v>18</v>
      </c>
      <c r="D6" s="2">
        <v>8.6999999999999993</v>
      </c>
      <c r="E6" s="2">
        <v>10.9</v>
      </c>
      <c r="F6" s="2">
        <v>13</v>
      </c>
      <c r="G6" s="2">
        <v>17.399999999999999</v>
      </c>
      <c r="H6" s="2">
        <v>21.7</v>
      </c>
      <c r="I6" s="2">
        <v>26</v>
      </c>
      <c r="Q6" s="7">
        <v>16</v>
      </c>
      <c r="R6" s="3">
        <v>5</v>
      </c>
    </row>
    <row r="7" spans="2:18" x14ac:dyDescent="0.3">
      <c r="C7" t="s">
        <v>20</v>
      </c>
      <c r="D7" s="2">
        <v>1.2</v>
      </c>
      <c r="E7" s="2">
        <v>1.4</v>
      </c>
      <c r="F7" s="2">
        <v>1.6</v>
      </c>
      <c r="G7" s="2">
        <v>1.9</v>
      </c>
      <c r="H7" s="2">
        <v>2.2000000000000002</v>
      </c>
      <c r="I7" s="2">
        <v>2.5</v>
      </c>
      <c r="Q7" s="7">
        <v>18</v>
      </c>
      <c r="R7" s="3">
        <v>6</v>
      </c>
    </row>
    <row r="8" spans="2:18" x14ac:dyDescent="0.3">
      <c r="C8" t="s">
        <v>19</v>
      </c>
      <c r="D8" s="2">
        <v>1.7</v>
      </c>
      <c r="E8" s="2">
        <v>2</v>
      </c>
      <c r="F8" s="2">
        <v>2.2999999999999998</v>
      </c>
      <c r="G8" s="2">
        <v>2.8</v>
      </c>
      <c r="H8" s="2">
        <v>3.2</v>
      </c>
      <c r="I8" s="2">
        <v>3.6</v>
      </c>
      <c r="Q8" s="7">
        <v>20</v>
      </c>
      <c r="R8" s="3">
        <v>7</v>
      </c>
    </row>
    <row r="9" spans="2:18" x14ac:dyDescent="0.3">
      <c r="C9" t="s">
        <v>21</v>
      </c>
      <c r="D9" s="4">
        <v>0.89</v>
      </c>
      <c r="E9" s="4">
        <v>1</v>
      </c>
      <c r="F9" s="4">
        <v>1.1200000000000001</v>
      </c>
      <c r="G9" s="4">
        <v>1.27</v>
      </c>
      <c r="H9" s="4">
        <v>1.43</v>
      </c>
      <c r="I9" s="4">
        <v>1.6</v>
      </c>
      <c r="Q9" s="7">
        <v>22</v>
      </c>
      <c r="R9" s="3">
        <v>8</v>
      </c>
    </row>
    <row r="10" spans="2:18" x14ac:dyDescent="0.3">
      <c r="C10" t="s">
        <v>22</v>
      </c>
      <c r="D10" s="4">
        <v>0.62</v>
      </c>
      <c r="E10" s="4">
        <v>0.7</v>
      </c>
      <c r="F10" s="4">
        <v>0.78</v>
      </c>
      <c r="G10" s="4">
        <v>0.89</v>
      </c>
      <c r="H10" s="4">
        <v>1</v>
      </c>
      <c r="I10" s="4">
        <v>1.1200000000000001</v>
      </c>
      <c r="Q10" s="7">
        <v>24</v>
      </c>
      <c r="R10" s="3">
        <v>9</v>
      </c>
    </row>
    <row r="11" spans="2:18" x14ac:dyDescent="0.3">
      <c r="C11" t="s">
        <v>23</v>
      </c>
      <c r="D11" s="4">
        <v>1.81</v>
      </c>
      <c r="E11" s="4">
        <v>2.1</v>
      </c>
      <c r="F11" s="4">
        <v>2.4500000000000002</v>
      </c>
      <c r="G11" s="4">
        <v>2.91</v>
      </c>
      <c r="H11" s="4">
        <v>3.4</v>
      </c>
      <c r="I11" s="4">
        <v>3.97</v>
      </c>
      <c r="Q11" s="7">
        <v>25</v>
      </c>
      <c r="R11" s="3">
        <v>10</v>
      </c>
    </row>
    <row r="12" spans="2:18" x14ac:dyDescent="0.3">
      <c r="C12" t="s">
        <v>24</v>
      </c>
      <c r="D12" s="4">
        <v>1.26</v>
      </c>
      <c r="E12" s="4">
        <v>1.47</v>
      </c>
      <c r="F12" s="4">
        <v>1.71</v>
      </c>
      <c r="G12" s="4">
        <v>2.04</v>
      </c>
      <c r="H12" s="4">
        <v>2.38</v>
      </c>
      <c r="I12" s="4">
        <v>2.78</v>
      </c>
      <c r="Q12" s="7">
        <v>26</v>
      </c>
    </row>
    <row r="13" spans="2:18" x14ac:dyDescent="0.3">
      <c r="Q13" s="7">
        <v>28</v>
      </c>
    </row>
    <row r="14" spans="2:18" x14ac:dyDescent="0.3">
      <c r="D14" s="3" t="s">
        <v>25</v>
      </c>
      <c r="Q14" s="7">
        <v>30</v>
      </c>
    </row>
    <row r="15" spans="2:18" x14ac:dyDescent="0.3">
      <c r="D15" s="3" t="s">
        <v>26</v>
      </c>
      <c r="Q15" s="7">
        <v>32</v>
      </c>
    </row>
    <row r="16" spans="2:18" x14ac:dyDescent="0.3">
      <c r="Q16" s="7">
        <v>34</v>
      </c>
    </row>
    <row r="17" spans="4:17" x14ac:dyDescent="0.3">
      <c r="Q17" s="7">
        <v>36</v>
      </c>
    </row>
    <row r="18" spans="4:17" x14ac:dyDescent="0.3">
      <c r="D18" s="1" t="e" cm="1">
        <f t="array" ref="D18">IF('בדיקת פטור מחישוב רוחב סדק'!#REF!&gt;Mcdmax('בדיקת פטור מחישוב רוחב סדק'!#REF!,'בדיקת פטור מחישוב רוחב סדק'!#REF!,'בדיקת פטור מחישוב רוחב סדק'!#REF!),1,0)</f>
        <v>#REF!</v>
      </c>
      <c r="Q18" s="7">
        <v>38</v>
      </c>
    </row>
    <row r="19" spans="4:17" x14ac:dyDescent="0.3">
      <c r="Q19" s="7">
        <v>40</v>
      </c>
    </row>
    <row r="20" spans="4:17" x14ac:dyDescent="0.3">
      <c r="Q20" s="7">
        <v>45</v>
      </c>
    </row>
    <row r="21" spans="4:17" x14ac:dyDescent="0.3">
      <c r="Q21" s="7">
        <v>50</v>
      </c>
    </row>
    <row r="22" spans="4:17" ht="18.75" x14ac:dyDescent="0.3">
      <c r="G22" s="5" t="s">
        <v>1</v>
      </c>
      <c r="H22" s="6" t="s">
        <v>25</v>
      </c>
    </row>
  </sheetData>
  <dataValidations count="1">
    <dataValidation type="list" allowBlank="1" showInputMessage="1" showErrorMessage="1" sqref="H22" xr:uid="{86CECDF5-9A1C-48AC-9349-B9E50D43EB09}">
      <formula1>$D$14:$D$15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בדיקת פטור מחישוב רוחב סדק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Amar</dc:creator>
  <cp:lastModifiedBy>Michael Amar</cp:lastModifiedBy>
  <dcterms:created xsi:type="dcterms:W3CDTF">2015-06-05T18:17:20Z</dcterms:created>
  <dcterms:modified xsi:type="dcterms:W3CDTF">2024-08-07T17:13:53Z</dcterms:modified>
</cp:coreProperties>
</file>