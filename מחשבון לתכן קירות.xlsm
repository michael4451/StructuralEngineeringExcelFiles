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mc:AlternateContent xmlns:mc="http://schemas.openxmlformats.org/markup-compatibility/2006">
    <mc:Choice Requires="x15">
      <x15ac:absPath xmlns:x15ac="http://schemas.microsoft.com/office/spreadsheetml/2010/11/ac" url="https://postbguacil-my.sharepoint.com/personal/amarmich_post_bgu_ac_il/Documents/SE_Excels/"/>
    </mc:Choice>
  </mc:AlternateContent>
  <xr:revisionPtr revIDLastSave="7701" documentId="8_{66C54EB2-D259-456F-860E-064CD20A2466}" xr6:coauthVersionLast="47" xr6:coauthVersionMax="47" xr10:uidLastSave="{85951ECB-1FC7-4D62-B06F-43B7440DF835}"/>
  <bookViews>
    <workbookView xWindow="-108" yWindow="-108" windowWidth="23256" windowHeight="12456" xr2:uid="{00000000-000D-0000-FFFF-FFFF00000000}"/>
  </bookViews>
  <sheets>
    <sheet name="מסך ראשי" sheetId="1" r:id="rId1"/>
    <sheet name="VR" sheetId="4" state="veryHidden" r:id="rId2"/>
    <sheet name="S2" sheetId="2" state="veryHidden"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9" i="1" l="1"/>
  <c r="J18" i="1"/>
  <c r="U234" i="4"/>
  <c r="L270" i="4"/>
  <c r="L233" i="4"/>
  <c r="F73" i="1"/>
  <c r="F240" i="4"/>
  <c r="W234" i="4" s="1"/>
  <c r="F239" i="4"/>
  <c r="V563" i="4" s="1"/>
  <c r="F238" i="4"/>
  <c r="U238" i="4" s="1"/>
  <c r="F231" i="4"/>
  <c r="F230" i="4"/>
  <c r="O43" i="1"/>
  <c r="O42" i="1"/>
  <c r="F233" i="4" s="1"/>
  <c r="F234" i="4"/>
  <c r="L234" i="4"/>
  <c r="L236" i="4"/>
  <c r="L238" i="4"/>
  <c r="L240" i="4"/>
  <c r="L245" i="4"/>
  <c r="L248" i="4"/>
  <c r="L252" i="4"/>
  <c r="L256" i="4"/>
  <c r="L261" i="4"/>
  <c r="L264" i="4"/>
  <c r="L277" i="4"/>
  <c r="L285" i="4"/>
  <c r="L293" i="4"/>
  <c r="L302" i="4"/>
  <c r="L311" i="4"/>
  <c r="L320" i="4"/>
  <c r="L347" i="4"/>
  <c r="L375" i="4"/>
  <c r="L235" i="4"/>
  <c r="L239" i="4"/>
  <c r="L242" i="4"/>
  <c r="L247" i="4"/>
  <c r="L254" i="4"/>
  <c r="L263" i="4"/>
  <c r="L272" i="4"/>
  <c r="L280" i="4"/>
  <c r="L290" i="4"/>
  <c r="L298" i="4"/>
  <c r="L306" i="4"/>
  <c r="L317" i="4"/>
  <c r="L333" i="4"/>
  <c r="L349" i="4"/>
  <c r="L365" i="4"/>
  <c r="L382" i="4"/>
  <c r="L400" i="4"/>
  <c r="L418" i="4"/>
  <c r="L458" i="4"/>
  <c r="L500" i="4"/>
  <c r="L237" i="4"/>
  <c r="L243" i="4"/>
  <c r="L250" i="4"/>
  <c r="L259" i="4"/>
  <c r="L268" i="4"/>
  <c r="L281" i="4"/>
  <c r="L295" i="4"/>
  <c r="L312" i="4"/>
  <c r="L327" i="4"/>
  <c r="L337" i="4"/>
  <c r="L348" i="4"/>
  <c r="L366" i="4"/>
  <c r="L387" i="4"/>
  <c r="L409" i="4"/>
  <c r="L432" i="4"/>
  <c r="L449" i="4"/>
  <c r="L470" i="4"/>
  <c r="L491" i="4"/>
  <c r="L538" i="4"/>
  <c r="L590" i="4"/>
  <c r="L241" i="4"/>
  <c r="L249" i="4"/>
  <c r="L257" i="4"/>
  <c r="L271" i="4"/>
  <c r="L286" i="4"/>
  <c r="L303" i="4"/>
  <c r="L321" i="4"/>
  <c r="L340" i="4"/>
  <c r="L361" i="4"/>
  <c r="L376" i="4"/>
  <c r="L389" i="4"/>
  <c r="L414" i="4"/>
  <c r="L437" i="4"/>
  <c r="L460" i="4"/>
  <c r="L485" i="4"/>
  <c r="L509" i="4"/>
  <c r="L529" i="4"/>
  <c r="L552" i="4"/>
  <c r="L606" i="4"/>
  <c r="L658" i="4"/>
  <c r="L244" i="4"/>
  <c r="L253" i="4"/>
  <c r="L267" i="4"/>
  <c r="L282" i="4"/>
  <c r="L299" i="4"/>
  <c r="L324" i="4"/>
  <c r="L344" i="4"/>
  <c r="L371" i="4"/>
  <c r="L397" i="4"/>
  <c r="L413" i="4"/>
  <c r="L427" i="4"/>
  <c r="L452" i="4"/>
  <c r="L477" i="4"/>
  <c r="L505" i="4"/>
  <c r="L530" i="4"/>
  <c r="L557" i="4"/>
  <c r="L582" i="4"/>
  <c r="L601" i="4"/>
  <c r="L663" i="4"/>
  <c r="L717" i="4"/>
  <c r="L246" i="4"/>
  <c r="L260" i="4"/>
  <c r="L275" i="4"/>
  <c r="L294" i="4"/>
  <c r="L315" i="4"/>
  <c r="L341" i="4"/>
  <c r="L369" i="4"/>
  <c r="L402" i="4"/>
  <c r="L430" i="4"/>
  <c r="L444" i="4"/>
  <c r="L459" i="4"/>
  <c r="L487" i="4"/>
  <c r="L516" i="4"/>
  <c r="L541" i="4"/>
  <c r="L572" i="4"/>
  <c r="L596" i="4"/>
  <c r="L622" i="4"/>
  <c r="L648" i="4"/>
  <c r="L711" i="4"/>
  <c r="L770" i="4"/>
  <c r="L251" i="4"/>
  <c r="L265" i="4"/>
  <c r="L284" i="4"/>
  <c r="L307" i="4"/>
  <c r="L331" i="4"/>
  <c r="L359" i="4"/>
  <c r="L393" i="4"/>
  <c r="L428" i="4"/>
  <c r="L456" i="4"/>
  <c r="L473" i="4"/>
  <c r="L489" i="4"/>
  <c r="L519" i="4"/>
  <c r="L549" i="4"/>
  <c r="L577" i="4"/>
  <c r="L605" i="4"/>
  <c r="L633" i="4"/>
  <c r="L662" i="4"/>
  <c r="L687" i="4"/>
  <c r="L752" i="4"/>
  <c r="L816" i="4"/>
  <c r="L255" i="4"/>
  <c r="L273" i="4"/>
  <c r="L291" i="4"/>
  <c r="L318" i="4"/>
  <c r="L350" i="4"/>
  <c r="L383" i="4"/>
  <c r="L419" i="4"/>
  <c r="L447" i="4"/>
  <c r="L482" i="4"/>
  <c r="L501" i="4"/>
  <c r="L517" i="4"/>
  <c r="L546" i="4"/>
  <c r="L579" i="4"/>
  <c r="L611" i="4"/>
  <c r="L641" i="4"/>
  <c r="L670" i="4"/>
  <c r="L696" i="4"/>
  <c r="L726" i="4"/>
  <c r="L793" i="4"/>
  <c r="L856" i="4"/>
  <c r="L258" i="4"/>
  <c r="L278" i="4"/>
  <c r="L301" i="4"/>
  <c r="L330" i="4"/>
  <c r="L363" i="4"/>
  <c r="L403" i="4"/>
  <c r="L438" i="4"/>
  <c r="L472" i="4"/>
  <c r="L507" i="4"/>
  <c r="L524" i="4"/>
  <c r="L540" i="4"/>
  <c r="L573" i="4"/>
  <c r="L607" i="4"/>
  <c r="L639" i="4"/>
  <c r="L673" i="4"/>
  <c r="L700" i="4"/>
  <c r="L732" i="4"/>
  <c r="L758" i="4"/>
  <c r="L828" i="4"/>
  <c r="L893" i="4"/>
  <c r="L262" i="4"/>
  <c r="L283" i="4"/>
  <c r="L310" i="4"/>
  <c r="L342" i="4"/>
  <c r="L379" i="4"/>
  <c r="L422" i="4"/>
  <c r="L454" i="4"/>
  <c r="L494" i="4"/>
  <c r="L527" i="4"/>
  <c r="L545" i="4"/>
  <c r="L562" i="4"/>
  <c r="L598" i="4"/>
  <c r="L631" i="4"/>
  <c r="L667" i="4"/>
  <c r="L697" i="4"/>
  <c r="L730" i="4"/>
  <c r="L762" i="4"/>
  <c r="L789" i="4"/>
  <c r="L861" i="4"/>
  <c r="L926" i="4"/>
  <c r="L266" i="4"/>
  <c r="L289" i="4"/>
  <c r="L319" i="4"/>
  <c r="L354" i="4"/>
  <c r="L395" i="4"/>
  <c r="L435" i="4"/>
  <c r="L474" i="4"/>
  <c r="L513" i="4"/>
  <c r="L550" i="4"/>
  <c r="L568" i="4"/>
  <c r="L586" i="4"/>
  <c r="L619" i="4"/>
  <c r="L656" i="4"/>
  <c r="L690" i="4"/>
  <c r="L725" i="4"/>
  <c r="L754" i="4"/>
  <c r="L787" i="4"/>
  <c r="L819" i="4"/>
  <c r="L889" i="4"/>
  <c r="L957" i="4"/>
  <c r="L269" i="4"/>
  <c r="L296" i="4"/>
  <c r="L328" i="4"/>
  <c r="L367" i="4"/>
  <c r="L410" i="4"/>
  <c r="L450" i="4"/>
  <c r="L492" i="4"/>
  <c r="L531" i="4"/>
  <c r="L569" i="4"/>
  <c r="L591" i="4"/>
  <c r="L609" i="4"/>
  <c r="L644" i="4"/>
  <c r="L679" i="4"/>
  <c r="L713" i="4"/>
  <c r="L747" i="4"/>
  <c r="L781" i="4"/>
  <c r="L812" i="4"/>
  <c r="L843" i="4"/>
  <c r="L917" i="4"/>
  <c r="L985" i="4"/>
  <c r="L274" i="4"/>
  <c r="L304" i="4"/>
  <c r="L336" i="4"/>
  <c r="L378" i="4"/>
  <c r="L425" i="4"/>
  <c r="L466" i="4"/>
  <c r="L511" i="4"/>
  <c r="L548" i="4"/>
  <c r="L589" i="4"/>
  <c r="L610" i="4"/>
  <c r="L627" i="4"/>
  <c r="L666" i="4"/>
  <c r="L702" i="4"/>
  <c r="L738" i="4"/>
  <c r="L773" i="4"/>
  <c r="L804" i="4"/>
  <c r="L836" i="4"/>
  <c r="L870" i="4"/>
  <c r="L943" i="4"/>
  <c r="L1012" i="4"/>
  <c r="L276" i="4"/>
  <c r="L308" i="4"/>
  <c r="L346" i="4"/>
  <c r="L391" i="4"/>
  <c r="L436" i="4"/>
  <c r="L480" i="4"/>
  <c r="L522" i="4"/>
  <c r="L564" i="4"/>
  <c r="L604" i="4"/>
  <c r="L626" i="4"/>
  <c r="L646" i="4"/>
  <c r="L683" i="4"/>
  <c r="L722" i="4"/>
  <c r="L756" i="4"/>
  <c r="L792" i="4"/>
  <c r="L827" i="4"/>
  <c r="L860" i="4"/>
  <c r="L891" i="4"/>
  <c r="L967" i="4"/>
  <c r="L1031" i="4"/>
  <c r="L279" i="4"/>
  <c r="L314" i="4"/>
  <c r="L355" i="4"/>
  <c r="L404" i="4"/>
  <c r="L446" i="4"/>
  <c r="L495" i="4"/>
  <c r="L536" i="4"/>
  <c r="L584" i="4"/>
  <c r="L621" i="4"/>
  <c r="L642" i="4"/>
  <c r="L664" i="4"/>
  <c r="L703" i="4"/>
  <c r="L740" i="4"/>
  <c r="L777" i="4"/>
  <c r="L813" i="4"/>
  <c r="L847" i="4"/>
  <c r="L881" i="4"/>
  <c r="L913" i="4"/>
  <c r="L989" i="4"/>
  <c r="L1047" i="4"/>
  <c r="L287" i="4"/>
  <c r="L322" i="4"/>
  <c r="L362" i="4"/>
  <c r="L415" i="4"/>
  <c r="L461" i="4"/>
  <c r="L510" i="4"/>
  <c r="L553" i="4"/>
  <c r="L595" i="4"/>
  <c r="L638" i="4"/>
  <c r="L659" i="4"/>
  <c r="L681" i="4"/>
  <c r="L719" i="4"/>
  <c r="L759" i="4"/>
  <c r="L798" i="4"/>
  <c r="L834" i="4"/>
  <c r="L869" i="4"/>
  <c r="L901" i="4"/>
  <c r="L933" i="4"/>
  <c r="L1008" i="4"/>
  <c r="L1065" i="4"/>
  <c r="L288" i="4"/>
  <c r="L326" i="4"/>
  <c r="L373" i="4"/>
  <c r="L426" i="4"/>
  <c r="L471" i="4"/>
  <c r="L521" i="4"/>
  <c r="L565" i="4"/>
  <c r="L613" i="4"/>
  <c r="L654" i="4"/>
  <c r="L675" i="4"/>
  <c r="L693" i="4"/>
  <c r="L739" i="4"/>
  <c r="L776" i="4"/>
  <c r="L814" i="4"/>
  <c r="L853" i="4"/>
  <c r="L887" i="4"/>
  <c r="L922" i="4"/>
  <c r="L953" i="4"/>
  <c r="L1025" i="4"/>
  <c r="L1080" i="4"/>
  <c r="L292" i="4"/>
  <c r="L334" i="4"/>
  <c r="L381" i="4"/>
  <c r="L434" i="4"/>
  <c r="L484" i="4"/>
  <c r="L532" i="4"/>
  <c r="L580" i="4"/>
  <c r="L624" i="4"/>
  <c r="L669" i="4"/>
  <c r="L689" i="4"/>
  <c r="L712" i="4"/>
  <c r="L751" i="4"/>
  <c r="L794" i="4"/>
  <c r="L833" i="4"/>
  <c r="L871" i="4"/>
  <c r="L905" i="4"/>
  <c r="L940" i="4"/>
  <c r="L972" i="4"/>
  <c r="L1041" i="4"/>
  <c r="L1095" i="4"/>
  <c r="L297" i="4"/>
  <c r="L338" i="4"/>
  <c r="L390" i="4"/>
  <c r="L442" i="4"/>
  <c r="L496" i="4"/>
  <c r="L543" i="4"/>
  <c r="L592" i="4"/>
  <c r="L635" i="4"/>
  <c r="L682" i="4"/>
  <c r="L705" i="4"/>
  <c r="L729" i="4"/>
  <c r="L767" i="4"/>
  <c r="L808" i="4"/>
  <c r="L848" i="4"/>
  <c r="L886" i="4"/>
  <c r="L924" i="4"/>
  <c r="L955" i="4"/>
  <c r="L990" i="4"/>
  <c r="L1056" i="4"/>
  <c r="L1108" i="4"/>
  <c r="L300" i="4"/>
  <c r="L345" i="4"/>
  <c r="L398" i="4"/>
  <c r="L453" i="4"/>
  <c r="L506" i="4"/>
  <c r="L558" i="4"/>
  <c r="L602" i="4"/>
  <c r="L651" i="4"/>
  <c r="L694" i="4"/>
  <c r="L718" i="4"/>
  <c r="L741" i="4"/>
  <c r="L785" i="4"/>
  <c r="L823" i="4"/>
  <c r="L865" i="4"/>
  <c r="L902" i="4"/>
  <c r="L939" i="4"/>
  <c r="L975" i="4"/>
  <c r="L1005" i="4"/>
  <c r="L1070" i="4"/>
  <c r="L1120" i="4"/>
  <c r="L305" i="4"/>
  <c r="L352" i="4"/>
  <c r="L408" i="4"/>
  <c r="L463" i="4"/>
  <c r="L515" i="4"/>
  <c r="L566" i="4"/>
  <c r="L615" i="4"/>
  <c r="L665" i="4"/>
  <c r="L709" i="4"/>
  <c r="L734" i="4"/>
  <c r="L753" i="4"/>
  <c r="L801" i="4"/>
  <c r="L840" i="4"/>
  <c r="L878" i="4"/>
  <c r="L916" i="4"/>
  <c r="L954" i="4"/>
  <c r="L988" i="4"/>
  <c r="L1019" i="4"/>
  <c r="L1081" i="4"/>
  <c r="L1131" i="4"/>
  <c r="L309" i="4"/>
  <c r="L357" i="4"/>
  <c r="L417" i="4"/>
  <c r="L468" i="4"/>
  <c r="L525" i="4"/>
  <c r="L576" i="4"/>
  <c r="L628" i="4"/>
  <c r="L676" i="4"/>
  <c r="L724" i="4"/>
  <c r="L745" i="4"/>
  <c r="L766" i="4"/>
  <c r="L810" i="4"/>
  <c r="L854" i="4"/>
  <c r="L896" i="4"/>
  <c r="L932" i="4"/>
  <c r="L969" i="4"/>
  <c r="L1003" i="4"/>
  <c r="L1033" i="4"/>
  <c r="L1092" i="4"/>
  <c r="L1142" i="4"/>
  <c r="L313" i="4"/>
  <c r="L360" i="4"/>
  <c r="L424" i="4"/>
  <c r="L479" i="4"/>
  <c r="L534" i="4"/>
  <c r="L588" i="4"/>
  <c r="L636" i="4"/>
  <c r="L686" i="4"/>
  <c r="L736" i="4"/>
  <c r="L757" i="4"/>
  <c r="L779" i="4"/>
  <c r="L825" i="4"/>
  <c r="L867" i="4"/>
  <c r="L908" i="4"/>
  <c r="L946" i="4"/>
  <c r="L984" i="4"/>
  <c r="L1016" i="4"/>
  <c r="L1042" i="4"/>
  <c r="L1104" i="4"/>
  <c r="L1150" i="4"/>
  <c r="L316" i="4"/>
  <c r="L370" i="4"/>
  <c r="L431" i="4"/>
  <c r="L488" i="4"/>
  <c r="L542" i="4"/>
  <c r="L597" i="4"/>
  <c r="L649" i="4"/>
  <c r="L699" i="4"/>
  <c r="L746" i="4"/>
  <c r="L771" i="4"/>
  <c r="L796" i="4"/>
  <c r="L838" i="4"/>
  <c r="L879" i="4"/>
  <c r="L923" i="4"/>
  <c r="L962" i="4"/>
  <c r="L997" i="4"/>
  <c r="L1027" i="4"/>
  <c r="L1054" i="4"/>
  <c r="L1114" i="4"/>
  <c r="L1159" i="4"/>
  <c r="L323" i="4"/>
  <c r="L377" i="4"/>
  <c r="L439" i="4"/>
  <c r="L498" i="4"/>
  <c r="L554" i="4"/>
  <c r="L608" i="4"/>
  <c r="L660" i="4"/>
  <c r="L710" i="4"/>
  <c r="L760" i="4"/>
  <c r="L784" i="4"/>
  <c r="L806" i="4"/>
  <c r="L850" i="4"/>
  <c r="L894" i="4"/>
  <c r="L934" i="4"/>
  <c r="L976" i="4"/>
  <c r="L1010" i="4"/>
  <c r="L1039" i="4"/>
  <c r="L1066" i="4"/>
  <c r="L1124" i="4"/>
  <c r="L1167" i="4"/>
  <c r="L325" i="4"/>
  <c r="L384" i="4"/>
  <c r="L443" i="4"/>
  <c r="L504" i="4"/>
  <c r="L560" i="4"/>
  <c r="L616" i="4"/>
  <c r="L672" i="4"/>
  <c r="L721" i="4"/>
  <c r="L769" i="4"/>
  <c r="L797" i="4"/>
  <c r="L818" i="4"/>
  <c r="L864" i="4"/>
  <c r="L906" i="4"/>
  <c r="L947" i="4"/>
  <c r="L987" i="4"/>
  <c r="L1020" i="4"/>
  <c r="L1048" i="4"/>
  <c r="L1075" i="4"/>
  <c r="L1132" i="4"/>
  <c r="L1175" i="4"/>
  <c r="L329" i="4"/>
  <c r="L388" i="4"/>
  <c r="L448" i="4"/>
  <c r="L512" i="4"/>
  <c r="L571" i="4"/>
  <c r="L625" i="4"/>
  <c r="L680" i="4"/>
  <c r="L733" i="4"/>
  <c r="L780" i="4"/>
  <c r="L805" i="4"/>
  <c r="L829" i="4"/>
  <c r="L874" i="4"/>
  <c r="L918" i="4"/>
  <c r="L960" i="4"/>
  <c r="L998" i="4"/>
  <c r="L1030" i="4"/>
  <c r="L1060" i="4"/>
  <c r="L1085" i="4"/>
  <c r="L1140" i="4"/>
  <c r="L1180" i="4"/>
  <c r="L332" i="4"/>
  <c r="L394" i="4"/>
  <c r="L457" i="4"/>
  <c r="L520" i="4"/>
  <c r="L578" i="4"/>
  <c r="L634" i="4"/>
  <c r="L688" i="4"/>
  <c r="L742" i="4"/>
  <c r="L791" i="4"/>
  <c r="L817" i="4"/>
  <c r="L841" i="4"/>
  <c r="L885" i="4"/>
  <c r="L930" i="4"/>
  <c r="L970" i="4"/>
  <c r="L1007" i="4"/>
  <c r="L1040" i="4"/>
  <c r="L1068" i="4"/>
  <c r="L1094" i="4"/>
  <c r="L1148" i="4"/>
  <c r="L1185" i="4"/>
  <c r="L335" i="4"/>
  <c r="L401" i="4"/>
  <c r="L464" i="4"/>
  <c r="L526" i="4"/>
  <c r="L585" i="4"/>
  <c r="L643" i="4"/>
  <c r="L698" i="4"/>
  <c r="L750" i="4"/>
  <c r="L802" i="4"/>
  <c r="L826" i="4"/>
  <c r="L852" i="4"/>
  <c r="L897" i="4"/>
  <c r="L941" i="4"/>
  <c r="L980" i="4"/>
  <c r="L1018" i="4"/>
  <c r="L1049" i="4"/>
  <c r="L1077" i="4"/>
  <c r="L1103" i="4"/>
  <c r="L1155" i="4"/>
  <c r="L1191" i="4"/>
  <c r="L339" i="4"/>
  <c r="L406" i="4"/>
  <c r="L469" i="4"/>
  <c r="L533" i="4"/>
  <c r="L594" i="4"/>
  <c r="L652" i="4"/>
  <c r="L707" i="4"/>
  <c r="L763" i="4"/>
  <c r="L811" i="4"/>
  <c r="L835" i="4"/>
  <c r="L862" i="4"/>
  <c r="L907" i="4"/>
  <c r="L950" i="4"/>
  <c r="L995" i="4"/>
  <c r="L1028" i="4"/>
  <c r="L1058" i="4"/>
  <c r="L1087" i="4"/>
  <c r="L1111" i="4"/>
  <c r="L1161" i="4"/>
  <c r="L1195" i="4"/>
  <c r="L343" i="4"/>
  <c r="L412" i="4"/>
  <c r="L476" i="4"/>
  <c r="L539" i="4"/>
  <c r="L600" i="4"/>
  <c r="L661" i="4"/>
  <c r="L716" i="4"/>
  <c r="L772" i="4"/>
  <c r="L821" i="4"/>
  <c r="L846" i="4"/>
  <c r="L873" i="4"/>
  <c r="L919" i="4"/>
  <c r="L963" i="4"/>
  <c r="L1002" i="4"/>
  <c r="L1035" i="4"/>
  <c r="L1067" i="4"/>
  <c r="L1093" i="4"/>
  <c r="L1118" i="4"/>
  <c r="L1168" i="4"/>
  <c r="L1199" i="4"/>
  <c r="L351" i="4"/>
  <c r="L420" i="4"/>
  <c r="L483" i="4"/>
  <c r="L547" i="4"/>
  <c r="L612" i="4"/>
  <c r="L671" i="4"/>
  <c r="L727" i="4"/>
  <c r="L778" i="4"/>
  <c r="L832" i="4"/>
  <c r="L857" i="4"/>
  <c r="L880" i="4"/>
  <c r="L929" i="4"/>
  <c r="L973" i="4"/>
  <c r="L1013" i="4"/>
  <c r="L1046" i="4"/>
  <c r="L1074" i="4"/>
  <c r="L1101" i="4"/>
  <c r="L1126" i="4"/>
  <c r="L1172" i="4"/>
  <c r="L1202" i="4"/>
  <c r="L353" i="4"/>
  <c r="L423" i="4"/>
  <c r="L490" i="4"/>
  <c r="L555" i="4"/>
  <c r="L618" i="4"/>
  <c r="L677" i="4"/>
  <c r="L735" i="4"/>
  <c r="L788" i="4"/>
  <c r="L842" i="4"/>
  <c r="L866" i="4"/>
  <c r="L890" i="4"/>
  <c r="L937" i="4"/>
  <c r="L981" i="4"/>
  <c r="L1022" i="4"/>
  <c r="L1053" i="4"/>
  <c r="L1082" i="4"/>
  <c r="L1109" i="4"/>
  <c r="L1133" i="4"/>
  <c r="L1178" i="4"/>
  <c r="L1205" i="4"/>
  <c r="L356" i="4"/>
  <c r="L429" i="4"/>
  <c r="L497" i="4"/>
  <c r="L561" i="4"/>
  <c r="L623" i="4"/>
  <c r="L685" i="4"/>
  <c r="L743" i="4"/>
  <c r="L800" i="4"/>
  <c r="L849" i="4"/>
  <c r="L875" i="4"/>
  <c r="L899" i="4"/>
  <c r="L948" i="4"/>
  <c r="L993" i="4"/>
  <c r="L1029" i="4"/>
  <c r="L1062" i="4"/>
  <c r="L1090" i="4"/>
  <c r="L1115" i="4"/>
  <c r="L1138" i="4"/>
  <c r="L1183" i="4"/>
  <c r="L1207" i="4"/>
  <c r="L358" i="4"/>
  <c r="L433" i="4"/>
  <c r="L503" i="4"/>
  <c r="L567" i="4"/>
  <c r="L630" i="4"/>
  <c r="L692" i="4"/>
  <c r="L749" i="4"/>
  <c r="L807" i="4"/>
  <c r="L859" i="4"/>
  <c r="L883" i="4"/>
  <c r="L910" i="4"/>
  <c r="L956" i="4"/>
  <c r="L1001" i="4"/>
  <c r="L1036" i="4"/>
  <c r="L1069" i="4"/>
  <c r="L1099" i="4"/>
  <c r="L1122" i="4"/>
  <c r="L1145" i="4"/>
  <c r="L1188" i="4"/>
  <c r="L1210" i="4"/>
  <c r="L364" i="4"/>
  <c r="L440" i="4"/>
  <c r="L508" i="4"/>
  <c r="L574" i="4"/>
  <c r="L640" i="4"/>
  <c r="L701" i="4"/>
  <c r="L761" i="4"/>
  <c r="L815" i="4"/>
  <c r="L868" i="4"/>
  <c r="L895" i="4"/>
  <c r="L920" i="4"/>
  <c r="L965" i="4"/>
  <c r="L1009" i="4"/>
  <c r="L1044" i="4"/>
  <c r="L1076" i="4"/>
  <c r="L1105" i="4"/>
  <c r="L1129" i="4"/>
  <c r="L1151" i="4"/>
  <c r="L1192" i="4"/>
  <c r="L1212" i="4"/>
  <c r="L368" i="4"/>
  <c r="L441" i="4"/>
  <c r="L514" i="4"/>
  <c r="L583" i="4"/>
  <c r="L647" i="4"/>
  <c r="L706" i="4"/>
  <c r="L765" i="4"/>
  <c r="L822" i="4"/>
  <c r="L877" i="4"/>
  <c r="L903" i="4"/>
  <c r="L928" i="4"/>
  <c r="L977" i="4"/>
  <c r="L1017" i="4"/>
  <c r="L1052" i="4"/>
  <c r="L1083" i="4"/>
  <c r="L1110" i="4"/>
  <c r="L1136" i="4"/>
  <c r="L1156" i="4"/>
  <c r="L1194" i="4"/>
  <c r="L1214" i="4"/>
  <c r="L372" i="4"/>
  <c r="L445" i="4"/>
  <c r="L518" i="4"/>
  <c r="L587" i="4"/>
  <c r="L653" i="4"/>
  <c r="L715" i="4"/>
  <c r="L774" i="4"/>
  <c r="L830" i="4"/>
  <c r="L884" i="4"/>
  <c r="L912" i="4"/>
  <c r="L936" i="4"/>
  <c r="L983" i="4"/>
  <c r="L1024" i="4"/>
  <c r="L1059" i="4"/>
  <c r="L1088" i="4"/>
  <c r="L1117" i="4"/>
  <c r="L1141" i="4"/>
  <c r="L1162" i="4"/>
  <c r="L1198" i="4"/>
  <c r="L1216" i="4"/>
  <c r="L374" i="4"/>
  <c r="L451" i="4"/>
  <c r="L523" i="4"/>
  <c r="L593" i="4"/>
  <c r="L657" i="4"/>
  <c r="L723" i="4"/>
  <c r="L783" i="4"/>
  <c r="L839" i="4"/>
  <c r="L892" i="4"/>
  <c r="L921" i="4"/>
  <c r="L944" i="4"/>
  <c r="L992" i="4"/>
  <c r="L1032" i="4"/>
  <c r="L1064" i="4"/>
  <c r="L1098" i="4"/>
  <c r="L1123" i="4"/>
  <c r="L1146" i="4"/>
  <c r="L1166" i="4"/>
  <c r="L1201" i="4"/>
  <c r="L1219" i="4"/>
  <c r="L380" i="4"/>
  <c r="L455" i="4"/>
  <c r="L528" i="4"/>
  <c r="L599" i="4"/>
  <c r="L668" i="4"/>
  <c r="L731" i="4"/>
  <c r="L790" i="4"/>
  <c r="L845" i="4"/>
  <c r="L900" i="4"/>
  <c r="L927" i="4"/>
  <c r="L951" i="4"/>
  <c r="L1000" i="4"/>
  <c r="L1037" i="4"/>
  <c r="L1072" i="4"/>
  <c r="L1102" i="4"/>
  <c r="L1128" i="4"/>
  <c r="L1152" i="4"/>
  <c r="L1171" i="4"/>
  <c r="L1204" i="4"/>
  <c r="L1221" i="4"/>
  <c r="L385" i="4"/>
  <c r="L462" i="4"/>
  <c r="L535" i="4"/>
  <c r="L603" i="4"/>
  <c r="L674" i="4"/>
  <c r="L737" i="4"/>
  <c r="L799" i="4"/>
  <c r="L855" i="4"/>
  <c r="L909" i="4"/>
  <c r="L935" i="4"/>
  <c r="L961" i="4"/>
  <c r="L1006" i="4"/>
  <c r="L1045" i="4"/>
  <c r="L1078" i="4"/>
  <c r="L1107" i="4"/>
  <c r="L1134" i="4"/>
  <c r="L1157" i="4"/>
  <c r="L1176" i="4"/>
  <c r="L1206" i="4"/>
  <c r="L1223" i="4"/>
  <c r="L386" i="4"/>
  <c r="L465" i="4"/>
  <c r="L537" i="4"/>
  <c r="L614" i="4"/>
  <c r="L678" i="4"/>
  <c r="L744" i="4"/>
  <c r="L803" i="4"/>
  <c r="L863" i="4"/>
  <c r="L914" i="4"/>
  <c r="L942" i="4"/>
  <c r="L968" i="4"/>
  <c r="L1014" i="4"/>
  <c r="L1051" i="4"/>
  <c r="L1084" i="4"/>
  <c r="L1113" i="4"/>
  <c r="L1139" i="4"/>
  <c r="L1160" i="4"/>
  <c r="L1179" i="4"/>
  <c r="L1208" i="4"/>
  <c r="L1224" i="4"/>
  <c r="L392" i="4"/>
  <c r="L467" i="4"/>
  <c r="L544" i="4"/>
  <c r="L617" i="4"/>
  <c r="L684" i="4"/>
  <c r="L748" i="4"/>
  <c r="L809" i="4"/>
  <c r="L872" i="4"/>
  <c r="L925" i="4"/>
  <c r="L949" i="4"/>
  <c r="L978" i="4"/>
  <c r="L1021" i="4"/>
  <c r="L1057" i="4"/>
  <c r="L1089" i="4"/>
  <c r="L1119" i="4"/>
  <c r="L1144" i="4"/>
  <c r="L1164" i="4"/>
  <c r="L1182" i="4"/>
  <c r="L1209" i="4"/>
  <c r="L1225" i="4"/>
  <c r="L396" i="4"/>
  <c r="L475" i="4"/>
  <c r="L551" i="4"/>
  <c r="L620" i="4"/>
  <c r="L691" i="4"/>
  <c r="L755" i="4"/>
  <c r="L820" i="4"/>
  <c r="L876" i="4"/>
  <c r="L931" i="4"/>
  <c r="L958" i="4"/>
  <c r="L982" i="4"/>
  <c r="L1026" i="4"/>
  <c r="L1063" i="4"/>
  <c r="L1097" i="4"/>
  <c r="L1125" i="4"/>
  <c r="L1149" i="4"/>
  <c r="L1170" i="4"/>
  <c r="L1186" i="4"/>
  <c r="L1211" i="4"/>
  <c r="L1226" i="4"/>
  <c r="L399" i="4"/>
  <c r="L478" i="4"/>
  <c r="L556" i="4"/>
  <c r="L629" i="4"/>
  <c r="L695" i="4"/>
  <c r="L764" i="4"/>
  <c r="L824" i="4"/>
  <c r="L882" i="4"/>
  <c r="L938" i="4"/>
  <c r="L964" i="4"/>
  <c r="L991" i="4"/>
  <c r="L1034" i="4"/>
  <c r="L1071" i="4"/>
  <c r="L1100" i="4"/>
  <c r="L1130" i="4"/>
  <c r="L1154" i="4"/>
  <c r="L1174" i="4"/>
  <c r="L1189" i="4"/>
  <c r="L1213" i="4"/>
  <c r="L1227" i="4"/>
  <c r="L405" i="4"/>
  <c r="L481" i="4"/>
  <c r="L559" i="4"/>
  <c r="L632" i="4"/>
  <c r="L704" i="4"/>
  <c r="L768" i="4"/>
  <c r="L831" i="4"/>
  <c r="L888" i="4"/>
  <c r="L945" i="4"/>
  <c r="L971" i="4"/>
  <c r="L996" i="4"/>
  <c r="L1038" i="4"/>
  <c r="L1073" i="4"/>
  <c r="L1106" i="4"/>
  <c r="L1135" i="4"/>
  <c r="L1158" i="4"/>
  <c r="L1177" i="4"/>
  <c r="L1193" i="4"/>
  <c r="L1215" i="4"/>
  <c r="L1228" i="4"/>
  <c r="L407" i="4"/>
  <c r="L486" i="4"/>
  <c r="L563" i="4"/>
  <c r="L637" i="4"/>
  <c r="L708" i="4"/>
  <c r="L775" i="4"/>
  <c r="L837" i="4"/>
  <c r="L898" i="4"/>
  <c r="L952" i="4"/>
  <c r="L979" i="4"/>
  <c r="L1004" i="4"/>
  <c r="L1043" i="4"/>
  <c r="L1079" i="4"/>
  <c r="L1112" i="4"/>
  <c r="L1137" i="4"/>
  <c r="L1163" i="4"/>
  <c r="L1181" i="4"/>
  <c r="L1196" i="4"/>
  <c r="L1217" i="4"/>
  <c r="L1229" i="4"/>
  <c r="L411" i="4"/>
  <c r="L493" i="4"/>
  <c r="L570" i="4"/>
  <c r="L645" i="4"/>
  <c r="L714" i="4"/>
  <c r="L782" i="4"/>
  <c r="L844" i="4"/>
  <c r="L904" i="4"/>
  <c r="L959" i="4"/>
  <c r="L986" i="4"/>
  <c r="L1011" i="4"/>
  <c r="L1050" i="4"/>
  <c r="L1086" i="4"/>
  <c r="L1116" i="4"/>
  <c r="L1143" i="4"/>
  <c r="L1165" i="4"/>
  <c r="L1184" i="4"/>
  <c r="L1197" i="4"/>
  <c r="L1218" i="4"/>
  <c r="L1230" i="4"/>
  <c r="L416" i="4"/>
  <c r="L499" i="4"/>
  <c r="L575" i="4"/>
  <c r="L650" i="4"/>
  <c r="L720" i="4"/>
  <c r="L786" i="4"/>
  <c r="L851" i="4"/>
  <c r="L911" i="4"/>
  <c r="L966" i="4"/>
  <c r="L994" i="4"/>
  <c r="L1015" i="4"/>
  <c r="L1055" i="4"/>
  <c r="L1091" i="4"/>
  <c r="L1121" i="4"/>
  <c r="L1147" i="4"/>
  <c r="L1169" i="4"/>
  <c r="L1187" i="4"/>
  <c r="L1200" i="4"/>
  <c r="L1220" i="4"/>
  <c r="L1231" i="4"/>
  <c r="L421" i="4"/>
  <c r="L502" i="4"/>
  <c r="L581" i="4"/>
  <c r="L655" i="4"/>
  <c r="L728" i="4"/>
  <c r="L795" i="4"/>
  <c r="L858" i="4"/>
  <c r="L915" i="4"/>
  <c r="L974" i="4"/>
  <c r="L999" i="4"/>
  <c r="L1023" i="4"/>
  <c r="L1061" i="4"/>
  <c r="L1096" i="4"/>
  <c r="L1127" i="4"/>
  <c r="L1153" i="4"/>
  <c r="L1173" i="4"/>
  <c r="L1190" i="4"/>
  <c r="L1203" i="4"/>
  <c r="L1222" i="4"/>
  <c r="L1232" i="4"/>
  <c r="O20" i="1"/>
  <c r="O19" i="1"/>
  <c r="C24" i="1"/>
  <c r="C22" i="1"/>
  <c r="W122" i="4"/>
  <c r="W121" i="4"/>
  <c r="T121" i="4"/>
  <c r="T122" i="4"/>
  <c r="Q122" i="4"/>
  <c r="W7" i="4"/>
  <c r="W6" i="4"/>
  <c r="T6" i="4"/>
  <c r="Q7" i="4"/>
  <c r="H2" i="4"/>
  <c r="T223" i="4" s="1"/>
  <c r="F10" i="1" a="1"/>
  <c r="F10" i="1" l="1"/>
  <c r="O12" i="1" s="1"/>
  <c r="V234" i="4"/>
  <c r="V958" i="4"/>
  <c r="V1218" i="4"/>
  <c r="V1182" i="4"/>
  <c r="V1150" i="4"/>
  <c r="V1114" i="4"/>
  <c r="V830" i="4"/>
  <c r="V1205" i="4"/>
  <c r="V1173" i="4"/>
  <c r="V1141" i="4"/>
  <c r="V1082" i="4"/>
  <c r="V1220" i="4"/>
  <c r="V1187" i="4"/>
  <c r="V1155" i="4"/>
  <c r="V1118" i="4"/>
  <c r="V1202" i="4"/>
  <c r="V1170" i="4"/>
  <c r="V1138" i="4"/>
  <c r="V1077" i="4"/>
  <c r="V792" i="4"/>
  <c r="V1018" i="4"/>
  <c r="V1228" i="4"/>
  <c r="V1212" i="4"/>
  <c r="V1196" i="4"/>
  <c r="V1179" i="4"/>
  <c r="V1164" i="4"/>
  <c r="V1147" i="4"/>
  <c r="V1132" i="4"/>
  <c r="V1109" i="4"/>
  <c r="V1054" i="4"/>
  <c r="V926" i="4"/>
  <c r="V491" i="4"/>
  <c r="V1226" i="4"/>
  <c r="V1210" i="4"/>
  <c r="V1191" i="4"/>
  <c r="V1178" i="4"/>
  <c r="V1159" i="4"/>
  <c r="V1146" i="4"/>
  <c r="V1127" i="4"/>
  <c r="V1095" i="4"/>
  <c r="V1045" i="4"/>
  <c r="V888" i="4"/>
  <c r="U892" i="4"/>
  <c r="U531" i="4"/>
  <c r="U932" i="4"/>
  <c r="U840" i="4"/>
  <c r="U1209" i="4"/>
  <c r="U1228" i="4"/>
  <c r="U1010" i="4"/>
  <c r="U956" i="4"/>
  <c r="U723" i="4"/>
  <c r="V1031" i="4"/>
  <c r="V990" i="4"/>
  <c r="V952" i="4"/>
  <c r="U916" i="4"/>
  <c r="U874" i="4"/>
  <c r="V818" i="4"/>
  <c r="V701" i="4"/>
  <c r="U433" i="4"/>
  <c r="U1224" i="4"/>
  <c r="U1200" i="4"/>
  <c r="V1022" i="4"/>
  <c r="V978" i="4"/>
  <c r="V946" i="4"/>
  <c r="V914" i="4"/>
  <c r="V862" i="4"/>
  <c r="U818" i="4"/>
  <c r="V637" i="4"/>
  <c r="U1231" i="4"/>
  <c r="U1227" i="4"/>
  <c r="U1223" i="4"/>
  <c r="U1217" i="4"/>
  <c r="U1212" i="4"/>
  <c r="U1208" i="4"/>
  <c r="U1170" i="4"/>
  <c r="U1128" i="4"/>
  <c r="U1092" i="4"/>
  <c r="U1076" i="4"/>
  <c r="U1050" i="4"/>
  <c r="U1002" i="4"/>
  <c r="U976" i="4"/>
  <c r="U930" i="4"/>
  <c r="U890" i="4"/>
  <c r="U816" i="4"/>
  <c r="U788" i="4"/>
  <c r="U617" i="4"/>
  <c r="U521" i="4"/>
  <c r="U402" i="4"/>
  <c r="U1230" i="4"/>
  <c r="U1215" i="4"/>
  <c r="U1211" i="4"/>
  <c r="U1146" i="4"/>
  <c r="U1138" i="4"/>
  <c r="U1106" i="4"/>
  <c r="U1090" i="4"/>
  <c r="U1064" i="4"/>
  <c r="U1020" i="4"/>
  <c r="U968" i="4"/>
  <c r="U906" i="4"/>
  <c r="U858" i="4"/>
  <c r="U828" i="4"/>
  <c r="U802" i="4"/>
  <c r="U763" i="4"/>
  <c r="U681" i="4"/>
  <c r="U595" i="4"/>
  <c r="U326" i="4"/>
  <c r="U1225" i="4"/>
  <c r="U1220" i="4"/>
  <c r="U1214" i="4"/>
  <c r="U1162" i="4"/>
  <c r="U1148" i="4"/>
  <c r="U1144" i="4"/>
  <c r="U1136" i="4"/>
  <c r="U1100" i="4"/>
  <c r="U1058" i="4"/>
  <c r="U1034" i="4"/>
  <c r="U986" i="4"/>
  <c r="U946" i="4"/>
  <c r="U922" i="4"/>
  <c r="U900" i="4"/>
  <c r="U882" i="4"/>
  <c r="U848" i="4"/>
  <c r="U796" i="4"/>
  <c r="U729" i="4"/>
  <c r="U649" i="4"/>
  <c r="U569" i="4"/>
  <c r="U484" i="4"/>
  <c r="K244" i="4"/>
  <c r="U361" i="4"/>
  <c r="V894" i="4"/>
  <c r="V856" i="4"/>
  <c r="V786" i="4"/>
  <c r="V573" i="4"/>
  <c r="V509" i="4"/>
  <c r="V755" i="4"/>
  <c r="V691" i="4"/>
  <c r="K728" i="4"/>
  <c r="W1217" i="4" s="1"/>
  <c r="U1194" i="4"/>
  <c r="U1186" i="4"/>
  <c r="U1178" i="4"/>
  <c r="U1156" i="4"/>
  <c r="U1122" i="4"/>
  <c r="U1114" i="4"/>
  <c r="U1098" i="4"/>
  <c r="U1084" i="4"/>
  <c r="U1074" i="4"/>
  <c r="U1056" i="4"/>
  <c r="U1042" i="4"/>
  <c r="U1028" i="4"/>
  <c r="U1000" i="4"/>
  <c r="U964" i="4"/>
  <c r="U944" i="4"/>
  <c r="U898" i="4"/>
  <c r="U872" i="4"/>
  <c r="U836" i="4"/>
  <c r="U824" i="4"/>
  <c r="U808" i="4"/>
  <c r="U794" i="4"/>
  <c r="U784" i="4"/>
  <c r="U755" i="4"/>
  <c r="U675" i="4"/>
  <c r="U635" i="4"/>
  <c r="U585" i="4"/>
  <c r="U563" i="4"/>
  <c r="U458" i="4"/>
  <c r="U401" i="4"/>
  <c r="U318" i="4"/>
  <c r="K965" i="4"/>
  <c r="U1202" i="4"/>
  <c r="U1192" i="4"/>
  <c r="U1164" i="4"/>
  <c r="U1130" i="4"/>
  <c r="U1120" i="4"/>
  <c r="U1066" i="4"/>
  <c r="U1036" i="4"/>
  <c r="U1026" i="4"/>
  <c r="U1012" i="4"/>
  <c r="U994" i="4"/>
  <c r="U978" i="4"/>
  <c r="U960" i="4"/>
  <c r="U952" i="4"/>
  <c r="U936" i="4"/>
  <c r="U924" i="4"/>
  <c r="U912" i="4"/>
  <c r="U884" i="4"/>
  <c r="U866" i="4"/>
  <c r="U850" i="4"/>
  <c r="U832" i="4"/>
  <c r="U804" i="4"/>
  <c r="U777" i="4"/>
  <c r="U731" i="4"/>
  <c r="U697" i="4"/>
  <c r="U659" i="4"/>
  <c r="U619" i="4"/>
  <c r="U579" i="4"/>
  <c r="U539" i="4"/>
  <c r="U504" i="4"/>
  <c r="U452" i="4"/>
  <c r="U378" i="4"/>
  <c r="U247" i="4"/>
  <c r="K493" i="4"/>
  <c r="K680" i="4"/>
  <c r="V1086" i="4"/>
  <c r="V1063" i="4"/>
  <c r="V1050" i="4"/>
  <c r="V1013" i="4"/>
  <c r="V984" i="4"/>
  <c r="V920" i="4"/>
  <c r="V882" i="4"/>
  <c r="V850" i="4"/>
  <c r="V824" i="4"/>
  <c r="V798" i="4"/>
  <c r="V765" i="4"/>
  <c r="V627" i="4"/>
  <c r="K1227" i="4"/>
  <c r="K1047" i="4"/>
  <c r="K678" i="4"/>
  <c r="K1121" i="4"/>
  <c r="K1043" i="4"/>
  <c r="K938" i="4"/>
  <c r="K1152" i="4"/>
  <c r="W1029" i="4" s="1"/>
  <c r="K567" i="4"/>
  <c r="K796" i="4"/>
  <c r="K336" i="4"/>
  <c r="K650" i="4"/>
  <c r="K407" i="4"/>
  <c r="K1063" i="4"/>
  <c r="K892" i="4"/>
  <c r="K353" i="4"/>
  <c r="K840" i="4"/>
  <c r="K438" i="4"/>
  <c r="U747" i="4"/>
  <c r="U707" i="4"/>
  <c r="U691" i="4"/>
  <c r="U651" i="4"/>
  <c r="U633" i="4"/>
  <c r="U603" i="4"/>
  <c r="U547" i="4"/>
  <c r="U466" i="4"/>
  <c r="U422" i="4"/>
  <c r="U369" i="4"/>
  <c r="U294" i="4"/>
  <c r="K1173" i="4"/>
  <c r="K1086" i="4"/>
  <c r="K971" i="4"/>
  <c r="K1021" i="4"/>
  <c r="K1214" i="4"/>
  <c r="K533" i="4"/>
  <c r="K905" i="4"/>
  <c r="U1229" i="4"/>
  <c r="U1221" i="4"/>
  <c r="U1218" i="4"/>
  <c r="U1213" i="4"/>
  <c r="U1196" i="4"/>
  <c r="U1188" i="4"/>
  <c r="U1180" i="4"/>
  <c r="U1176" i="4"/>
  <c r="U1168" i="4"/>
  <c r="U1160" i="4"/>
  <c r="U1154" i="4"/>
  <c r="U1132" i="4"/>
  <c r="U1124" i="4"/>
  <c r="U1116" i="4"/>
  <c r="U1108" i="4"/>
  <c r="U1096" i="4"/>
  <c r="U1088" i="4"/>
  <c r="U1082" i="4"/>
  <c r="U1068" i="4"/>
  <c r="U1060" i="4"/>
  <c r="U1052" i="4"/>
  <c r="U1044" i="4"/>
  <c r="U1032" i="4"/>
  <c r="U1024" i="4"/>
  <c r="U1018" i="4"/>
  <c r="U1004" i="4"/>
  <c r="U992" i="4"/>
  <c r="U984" i="4"/>
  <c r="U970" i="4"/>
  <c r="U948" i="4"/>
  <c r="U940" i="4"/>
  <c r="U920" i="4"/>
  <c r="U908" i="4"/>
  <c r="U896" i="4"/>
  <c r="U876" i="4"/>
  <c r="U864" i="4"/>
  <c r="U856" i="4"/>
  <c r="U842" i="4"/>
  <c r="U820" i="4"/>
  <c r="U812" i="4"/>
  <c r="U792" i="4"/>
  <c r="U779" i="4"/>
  <c r="U761" i="4"/>
  <c r="U745" i="4"/>
  <c r="U713" i="4"/>
  <c r="U667" i="4"/>
  <c r="U627" i="4"/>
  <c r="U601" i="4"/>
  <c r="U553" i="4"/>
  <c r="U523" i="4"/>
  <c r="U498" i="4"/>
  <c r="U460" i="4"/>
  <c r="U425" i="4"/>
  <c r="U390" i="4"/>
  <c r="U338" i="4"/>
  <c r="U253" i="4"/>
  <c r="U1232" i="4"/>
  <c r="U1226" i="4"/>
  <c r="U1222" i="4"/>
  <c r="U1219" i="4"/>
  <c r="U1216" i="4"/>
  <c r="U1210" i="4"/>
  <c r="U1204" i="4"/>
  <c r="U1184" i="4"/>
  <c r="U1172" i="4"/>
  <c r="U1152" i="4"/>
  <c r="U1140" i="4"/>
  <c r="U1112" i="4"/>
  <c r="U1104" i="4"/>
  <c r="U1080" i="4"/>
  <c r="U1072" i="4"/>
  <c r="U1048" i="4"/>
  <c r="U1040" i="4"/>
  <c r="U1016" i="4"/>
  <c r="U1008" i="4"/>
  <c r="U996" i="4"/>
  <c r="U988" i="4"/>
  <c r="U980" i="4"/>
  <c r="U972" i="4"/>
  <c r="U962" i="4"/>
  <c r="U954" i="4"/>
  <c r="U938" i="4"/>
  <c r="U928" i="4"/>
  <c r="U914" i="4"/>
  <c r="U904" i="4"/>
  <c r="U888" i="4"/>
  <c r="U880" i="4"/>
  <c r="U868" i="4"/>
  <c r="U860" i="4"/>
  <c r="U852" i="4"/>
  <c r="U844" i="4"/>
  <c r="U834" i="4"/>
  <c r="U826" i="4"/>
  <c r="U810" i="4"/>
  <c r="U800" i="4"/>
  <c r="U786" i="4"/>
  <c r="U771" i="4"/>
  <c r="U739" i="4"/>
  <c r="U715" i="4"/>
  <c r="U699" i="4"/>
  <c r="U683" i="4"/>
  <c r="U665" i="4"/>
  <c r="U643" i="4"/>
  <c r="U611" i="4"/>
  <c r="U587" i="4"/>
  <c r="U571" i="4"/>
  <c r="U555" i="4"/>
  <c r="U537" i="4"/>
  <c r="U515" i="4"/>
  <c r="U492" i="4"/>
  <c r="U464" i="4"/>
  <c r="U442" i="4"/>
  <c r="U410" i="4"/>
  <c r="U382" i="4"/>
  <c r="U346" i="4"/>
  <c r="U305" i="4"/>
  <c r="V248" i="4"/>
  <c r="V280" i="4"/>
  <c r="V443" i="4"/>
  <c r="V447" i="4"/>
  <c r="V451" i="4"/>
  <c r="V454" i="4"/>
  <c r="V460" i="4"/>
  <c r="V466" i="4"/>
  <c r="V470" i="4"/>
  <c r="V474" i="4"/>
  <c r="V478" i="4"/>
  <c r="V482" i="4"/>
  <c r="V485" i="4"/>
  <c r="V489" i="4"/>
  <c r="V492" i="4"/>
  <c r="V496" i="4"/>
  <c r="V499" i="4"/>
  <c r="V503" i="4"/>
  <c r="V506" i="4"/>
  <c r="V510" i="4"/>
  <c r="V514" i="4"/>
  <c r="V517" i="4"/>
  <c r="V523" i="4"/>
  <c r="V527" i="4"/>
  <c r="V534" i="4"/>
  <c r="V537" i="4"/>
  <c r="V540" i="4"/>
  <c r="V544" i="4"/>
  <c r="V547" i="4"/>
  <c r="V551" i="4"/>
  <c r="V554" i="4"/>
  <c r="V557" i="4"/>
  <c r="V561" i="4"/>
  <c r="V564" i="4"/>
  <c r="V568" i="4"/>
  <c r="V574" i="4"/>
  <c r="V578" i="4"/>
  <c r="V581" i="4"/>
  <c r="V587" i="4"/>
  <c r="V591" i="4"/>
  <c r="V598" i="4"/>
  <c r="V601" i="4"/>
  <c r="V604" i="4"/>
  <c r="V608" i="4"/>
  <c r="V611" i="4"/>
  <c r="V615" i="4"/>
  <c r="V618" i="4"/>
  <c r="V621" i="4"/>
  <c r="V625" i="4"/>
  <c r="V628" i="4"/>
  <c r="V632" i="4"/>
  <c r="V638" i="4"/>
  <c r="V642" i="4"/>
  <c r="V645" i="4"/>
  <c r="V651" i="4"/>
  <c r="V655" i="4"/>
  <c r="V662" i="4"/>
  <c r="V665" i="4"/>
  <c r="V668" i="4"/>
  <c r="V672" i="4"/>
  <c r="V675" i="4"/>
  <c r="V679" i="4"/>
  <c r="V682" i="4"/>
  <c r="V685" i="4"/>
  <c r="V689" i="4"/>
  <c r="V692" i="4"/>
  <c r="V696" i="4"/>
  <c r="V702" i="4"/>
  <c r="V706" i="4"/>
  <c r="V709" i="4"/>
  <c r="V715" i="4"/>
  <c r="V719" i="4"/>
  <c r="V726" i="4"/>
  <c r="V729" i="4"/>
  <c r="V732" i="4"/>
  <c r="V736" i="4"/>
  <c r="V739" i="4"/>
  <c r="V743" i="4"/>
  <c r="V746" i="4"/>
  <c r="V749" i="4"/>
  <c r="V753" i="4"/>
  <c r="V756" i="4"/>
  <c r="V760" i="4"/>
  <c r="V766" i="4"/>
  <c r="V770" i="4"/>
  <c r="V773" i="4"/>
  <c r="V284" i="4"/>
  <c r="V444" i="4"/>
  <c r="V448" i="4"/>
  <c r="V455" i="4"/>
  <c r="V458" i="4"/>
  <c r="V461" i="4"/>
  <c r="V464" i="4"/>
  <c r="V467" i="4"/>
  <c r="V471" i="4"/>
  <c r="V475" i="4"/>
  <c r="V479" i="4"/>
  <c r="V483" i="4"/>
  <c r="V486" i="4"/>
  <c r="V490" i="4"/>
  <c r="V493" i="4"/>
  <c r="V497" i="4"/>
  <c r="V500" i="4"/>
  <c r="V507" i="4"/>
  <c r="V511" i="4"/>
  <c r="V518" i="4"/>
  <c r="V521" i="4"/>
  <c r="V524" i="4"/>
  <c r="V528" i="4"/>
  <c r="V531" i="4"/>
  <c r="V535" i="4"/>
  <c r="V538" i="4"/>
  <c r="V541" i="4"/>
  <c r="V545" i="4"/>
  <c r="V548" i="4"/>
  <c r="V552" i="4"/>
  <c r="V558" i="4"/>
  <c r="V562" i="4"/>
  <c r="V565" i="4"/>
  <c r="V571" i="4"/>
  <c r="V575" i="4"/>
  <c r="V582" i="4"/>
  <c r="V585" i="4"/>
  <c r="V588" i="4"/>
  <c r="V592" i="4"/>
  <c r="V595" i="4"/>
  <c r="V599" i="4"/>
  <c r="V602" i="4"/>
  <c r="V605" i="4"/>
  <c r="V609" i="4"/>
  <c r="V612" i="4"/>
  <c r="V616" i="4"/>
  <c r="V622" i="4"/>
  <c r="V626" i="4"/>
  <c r="V629" i="4"/>
  <c r="V635" i="4"/>
  <c r="V639" i="4"/>
  <c r="V646" i="4"/>
  <c r="V649" i="4"/>
  <c r="V652" i="4"/>
  <c r="V656" i="4"/>
  <c r="V659" i="4"/>
  <c r="V663" i="4"/>
  <c r="V666" i="4"/>
  <c r="V669" i="4"/>
  <c r="V673" i="4"/>
  <c r="V676" i="4"/>
  <c r="V680" i="4"/>
  <c r="V686" i="4"/>
  <c r="V690" i="4"/>
  <c r="V693" i="4"/>
  <c r="V699" i="4"/>
  <c r="V703" i="4"/>
  <c r="V710" i="4"/>
  <c r="V713" i="4"/>
  <c r="V716" i="4"/>
  <c r="V720" i="4"/>
  <c r="V723" i="4"/>
  <c r="V727" i="4"/>
  <c r="V730" i="4"/>
  <c r="V733" i="4"/>
  <c r="V737" i="4"/>
  <c r="V740" i="4"/>
  <c r="V744" i="4"/>
  <c r="V750" i="4"/>
  <c r="V754" i="4"/>
  <c r="V757" i="4"/>
  <c r="V763" i="4"/>
  <c r="V767" i="4"/>
  <c r="V774" i="4"/>
  <c r="V777" i="4"/>
  <c r="V449" i="4"/>
  <c r="V453" i="4"/>
  <c r="V459" i="4"/>
  <c r="V469" i="4"/>
  <c r="V477" i="4"/>
  <c r="V484" i="4"/>
  <c r="V498" i="4"/>
  <c r="V504" i="4"/>
  <c r="V512" i="4"/>
  <c r="V516" i="4"/>
  <c r="V522" i="4"/>
  <c r="V529" i="4"/>
  <c r="V533" i="4"/>
  <c r="V539" i="4"/>
  <c r="V553" i="4"/>
  <c r="V559" i="4"/>
  <c r="V566" i="4"/>
  <c r="V570" i="4"/>
  <c r="V576" i="4"/>
  <c r="V580" i="4"/>
  <c r="V586" i="4"/>
  <c r="V593" i="4"/>
  <c r="V597" i="4"/>
  <c r="V603" i="4"/>
  <c r="V617" i="4"/>
  <c r="V623" i="4"/>
  <c r="V630" i="4"/>
  <c r="V634" i="4"/>
  <c r="V640" i="4"/>
  <c r="V644" i="4"/>
  <c r="V650" i="4"/>
  <c r="V657" i="4"/>
  <c r="V661" i="4"/>
  <c r="V667" i="4"/>
  <c r="V681" i="4"/>
  <c r="V687" i="4"/>
  <c r="V694" i="4"/>
  <c r="V698" i="4"/>
  <c r="V704" i="4"/>
  <c r="V708" i="4"/>
  <c r="V714" i="4"/>
  <c r="V721" i="4"/>
  <c r="V725" i="4"/>
  <c r="V731" i="4"/>
  <c r="V745" i="4"/>
  <c r="V751" i="4"/>
  <c r="V758" i="4"/>
  <c r="V762" i="4"/>
  <c r="V768" i="4"/>
  <c r="V772" i="4"/>
  <c r="V778" i="4"/>
  <c r="V781" i="4"/>
  <c r="V784" i="4"/>
  <c r="V787" i="4"/>
  <c r="V790" i="4"/>
  <c r="V793" i="4"/>
  <c r="V799" i="4"/>
  <c r="V804" i="4"/>
  <c r="V810" i="4"/>
  <c r="V813" i="4"/>
  <c r="V816" i="4"/>
  <c r="V819" i="4"/>
  <c r="V822" i="4"/>
  <c r="V825" i="4"/>
  <c r="V831" i="4"/>
  <c r="V836" i="4"/>
  <c r="V842" i="4"/>
  <c r="V845" i="4"/>
  <c r="V848" i="4"/>
  <c r="V851" i="4"/>
  <c r="V854" i="4"/>
  <c r="V857" i="4"/>
  <c r="V863" i="4"/>
  <c r="V868" i="4"/>
  <c r="V874" i="4"/>
  <c r="V877" i="4"/>
  <c r="V880" i="4"/>
  <c r="V883" i="4"/>
  <c r="V886" i="4"/>
  <c r="V889" i="4"/>
  <c r="V895" i="4"/>
  <c r="V900" i="4"/>
  <c r="V906" i="4"/>
  <c r="V909" i="4"/>
  <c r="V912" i="4"/>
  <c r="V915" i="4"/>
  <c r="V918" i="4"/>
  <c r="V921" i="4"/>
  <c r="V927" i="4"/>
  <c r="V932" i="4"/>
  <c r="V938" i="4"/>
  <c r="V941" i="4"/>
  <c r="V944" i="4"/>
  <c r="V947" i="4"/>
  <c r="V950" i="4"/>
  <c r="V953" i="4"/>
  <c r="V959" i="4"/>
  <c r="V964" i="4"/>
  <c r="V970" i="4"/>
  <c r="V973" i="4"/>
  <c r="V976" i="4"/>
  <c r="V979" i="4"/>
  <c r="V982" i="4"/>
  <c r="V985" i="4"/>
  <c r="V991" i="4"/>
  <c r="V996" i="4"/>
  <c r="V1002" i="4"/>
  <c r="V1005" i="4"/>
  <c r="V1008" i="4"/>
  <c r="V1011" i="4"/>
  <c r="V1014" i="4"/>
  <c r="V1017" i="4"/>
  <c r="V1023" i="4"/>
  <c r="V1028" i="4"/>
  <c r="V1034" i="4"/>
  <c r="V1037" i="4"/>
  <c r="V1040" i="4"/>
  <c r="V1043" i="4"/>
  <c r="V1046" i="4"/>
  <c r="V1049" i="4"/>
  <c r="V1055" i="4"/>
  <c r="V1060" i="4"/>
  <c r="V1066" i="4"/>
  <c r="V1069" i="4"/>
  <c r="V1072" i="4"/>
  <c r="V1075" i="4"/>
  <c r="V1078" i="4"/>
  <c r="V1081" i="4"/>
  <c r="V1087" i="4"/>
  <c r="V1092" i="4"/>
  <c r="V1098" i="4"/>
  <c r="V1101" i="4"/>
  <c r="V1104" i="4"/>
  <c r="V1107" i="4"/>
  <c r="V1110" i="4"/>
  <c r="V1113" i="4"/>
  <c r="V1119" i="4"/>
  <c r="V1124" i="4"/>
  <c r="V1130" i="4"/>
  <c r="V1133" i="4"/>
  <c r="V1136" i="4"/>
  <c r="V1139" i="4"/>
  <c r="V1142" i="4"/>
  <c r="V1145" i="4"/>
  <c r="V1151" i="4"/>
  <c r="V1156" i="4"/>
  <c r="V1162" i="4"/>
  <c r="V1165" i="4"/>
  <c r="V1168" i="4"/>
  <c r="V1171" i="4"/>
  <c r="V1174" i="4"/>
  <c r="V1177" i="4"/>
  <c r="V1183" i="4"/>
  <c r="V1188" i="4"/>
  <c r="V1194" i="4"/>
  <c r="V1197" i="4"/>
  <c r="V1200" i="4"/>
  <c r="V1203" i="4"/>
  <c r="V1206" i="4"/>
  <c r="V233" i="4"/>
  <c r="V450" i="4"/>
  <c r="V456" i="4"/>
  <c r="V465" i="4"/>
  <c r="V472" i="4"/>
  <c r="V480" i="4"/>
  <c r="V487" i="4"/>
  <c r="V494" i="4"/>
  <c r="V501" i="4"/>
  <c r="V505" i="4"/>
  <c r="V513" i="4"/>
  <c r="V519" i="4"/>
  <c r="V530" i="4"/>
  <c r="V536" i="4"/>
  <c r="V542" i="4"/>
  <c r="V549" i="4"/>
  <c r="V560" i="4"/>
  <c r="V567" i="4"/>
  <c r="V577" i="4"/>
  <c r="V583" i="4"/>
  <c r="V594" i="4"/>
  <c r="V600" i="4"/>
  <c r="V606" i="4"/>
  <c r="V613" i="4"/>
  <c r="V624" i="4"/>
  <c r="V631" i="4"/>
  <c r="V641" i="4"/>
  <c r="V647" i="4"/>
  <c r="V658" i="4"/>
  <c r="V664" i="4"/>
  <c r="V670" i="4"/>
  <c r="V677" i="4"/>
  <c r="V688" i="4"/>
  <c r="V695" i="4"/>
  <c r="V705" i="4"/>
  <c r="V711" i="4"/>
  <c r="V722" i="4"/>
  <c r="V728" i="4"/>
  <c r="V734" i="4"/>
  <c r="V741" i="4"/>
  <c r="V752" i="4"/>
  <c r="V759" i="4"/>
  <c r="V769" i="4"/>
  <c r="V775" i="4"/>
  <c r="V782" i="4"/>
  <c r="V785" i="4"/>
  <c r="V791" i="4"/>
  <c r="V796" i="4"/>
  <c r="V802" i="4"/>
  <c r="V805" i="4"/>
  <c r="V808" i="4"/>
  <c r="V811" i="4"/>
  <c r="V814" i="4"/>
  <c r="V817" i="4"/>
  <c r="V823" i="4"/>
  <c r="V828" i="4"/>
  <c r="V834" i="4"/>
  <c r="V837" i="4"/>
  <c r="V840" i="4"/>
  <c r="V843" i="4"/>
  <c r="V846" i="4"/>
  <c r="V849" i="4"/>
  <c r="V855" i="4"/>
  <c r="V860" i="4"/>
  <c r="V866" i="4"/>
  <c r="V869" i="4"/>
  <c r="V872" i="4"/>
  <c r="V875" i="4"/>
  <c r="V878" i="4"/>
  <c r="V881" i="4"/>
  <c r="V887" i="4"/>
  <c r="V892" i="4"/>
  <c r="V898" i="4"/>
  <c r="V901" i="4"/>
  <c r="V904" i="4"/>
  <c r="V907" i="4"/>
  <c r="V910" i="4"/>
  <c r="V913" i="4"/>
  <c r="V919" i="4"/>
  <c r="V924" i="4"/>
  <c r="V930" i="4"/>
  <c r="V933" i="4"/>
  <c r="V936" i="4"/>
  <c r="V939" i="4"/>
  <c r="V942" i="4"/>
  <c r="V945" i="4"/>
  <c r="V951" i="4"/>
  <c r="V956" i="4"/>
  <c r="V962" i="4"/>
  <c r="V965" i="4"/>
  <c r="V968" i="4"/>
  <c r="V971" i="4"/>
  <c r="V974" i="4"/>
  <c r="V977" i="4"/>
  <c r="V983" i="4"/>
  <c r="V988" i="4"/>
  <c r="V994" i="4"/>
  <c r="V997" i="4"/>
  <c r="V1000" i="4"/>
  <c r="V1003" i="4"/>
  <c r="V1006" i="4"/>
  <c r="V1009" i="4"/>
  <c r="V1015" i="4"/>
  <c r="V1020" i="4"/>
  <c r="V1026" i="4"/>
  <c r="V1029" i="4"/>
  <c r="V1032" i="4"/>
  <c r="V1035" i="4"/>
  <c r="V1038" i="4"/>
  <c r="V1041" i="4"/>
  <c r="V1047" i="4"/>
  <c r="V1052" i="4"/>
  <c r="V1058" i="4"/>
  <c r="V1061" i="4"/>
  <c r="V1064" i="4"/>
  <c r="V1067" i="4"/>
  <c r="V1070" i="4"/>
  <c r="V1073" i="4"/>
  <c r="V1079" i="4"/>
  <c r="V1084" i="4"/>
  <c r="V1090" i="4"/>
  <c r="V1093" i="4"/>
  <c r="V1096" i="4"/>
  <c r="V1099" i="4"/>
  <c r="V1102" i="4"/>
  <c r="V1105" i="4"/>
  <c r="V1111" i="4"/>
  <c r="V1116" i="4"/>
  <c r="V1122" i="4"/>
  <c r="V1125" i="4"/>
  <c r="V1128" i="4"/>
  <c r="V1131" i="4"/>
  <c r="V1134" i="4"/>
  <c r="V1137" i="4"/>
  <c r="V1143" i="4"/>
  <c r="V1148" i="4"/>
  <c r="V1154" i="4"/>
  <c r="V1157" i="4"/>
  <c r="V1160" i="4"/>
  <c r="V1163" i="4"/>
  <c r="V1166" i="4"/>
  <c r="V1169" i="4"/>
  <c r="V1175" i="4"/>
  <c r="V1180" i="4"/>
  <c r="V1186" i="4"/>
  <c r="V1189" i="4"/>
  <c r="V1192" i="4"/>
  <c r="V1195" i="4"/>
  <c r="V1198" i="4"/>
  <c r="V1201" i="4"/>
  <c r="V1207" i="4"/>
  <c r="V1209" i="4"/>
  <c r="V1211" i="4"/>
  <c r="V1213" i="4"/>
  <c r="V1215" i="4"/>
  <c r="V1217" i="4"/>
  <c r="V1219" i="4"/>
  <c r="V1221" i="4"/>
  <c r="V1223" i="4"/>
  <c r="V1225" i="4"/>
  <c r="V1227" i="4"/>
  <c r="V1229" i="4"/>
  <c r="V1231" i="4"/>
  <c r="V902" i="4"/>
  <c r="V960" i="4"/>
  <c r="V966" i="4"/>
  <c r="V975" i="4"/>
  <c r="V986" i="4"/>
  <c r="V992" i="4"/>
  <c r="V998" i="4"/>
  <c r="V1001" i="4"/>
  <c r="V236" i="4"/>
  <c r="V264" i="4"/>
  <c r="V445" i="4"/>
  <c r="V457" i="4"/>
  <c r="V462" i="4"/>
  <c r="V473" i="4"/>
  <c r="V481" i="4"/>
  <c r="V488" i="4"/>
  <c r="V495" i="4"/>
  <c r="V502" i="4"/>
  <c r="V508" i="4"/>
  <c r="V520" i="4"/>
  <c r="V525" i="4"/>
  <c r="V543" i="4"/>
  <c r="V550" i="4"/>
  <c r="V555" i="4"/>
  <c r="V572" i="4"/>
  <c r="V584" i="4"/>
  <c r="V589" i="4"/>
  <c r="V607" i="4"/>
  <c r="V614" i="4"/>
  <c r="V619" i="4"/>
  <c r="V636" i="4"/>
  <c r="V648" i="4"/>
  <c r="V653" i="4"/>
  <c r="V671" i="4"/>
  <c r="V678" i="4"/>
  <c r="V683" i="4"/>
  <c r="V700" i="4"/>
  <c r="V712" i="4"/>
  <c r="V717" i="4"/>
  <c r="V735" i="4"/>
  <c r="V742" i="4"/>
  <c r="V747" i="4"/>
  <c r="V764" i="4"/>
  <c r="V776" i="4"/>
  <c r="V779" i="4"/>
  <c r="V783" i="4"/>
  <c r="V788" i="4"/>
  <c r="V794" i="4"/>
  <c r="V797" i="4"/>
  <c r="V800" i="4"/>
  <c r="V803" i="4"/>
  <c r="V806" i="4"/>
  <c r="V809" i="4"/>
  <c r="V815" i="4"/>
  <c r="V820" i="4"/>
  <c r="V826" i="4"/>
  <c r="V829" i="4"/>
  <c r="V832" i="4"/>
  <c r="V835" i="4"/>
  <c r="V838" i="4"/>
  <c r="V841" i="4"/>
  <c r="V847" i="4"/>
  <c r="V852" i="4"/>
  <c r="V858" i="4"/>
  <c r="V861" i="4"/>
  <c r="V864" i="4"/>
  <c r="V867" i="4"/>
  <c r="V870" i="4"/>
  <c r="V873" i="4"/>
  <c r="V879" i="4"/>
  <c r="V884" i="4"/>
  <c r="V890" i="4"/>
  <c r="V893" i="4"/>
  <c r="V896" i="4"/>
  <c r="V899" i="4"/>
  <c r="V905" i="4"/>
  <c r="V911" i="4"/>
  <c r="V916" i="4"/>
  <c r="V922" i="4"/>
  <c r="V925" i="4"/>
  <c r="V928" i="4"/>
  <c r="V931" i="4"/>
  <c r="V934" i="4"/>
  <c r="V937" i="4"/>
  <c r="V943" i="4"/>
  <c r="V948" i="4"/>
  <c r="V954" i="4"/>
  <c r="V957" i="4"/>
  <c r="V963" i="4"/>
  <c r="V969" i="4"/>
  <c r="V980" i="4"/>
  <c r="V989" i="4"/>
  <c r="V995" i="4"/>
  <c r="V1230" i="4"/>
  <c r="V1222" i="4"/>
  <c r="V1214" i="4"/>
  <c r="V1204" i="4"/>
  <c r="V1190" i="4"/>
  <c r="V1185" i="4"/>
  <c r="V1181" i="4"/>
  <c r="V1172" i="4"/>
  <c r="V1158" i="4"/>
  <c r="V1153" i="4"/>
  <c r="V1149" i="4"/>
  <c r="V1140" i="4"/>
  <c r="V1126" i="4"/>
  <c r="V1121" i="4"/>
  <c r="V1117" i="4"/>
  <c r="V1108" i="4"/>
  <c r="V1094" i="4"/>
  <c r="V1089" i="4"/>
  <c r="V1085" i="4"/>
  <c r="V1076" i="4"/>
  <c r="V1062" i="4"/>
  <c r="V1057" i="4"/>
  <c r="V1053" i="4"/>
  <c r="V1044" i="4"/>
  <c r="V1030" i="4"/>
  <c r="V1025" i="4"/>
  <c r="V1021" i="4"/>
  <c r="V1012" i="4"/>
  <c r="V724" i="4"/>
  <c r="V660" i="4"/>
  <c r="V596" i="4"/>
  <c r="V532" i="4"/>
  <c r="V452" i="4"/>
  <c r="V240" i="4"/>
  <c r="V1232" i="4"/>
  <c r="V1224" i="4"/>
  <c r="V1216" i="4"/>
  <c r="V1208" i="4"/>
  <c r="V1199" i="4"/>
  <c r="V1193" i="4"/>
  <c r="V1184" i="4"/>
  <c r="V1176" i="4"/>
  <c r="V1167" i="4"/>
  <c r="V1161" i="4"/>
  <c r="V1152" i="4"/>
  <c r="V1144" i="4"/>
  <c r="V1135" i="4"/>
  <c r="V1129" i="4"/>
  <c r="V1120" i="4"/>
  <c r="V1112" i="4"/>
  <c r="V1103" i="4"/>
  <c r="V1097" i="4"/>
  <c r="V1088" i="4"/>
  <c r="V1080" i="4"/>
  <c r="V1071" i="4"/>
  <c r="V1065" i="4"/>
  <c r="V1056" i="4"/>
  <c r="V1048" i="4"/>
  <c r="V1039" i="4"/>
  <c r="V1033" i="4"/>
  <c r="V1024" i="4"/>
  <c r="V1016" i="4"/>
  <c r="V1007" i="4"/>
  <c r="V993" i="4"/>
  <c r="V987" i="4"/>
  <c r="V981" i="4"/>
  <c r="V961" i="4"/>
  <c r="V955" i="4"/>
  <c r="V949" i="4"/>
  <c r="V929" i="4"/>
  <c r="V923" i="4"/>
  <c r="V917" i="4"/>
  <c r="V897" i="4"/>
  <c r="V891" i="4"/>
  <c r="V885" i="4"/>
  <c r="V865" i="4"/>
  <c r="V859" i="4"/>
  <c r="V853" i="4"/>
  <c r="V833" i="4"/>
  <c r="V827" i="4"/>
  <c r="V821" i="4"/>
  <c r="V801" i="4"/>
  <c r="V795" i="4"/>
  <c r="V789" i="4"/>
  <c r="V771" i="4"/>
  <c r="V761" i="4"/>
  <c r="V748" i="4"/>
  <c r="V738" i="4"/>
  <c r="V707" i="4"/>
  <c r="V697" i="4"/>
  <c r="V684" i="4"/>
  <c r="V674" i="4"/>
  <c r="V643" i="4"/>
  <c r="V633" i="4"/>
  <c r="V620" i="4"/>
  <c r="V610" i="4"/>
  <c r="V579" i="4"/>
  <c r="V569" i="4"/>
  <c r="V556" i="4"/>
  <c r="V546" i="4"/>
  <c r="V515" i="4"/>
  <c r="V476" i="4"/>
  <c r="V463" i="4"/>
  <c r="V272" i="4"/>
  <c r="V1123" i="4"/>
  <c r="V1115" i="4"/>
  <c r="V1106" i="4"/>
  <c r="V1100" i="4"/>
  <c r="V1091" i="4"/>
  <c r="V1083" i="4"/>
  <c r="V1074" i="4"/>
  <c r="V1068" i="4"/>
  <c r="V1059" i="4"/>
  <c r="V1051" i="4"/>
  <c r="V1042" i="4"/>
  <c r="V1036" i="4"/>
  <c r="V1027" i="4"/>
  <c r="V1019" i="4"/>
  <c r="V1010" i="4"/>
  <c r="V1004" i="4"/>
  <c r="V999" i="4"/>
  <c r="V972" i="4"/>
  <c r="V967" i="4"/>
  <c r="V940" i="4"/>
  <c r="V935" i="4"/>
  <c r="V908" i="4"/>
  <c r="V903" i="4"/>
  <c r="V876" i="4"/>
  <c r="V871" i="4"/>
  <c r="V844" i="4"/>
  <c r="V839" i="4"/>
  <c r="V812" i="4"/>
  <c r="V807" i="4"/>
  <c r="V780" i="4"/>
  <c r="V718" i="4"/>
  <c r="V654" i="4"/>
  <c r="V590" i="4"/>
  <c r="V526" i="4"/>
  <c r="V468" i="4"/>
  <c r="V446" i="4"/>
  <c r="U358" i="4"/>
  <c r="U337" i="4"/>
  <c r="U314" i="4"/>
  <c r="U286" i="4"/>
  <c r="U272" i="4"/>
  <c r="U1206" i="4"/>
  <c r="U1198" i="4"/>
  <c r="U1190" i="4"/>
  <c r="U1182" i="4"/>
  <c r="U1174" i="4"/>
  <c r="U1166" i="4"/>
  <c r="U1158" i="4"/>
  <c r="U1150" i="4"/>
  <c r="U1142" i="4"/>
  <c r="U1134" i="4"/>
  <c r="U1126" i="4"/>
  <c r="U1118" i="4"/>
  <c r="U1110" i="4"/>
  <c r="U1102" i="4"/>
  <c r="U1094" i="4"/>
  <c r="U1086" i="4"/>
  <c r="U1078" i="4"/>
  <c r="U1070" i="4"/>
  <c r="U1062" i="4"/>
  <c r="U1054" i="4"/>
  <c r="U1046" i="4"/>
  <c r="U1038" i="4"/>
  <c r="U1030" i="4"/>
  <c r="U1022" i="4"/>
  <c r="U1014" i="4"/>
  <c r="U1006" i="4"/>
  <c r="U998" i="4"/>
  <c r="U990" i="4"/>
  <c r="U982" i="4"/>
  <c r="U974" i="4"/>
  <c r="U966" i="4"/>
  <c r="U958" i="4"/>
  <c r="U950" i="4"/>
  <c r="U942" i="4"/>
  <c r="U934" i="4"/>
  <c r="U926" i="4"/>
  <c r="U918" i="4"/>
  <c r="U910" i="4"/>
  <c r="U902" i="4"/>
  <c r="U894" i="4"/>
  <c r="U886" i="4"/>
  <c r="U878" i="4"/>
  <c r="U870" i="4"/>
  <c r="U862" i="4"/>
  <c r="U854" i="4"/>
  <c r="U846" i="4"/>
  <c r="U838" i="4"/>
  <c r="U830" i="4"/>
  <c r="U822" i="4"/>
  <c r="U814" i="4"/>
  <c r="U806" i="4"/>
  <c r="U798" i="4"/>
  <c r="U790" i="4"/>
  <c r="U769" i="4"/>
  <c r="U753" i="4"/>
  <c r="U737" i="4"/>
  <c r="U721" i="4"/>
  <c r="U705" i="4"/>
  <c r="U689" i="4"/>
  <c r="U673" i="4"/>
  <c r="U657" i="4"/>
  <c r="U641" i="4"/>
  <c r="U625" i="4"/>
  <c r="U609" i="4"/>
  <c r="U593" i="4"/>
  <c r="U577" i="4"/>
  <c r="U561" i="4"/>
  <c r="U545" i="4"/>
  <c r="U529" i="4"/>
  <c r="U513" i="4"/>
  <c r="U496" i="4"/>
  <c r="U490" i="4"/>
  <c r="U472" i="4"/>
  <c r="U434" i="4"/>
  <c r="U414" i="4"/>
  <c r="U393" i="4"/>
  <c r="U370" i="4"/>
  <c r="U350" i="4"/>
  <c r="U329" i="4"/>
  <c r="U306" i="4"/>
  <c r="U280" i="4"/>
  <c r="U262" i="4"/>
  <c r="U297" i="4"/>
  <c r="U235" i="4"/>
  <c r="U239" i="4"/>
  <c r="U243" i="4"/>
  <c r="U249" i="4"/>
  <c r="U255" i="4"/>
  <c r="U259" i="4"/>
  <c r="U263" i="4"/>
  <c r="U266" i="4"/>
  <c r="U270" i="4"/>
  <c r="U273" i="4"/>
  <c r="U277" i="4"/>
  <c r="U284" i="4"/>
  <c r="U287" i="4"/>
  <c r="U291" i="4"/>
  <c r="U295" i="4"/>
  <c r="U299" i="4"/>
  <c r="U303" i="4"/>
  <c r="U307" i="4"/>
  <c r="U311" i="4"/>
  <c r="U315" i="4"/>
  <c r="U319" i="4"/>
  <c r="U323" i="4"/>
  <c r="U327" i="4"/>
  <c r="U331" i="4"/>
  <c r="U335" i="4"/>
  <c r="U339" i="4"/>
  <c r="U343" i="4"/>
  <c r="U347" i="4"/>
  <c r="U351" i="4"/>
  <c r="U355" i="4"/>
  <c r="U359" i="4"/>
  <c r="U363" i="4"/>
  <c r="U367" i="4"/>
  <c r="U371" i="4"/>
  <c r="U375" i="4"/>
  <c r="U379" i="4"/>
  <c r="U383" i="4"/>
  <c r="U387" i="4"/>
  <c r="U391" i="4"/>
  <c r="U395" i="4"/>
  <c r="U399" i="4"/>
  <c r="U403" i="4"/>
  <c r="U407" i="4"/>
  <c r="U411" i="4"/>
  <c r="U415" i="4"/>
  <c r="U419" i="4"/>
  <c r="U423" i="4"/>
  <c r="U427" i="4"/>
  <c r="U431" i="4"/>
  <c r="U435" i="4"/>
  <c r="U439" i="4"/>
  <c r="U443" i="4"/>
  <c r="U445" i="4"/>
  <c r="U447" i="4"/>
  <c r="U449" i="4"/>
  <c r="U451" i="4"/>
  <c r="U453" i="4"/>
  <c r="U455" i="4"/>
  <c r="U457" i="4"/>
  <c r="U459" i="4"/>
  <c r="U461" i="4"/>
  <c r="U463" i="4"/>
  <c r="U465" i="4"/>
  <c r="U467" i="4"/>
  <c r="U469" i="4"/>
  <c r="U471" i="4"/>
  <c r="U473" i="4"/>
  <c r="U475" i="4"/>
  <c r="U477" i="4"/>
  <c r="U479" i="4"/>
  <c r="U481" i="4"/>
  <c r="U483" i="4"/>
  <c r="U485" i="4"/>
  <c r="U487" i="4"/>
  <c r="U489" i="4"/>
  <c r="U491" i="4"/>
  <c r="U493" i="4"/>
  <c r="U495" i="4"/>
  <c r="U497" i="4"/>
  <c r="U499" i="4"/>
  <c r="U501" i="4"/>
  <c r="U503" i="4"/>
  <c r="U505" i="4"/>
  <c r="U507" i="4"/>
  <c r="U509" i="4"/>
  <c r="U245" i="4"/>
  <c r="U250" i="4"/>
  <c r="U256" i="4"/>
  <c r="U260" i="4"/>
  <c r="U264" i="4"/>
  <c r="U267" i="4"/>
  <c r="U271" i="4"/>
  <c r="U274" i="4"/>
  <c r="U278" i="4"/>
  <c r="U281" i="4"/>
  <c r="U288" i="4"/>
  <c r="U292" i="4"/>
  <c r="U296" i="4"/>
  <c r="U300" i="4"/>
  <c r="U304" i="4"/>
  <c r="U308" i="4"/>
  <c r="U312" i="4"/>
  <c r="U316" i="4"/>
  <c r="U320" i="4"/>
  <c r="U324" i="4"/>
  <c r="U328" i="4"/>
  <c r="U332" i="4"/>
  <c r="U336" i="4"/>
  <c r="U340" i="4"/>
  <c r="U344" i="4"/>
  <c r="U348" i="4"/>
  <c r="U352" i="4"/>
  <c r="U356" i="4"/>
  <c r="U360" i="4"/>
  <c r="U364" i="4"/>
  <c r="U368" i="4"/>
  <c r="U372" i="4"/>
  <c r="U376" i="4"/>
  <c r="U380" i="4"/>
  <c r="U384" i="4"/>
  <c r="U388" i="4"/>
  <c r="U392" i="4"/>
  <c r="U396" i="4"/>
  <c r="U400" i="4"/>
  <c r="U404" i="4"/>
  <c r="U408" i="4"/>
  <c r="U412" i="4"/>
  <c r="U416" i="4"/>
  <c r="U420" i="4"/>
  <c r="U424" i="4"/>
  <c r="U428" i="4"/>
  <c r="U432" i="4"/>
  <c r="U436" i="4"/>
  <c r="U440" i="4"/>
  <c r="U241" i="4"/>
  <c r="U252" i="4"/>
  <c r="U261" i="4"/>
  <c r="U268" i="4"/>
  <c r="U275" i="4"/>
  <c r="U285" i="4"/>
  <c r="U293" i="4"/>
  <c r="U301" i="4"/>
  <c r="U309" i="4"/>
  <c r="U317" i="4"/>
  <c r="U325" i="4"/>
  <c r="U333" i="4"/>
  <c r="U341" i="4"/>
  <c r="U349" i="4"/>
  <c r="U357" i="4"/>
  <c r="U365" i="4"/>
  <c r="U373" i="4"/>
  <c r="U381" i="4"/>
  <c r="U389" i="4"/>
  <c r="U397" i="4"/>
  <c r="U405" i="4"/>
  <c r="U413" i="4"/>
  <c r="U421" i="4"/>
  <c r="U429" i="4"/>
  <c r="U437" i="4"/>
  <c r="U446" i="4"/>
  <c r="U454" i="4"/>
  <c r="U462" i="4"/>
  <c r="U470" i="4"/>
  <c r="U478" i="4"/>
  <c r="U486" i="4"/>
  <c r="U494" i="4"/>
  <c r="U502" i="4"/>
  <c r="U510" i="4"/>
  <c r="U512" i="4"/>
  <c r="U514" i="4"/>
  <c r="U516" i="4"/>
  <c r="U518" i="4"/>
  <c r="U520" i="4"/>
  <c r="U522" i="4"/>
  <c r="U524" i="4"/>
  <c r="U526" i="4"/>
  <c r="U528" i="4"/>
  <c r="U530" i="4"/>
  <c r="U532" i="4"/>
  <c r="U534" i="4"/>
  <c r="U536" i="4"/>
  <c r="U538" i="4"/>
  <c r="U540" i="4"/>
  <c r="U542" i="4"/>
  <c r="U544" i="4"/>
  <c r="U546" i="4"/>
  <c r="U548" i="4"/>
  <c r="U550" i="4"/>
  <c r="U552" i="4"/>
  <c r="U554" i="4"/>
  <c r="U556" i="4"/>
  <c r="U558" i="4"/>
  <c r="U560" i="4"/>
  <c r="U562" i="4"/>
  <c r="U564" i="4"/>
  <c r="U566" i="4"/>
  <c r="U568" i="4"/>
  <c r="U570" i="4"/>
  <c r="U572" i="4"/>
  <c r="U574" i="4"/>
  <c r="U576" i="4"/>
  <c r="U578" i="4"/>
  <c r="U580" i="4"/>
  <c r="U582" i="4"/>
  <c r="U584" i="4"/>
  <c r="U586" i="4"/>
  <c r="U588" i="4"/>
  <c r="U590" i="4"/>
  <c r="U592" i="4"/>
  <c r="U594" i="4"/>
  <c r="U596" i="4"/>
  <c r="U598" i="4"/>
  <c r="U600" i="4"/>
  <c r="U602" i="4"/>
  <c r="U604" i="4"/>
  <c r="U606" i="4"/>
  <c r="U608" i="4"/>
  <c r="U610" i="4"/>
  <c r="U612" i="4"/>
  <c r="U614" i="4"/>
  <c r="U616" i="4"/>
  <c r="U618" i="4"/>
  <c r="U620" i="4"/>
  <c r="U622" i="4"/>
  <c r="U624" i="4"/>
  <c r="U626" i="4"/>
  <c r="U628" i="4"/>
  <c r="U630" i="4"/>
  <c r="U632" i="4"/>
  <c r="U634" i="4"/>
  <c r="U636" i="4"/>
  <c r="U638" i="4"/>
  <c r="U640" i="4"/>
  <c r="U642" i="4"/>
  <c r="U644" i="4"/>
  <c r="U646" i="4"/>
  <c r="U648" i="4"/>
  <c r="U650" i="4"/>
  <c r="U652" i="4"/>
  <c r="U654" i="4"/>
  <c r="U656" i="4"/>
  <c r="U658" i="4"/>
  <c r="U660" i="4"/>
  <c r="U662" i="4"/>
  <c r="U664" i="4"/>
  <c r="U666" i="4"/>
  <c r="U668" i="4"/>
  <c r="U670" i="4"/>
  <c r="U672" i="4"/>
  <c r="U674" i="4"/>
  <c r="U676" i="4"/>
  <c r="U678" i="4"/>
  <c r="U680" i="4"/>
  <c r="U682" i="4"/>
  <c r="U684" i="4"/>
  <c r="U686" i="4"/>
  <c r="U688" i="4"/>
  <c r="U690" i="4"/>
  <c r="U692" i="4"/>
  <c r="U694" i="4"/>
  <c r="U696" i="4"/>
  <c r="U698" i="4"/>
  <c r="U700" i="4"/>
  <c r="U702" i="4"/>
  <c r="U704" i="4"/>
  <c r="U706" i="4"/>
  <c r="U708" i="4"/>
  <c r="U710" i="4"/>
  <c r="U712" i="4"/>
  <c r="U714" i="4"/>
  <c r="U716" i="4"/>
  <c r="U718" i="4"/>
  <c r="U720" i="4"/>
  <c r="U722" i="4"/>
  <c r="U724" i="4"/>
  <c r="U726" i="4"/>
  <c r="U728" i="4"/>
  <c r="U730" i="4"/>
  <c r="U732" i="4"/>
  <c r="U734" i="4"/>
  <c r="U736" i="4"/>
  <c r="U738" i="4"/>
  <c r="U740" i="4"/>
  <c r="U742" i="4"/>
  <c r="U744" i="4"/>
  <c r="U746" i="4"/>
  <c r="U748" i="4"/>
  <c r="U750" i="4"/>
  <c r="U752" i="4"/>
  <c r="U754" i="4"/>
  <c r="U756" i="4"/>
  <c r="U758" i="4"/>
  <c r="U760" i="4"/>
  <c r="U762" i="4"/>
  <c r="U764" i="4"/>
  <c r="U766" i="4"/>
  <c r="U768" i="4"/>
  <c r="U770" i="4"/>
  <c r="U772" i="4"/>
  <c r="U774" i="4"/>
  <c r="U776" i="4"/>
  <c r="U778" i="4"/>
  <c r="U780" i="4"/>
  <c r="U782" i="4"/>
  <c r="U233" i="4"/>
  <c r="U781" i="4"/>
  <c r="U773" i="4"/>
  <c r="U765" i="4"/>
  <c r="U757" i="4"/>
  <c r="U749" i="4"/>
  <c r="U741" i="4"/>
  <c r="U733" i="4"/>
  <c r="U725" i="4"/>
  <c r="U717" i="4"/>
  <c r="U709" i="4"/>
  <c r="U701" i="4"/>
  <c r="U693" i="4"/>
  <c r="U685" i="4"/>
  <c r="U677" i="4"/>
  <c r="U669" i="4"/>
  <c r="U661" i="4"/>
  <c r="U653" i="4"/>
  <c r="U645" i="4"/>
  <c r="U637" i="4"/>
  <c r="U629" i="4"/>
  <c r="U621" i="4"/>
  <c r="U613" i="4"/>
  <c r="U605" i="4"/>
  <c r="U597" i="4"/>
  <c r="U589" i="4"/>
  <c r="U581" i="4"/>
  <c r="U573" i="4"/>
  <c r="U565" i="4"/>
  <c r="U557" i="4"/>
  <c r="U549" i="4"/>
  <c r="U541" i="4"/>
  <c r="U533" i="4"/>
  <c r="U525" i="4"/>
  <c r="U517" i="4"/>
  <c r="U506" i="4"/>
  <c r="U500" i="4"/>
  <c r="U480" i="4"/>
  <c r="U474" i="4"/>
  <c r="U468" i="4"/>
  <c r="U448" i="4"/>
  <c r="U441" i="4"/>
  <c r="U430" i="4"/>
  <c r="U418" i="4"/>
  <c r="U409" i="4"/>
  <c r="U398" i="4"/>
  <c r="U386" i="4"/>
  <c r="U377" i="4"/>
  <c r="U366" i="4"/>
  <c r="U354" i="4"/>
  <c r="U345" i="4"/>
  <c r="U334" i="4"/>
  <c r="U322" i="4"/>
  <c r="U313" i="4"/>
  <c r="U302" i="4"/>
  <c r="U290" i="4"/>
  <c r="U283" i="4"/>
  <c r="U279" i="4"/>
  <c r="U269" i="4"/>
  <c r="U258" i="4"/>
  <c r="U246" i="4"/>
  <c r="U237" i="4"/>
  <c r="U1207" i="4"/>
  <c r="U1205" i="4"/>
  <c r="U1203" i="4"/>
  <c r="U1201" i="4"/>
  <c r="U1199" i="4"/>
  <c r="U1197" i="4"/>
  <c r="U1195" i="4"/>
  <c r="U1193" i="4"/>
  <c r="U1191" i="4"/>
  <c r="U1189" i="4"/>
  <c r="U1187" i="4"/>
  <c r="U1185" i="4"/>
  <c r="U1183" i="4"/>
  <c r="U1181" i="4"/>
  <c r="U1179" i="4"/>
  <c r="U1177" i="4"/>
  <c r="U1175" i="4"/>
  <c r="U1173" i="4"/>
  <c r="U1171" i="4"/>
  <c r="U1169" i="4"/>
  <c r="U1167" i="4"/>
  <c r="U1165" i="4"/>
  <c r="U1163" i="4"/>
  <c r="U1161" i="4"/>
  <c r="U1159" i="4"/>
  <c r="U1157" i="4"/>
  <c r="U1155" i="4"/>
  <c r="U1153" i="4"/>
  <c r="U1151" i="4"/>
  <c r="U1149" i="4"/>
  <c r="U1147" i="4"/>
  <c r="U1145" i="4"/>
  <c r="U1143" i="4"/>
  <c r="U1141" i="4"/>
  <c r="U1139" i="4"/>
  <c r="U1137" i="4"/>
  <c r="U1135" i="4"/>
  <c r="U1133" i="4"/>
  <c r="U1131" i="4"/>
  <c r="U1129" i="4"/>
  <c r="U1127" i="4"/>
  <c r="U1125" i="4"/>
  <c r="U1123" i="4"/>
  <c r="U1121" i="4"/>
  <c r="U1119" i="4"/>
  <c r="U1117" i="4"/>
  <c r="U1115" i="4"/>
  <c r="U1113" i="4"/>
  <c r="U1111" i="4"/>
  <c r="U1109" i="4"/>
  <c r="U1107" i="4"/>
  <c r="U1105" i="4"/>
  <c r="U1103" i="4"/>
  <c r="U1101" i="4"/>
  <c r="U1099" i="4"/>
  <c r="U1097" i="4"/>
  <c r="U1095" i="4"/>
  <c r="U1093" i="4"/>
  <c r="U1091" i="4"/>
  <c r="U1089" i="4"/>
  <c r="U1087" i="4"/>
  <c r="U1085" i="4"/>
  <c r="U1083" i="4"/>
  <c r="U1081" i="4"/>
  <c r="U1079" i="4"/>
  <c r="U1077" i="4"/>
  <c r="U1075" i="4"/>
  <c r="U1073" i="4"/>
  <c r="U1071" i="4"/>
  <c r="U1069" i="4"/>
  <c r="U1067" i="4"/>
  <c r="U1065" i="4"/>
  <c r="U1063" i="4"/>
  <c r="U1061" i="4"/>
  <c r="U1059" i="4"/>
  <c r="U1057" i="4"/>
  <c r="U1055" i="4"/>
  <c r="U1053" i="4"/>
  <c r="U1051" i="4"/>
  <c r="U1049" i="4"/>
  <c r="U1047" i="4"/>
  <c r="U1045" i="4"/>
  <c r="U1043" i="4"/>
  <c r="U1041" i="4"/>
  <c r="U1039" i="4"/>
  <c r="U1037" i="4"/>
  <c r="U1035" i="4"/>
  <c r="U1033" i="4"/>
  <c r="U1031" i="4"/>
  <c r="U1029" i="4"/>
  <c r="U1027" i="4"/>
  <c r="U1025" i="4"/>
  <c r="U1023" i="4"/>
  <c r="U1021" i="4"/>
  <c r="U1019" i="4"/>
  <c r="U1017" i="4"/>
  <c r="U1015" i="4"/>
  <c r="U1013" i="4"/>
  <c r="U1011" i="4"/>
  <c r="U1009" i="4"/>
  <c r="U1007" i="4"/>
  <c r="U1005" i="4"/>
  <c r="U1003" i="4"/>
  <c r="U1001" i="4"/>
  <c r="U999" i="4"/>
  <c r="U997" i="4"/>
  <c r="U995" i="4"/>
  <c r="U993" i="4"/>
  <c r="U991" i="4"/>
  <c r="U989" i="4"/>
  <c r="U987" i="4"/>
  <c r="U985" i="4"/>
  <c r="U983" i="4"/>
  <c r="U981" i="4"/>
  <c r="U979" i="4"/>
  <c r="U977" i="4"/>
  <c r="U975" i="4"/>
  <c r="U973" i="4"/>
  <c r="U971" i="4"/>
  <c r="U969" i="4"/>
  <c r="U967" i="4"/>
  <c r="U965" i="4"/>
  <c r="U963" i="4"/>
  <c r="U961" i="4"/>
  <c r="U959" i="4"/>
  <c r="U957" i="4"/>
  <c r="U955" i="4"/>
  <c r="U953" i="4"/>
  <c r="U951" i="4"/>
  <c r="U949" i="4"/>
  <c r="U947" i="4"/>
  <c r="U945" i="4"/>
  <c r="U943" i="4"/>
  <c r="U941" i="4"/>
  <c r="U939" i="4"/>
  <c r="U937" i="4"/>
  <c r="U935" i="4"/>
  <c r="U933" i="4"/>
  <c r="U931" i="4"/>
  <c r="U929" i="4"/>
  <c r="U927" i="4"/>
  <c r="U925" i="4"/>
  <c r="U923" i="4"/>
  <c r="U921" i="4"/>
  <c r="U919" i="4"/>
  <c r="U917" i="4"/>
  <c r="U915" i="4"/>
  <c r="U913" i="4"/>
  <c r="U911" i="4"/>
  <c r="U909" i="4"/>
  <c r="U907" i="4"/>
  <c r="U905" i="4"/>
  <c r="U903" i="4"/>
  <c r="U901" i="4"/>
  <c r="U899" i="4"/>
  <c r="U897" i="4"/>
  <c r="U895" i="4"/>
  <c r="U893" i="4"/>
  <c r="U891" i="4"/>
  <c r="U889" i="4"/>
  <c r="U887" i="4"/>
  <c r="U885" i="4"/>
  <c r="U883" i="4"/>
  <c r="U881" i="4"/>
  <c r="U879" i="4"/>
  <c r="U877" i="4"/>
  <c r="U875" i="4"/>
  <c r="U873" i="4"/>
  <c r="U871" i="4"/>
  <c r="U869" i="4"/>
  <c r="U867" i="4"/>
  <c r="U865" i="4"/>
  <c r="U863" i="4"/>
  <c r="U861" i="4"/>
  <c r="U859" i="4"/>
  <c r="U857" i="4"/>
  <c r="U855" i="4"/>
  <c r="U853" i="4"/>
  <c r="U851" i="4"/>
  <c r="U849" i="4"/>
  <c r="U847" i="4"/>
  <c r="U845" i="4"/>
  <c r="U843" i="4"/>
  <c r="U841" i="4"/>
  <c r="U839" i="4"/>
  <c r="U837" i="4"/>
  <c r="U835" i="4"/>
  <c r="U833" i="4"/>
  <c r="U831" i="4"/>
  <c r="U829" i="4"/>
  <c r="U827" i="4"/>
  <c r="U825" i="4"/>
  <c r="U823" i="4"/>
  <c r="U821" i="4"/>
  <c r="U819" i="4"/>
  <c r="U817" i="4"/>
  <c r="U815" i="4"/>
  <c r="U813" i="4"/>
  <c r="U811" i="4"/>
  <c r="U809" i="4"/>
  <c r="U807" i="4"/>
  <c r="U805" i="4"/>
  <c r="U803" i="4"/>
  <c r="U801" i="4"/>
  <c r="U799" i="4"/>
  <c r="U797" i="4"/>
  <c r="U795" i="4"/>
  <c r="U793" i="4"/>
  <c r="U791" i="4"/>
  <c r="U789" i="4"/>
  <c r="U787" i="4"/>
  <c r="U785" i="4"/>
  <c r="U783" i="4"/>
  <c r="U775" i="4"/>
  <c r="U767" i="4"/>
  <c r="U759" i="4"/>
  <c r="U751" i="4"/>
  <c r="U743" i="4"/>
  <c r="U735" i="4"/>
  <c r="U727" i="4"/>
  <c r="U719" i="4"/>
  <c r="U711" i="4"/>
  <c r="U703" i="4"/>
  <c r="U695" i="4"/>
  <c r="U687" i="4"/>
  <c r="U679" i="4"/>
  <c r="U671" i="4"/>
  <c r="U663" i="4"/>
  <c r="U655" i="4"/>
  <c r="U647" i="4"/>
  <c r="U639" i="4"/>
  <c r="U631" i="4"/>
  <c r="U623" i="4"/>
  <c r="U615" i="4"/>
  <c r="U607" i="4"/>
  <c r="U599" i="4"/>
  <c r="U591" i="4"/>
  <c r="U583" i="4"/>
  <c r="U575" i="4"/>
  <c r="U567" i="4"/>
  <c r="U559" i="4"/>
  <c r="U551" i="4"/>
  <c r="U543" i="4"/>
  <c r="U535" i="4"/>
  <c r="U527" i="4"/>
  <c r="U519" i="4"/>
  <c r="U511" i="4"/>
  <c r="U508" i="4"/>
  <c r="U488" i="4"/>
  <c r="U482" i="4"/>
  <c r="U476" i="4"/>
  <c r="U456" i="4"/>
  <c r="U450" i="4"/>
  <c r="U444" i="4"/>
  <c r="U438" i="4"/>
  <c r="U426" i="4"/>
  <c r="U417" i="4"/>
  <c r="U406" i="4"/>
  <c r="U394" i="4"/>
  <c r="U385" i="4"/>
  <c r="U374" i="4"/>
  <c r="U362" i="4"/>
  <c r="U353" i="4"/>
  <c r="U342" i="4"/>
  <c r="U330" i="4"/>
  <c r="U321" i="4"/>
  <c r="U310" i="4"/>
  <c r="U298" i="4"/>
  <c r="U289" i="4"/>
  <c r="U282" i="4"/>
  <c r="U276" i="4"/>
  <c r="U265" i="4"/>
  <c r="U257" i="4"/>
  <c r="U242" i="4"/>
  <c r="V268" i="4"/>
  <c r="V256" i="4"/>
  <c r="V252" i="4"/>
  <c r="U254" i="4"/>
  <c r="U251" i="4"/>
  <c r="U248" i="4"/>
  <c r="U244" i="4"/>
  <c r="U240" i="4"/>
  <c r="U236" i="4"/>
  <c r="K234" i="4"/>
  <c r="K245" i="4"/>
  <c r="K261" i="4"/>
  <c r="K285" i="4"/>
  <c r="W246" i="4" s="1"/>
  <c r="K320" i="4"/>
  <c r="K239" i="4"/>
  <c r="K263" i="4"/>
  <c r="K298" i="4"/>
  <c r="W262" i="4" s="1"/>
  <c r="K349" i="4"/>
  <c r="K418" i="4"/>
  <c r="K243" i="4"/>
  <c r="K281" i="4"/>
  <c r="K337" i="4"/>
  <c r="K409" i="4"/>
  <c r="K491" i="4"/>
  <c r="K249" i="4"/>
  <c r="W294" i="4" s="1"/>
  <c r="K303" i="4"/>
  <c r="K376" i="4"/>
  <c r="K460" i="4"/>
  <c r="K552" i="4"/>
  <c r="W310" i="4" s="1"/>
  <c r="K253" i="4"/>
  <c r="K324" i="4"/>
  <c r="K413" i="4"/>
  <c r="K505" i="4"/>
  <c r="K601" i="4"/>
  <c r="K260" i="4"/>
  <c r="K341" i="4"/>
  <c r="K444" i="4"/>
  <c r="W342" i="4" s="1"/>
  <c r="K541" i="4"/>
  <c r="K648" i="4"/>
  <c r="K265" i="4"/>
  <c r="K359" i="4"/>
  <c r="K473" i="4"/>
  <c r="K577" i="4"/>
  <c r="K687" i="4"/>
  <c r="K273" i="4"/>
  <c r="K383" i="4"/>
  <c r="K501" i="4"/>
  <c r="K611" i="4"/>
  <c r="K726" i="4"/>
  <c r="K278" i="4"/>
  <c r="K403" i="4"/>
  <c r="K524" i="4"/>
  <c r="K639" i="4"/>
  <c r="W406" i="4" s="1"/>
  <c r="K758" i="4"/>
  <c r="K283" i="4"/>
  <c r="K422" i="4"/>
  <c r="K545" i="4"/>
  <c r="W422" i="4" s="1"/>
  <c r="K667" i="4"/>
  <c r="K789" i="4"/>
  <c r="K289" i="4"/>
  <c r="K435" i="4"/>
  <c r="W438" i="4" s="1"/>
  <c r="K568" i="4"/>
  <c r="K690" i="4"/>
  <c r="K819" i="4"/>
  <c r="K296" i="4"/>
  <c r="W454" i="4" s="1"/>
  <c r="K450" i="4"/>
  <c r="K591" i="4"/>
  <c r="K713" i="4"/>
  <c r="K843" i="4"/>
  <c r="K304" i="4"/>
  <c r="K466" i="4"/>
  <c r="K610" i="4"/>
  <c r="K738" i="4"/>
  <c r="W486" i="4" s="1"/>
  <c r="K870" i="4"/>
  <c r="K308" i="4"/>
  <c r="K480" i="4"/>
  <c r="K626" i="4"/>
  <c r="K756" i="4"/>
  <c r="K891" i="4"/>
  <c r="K314" i="4"/>
  <c r="K495" i="4"/>
  <c r="K642" i="4"/>
  <c r="K777" i="4"/>
  <c r="K913" i="4"/>
  <c r="K322" i="4"/>
  <c r="K510" i="4"/>
  <c r="K659" i="4"/>
  <c r="K798" i="4"/>
  <c r="K933" i="4"/>
  <c r="W550" i="4" s="1"/>
  <c r="K326" i="4"/>
  <c r="K521" i="4"/>
  <c r="K675" i="4"/>
  <c r="K814" i="4"/>
  <c r="W566" i="4" s="1"/>
  <c r="K953" i="4"/>
  <c r="K334" i="4"/>
  <c r="K532" i="4"/>
  <c r="K689" i="4"/>
  <c r="W582" i="4" s="1"/>
  <c r="K833" i="4"/>
  <c r="K972" i="4"/>
  <c r="K338" i="4"/>
  <c r="K543" i="4"/>
  <c r="K705" i="4"/>
  <c r="K848" i="4"/>
  <c r="K990" i="4"/>
  <c r="W610" i="4" s="1"/>
  <c r="K345" i="4"/>
  <c r="K558" i="4"/>
  <c r="K718" i="4"/>
  <c r="K865" i="4"/>
  <c r="K1005" i="4"/>
  <c r="K352" i="4"/>
  <c r="K566" i="4"/>
  <c r="K734" i="4"/>
  <c r="K878" i="4"/>
  <c r="K1019" i="4"/>
  <c r="K357" i="4"/>
  <c r="K576" i="4"/>
  <c r="K745" i="4"/>
  <c r="K896" i="4"/>
  <c r="K1033" i="4"/>
  <c r="K360" i="4"/>
  <c r="K588" i="4"/>
  <c r="W678" i="4" s="1"/>
  <c r="K757" i="4"/>
  <c r="K908" i="4"/>
  <c r="K1042" i="4"/>
  <c r="K370" i="4"/>
  <c r="K597" i="4"/>
  <c r="K771" i="4"/>
  <c r="K923" i="4"/>
  <c r="K1054" i="4"/>
  <c r="W710" i="4" s="1"/>
  <c r="K377" i="4"/>
  <c r="K608" i="4"/>
  <c r="W718" i="4" s="1"/>
  <c r="K784" i="4"/>
  <c r="K934" i="4"/>
  <c r="W726" i="4" s="1"/>
  <c r="K1066" i="4"/>
  <c r="K384" i="4"/>
  <c r="W734" i="4" s="1"/>
  <c r="K616" i="4"/>
  <c r="K797" i="4"/>
  <c r="W742" i="4" s="1"/>
  <c r="K947" i="4"/>
  <c r="K1075" i="4"/>
  <c r="K388" i="4"/>
  <c r="K625" i="4"/>
  <c r="K805" i="4"/>
  <c r="K960" i="4"/>
  <c r="K1085" i="4"/>
  <c r="K394" i="4"/>
  <c r="K634" i="4"/>
  <c r="K817" i="4"/>
  <c r="K970" i="4"/>
  <c r="K1094" i="4"/>
  <c r="W790" i="4" s="1"/>
  <c r="K401" i="4"/>
  <c r="K643" i="4"/>
  <c r="W798" i="4" s="1"/>
  <c r="K826" i="4"/>
  <c r="K980" i="4"/>
  <c r="K1103" i="4"/>
  <c r="K406" i="4"/>
  <c r="K652" i="4"/>
  <c r="K835" i="4"/>
  <c r="W822" i="4" s="1"/>
  <c r="K995" i="4"/>
  <c r="W826" i="4" s="1"/>
  <c r="K1111" i="4"/>
  <c r="K412" i="4"/>
  <c r="K661" i="4"/>
  <c r="K846" i="4"/>
  <c r="K1002" i="4"/>
  <c r="K1118" i="4"/>
  <c r="K420" i="4"/>
  <c r="K671" i="4"/>
  <c r="K857" i="4"/>
  <c r="K1013" i="4"/>
  <c r="K1126" i="4"/>
  <c r="K423" i="4"/>
  <c r="K677" i="4"/>
  <c r="K866" i="4"/>
  <c r="K1022" i="4"/>
  <c r="W886" i="4" s="1"/>
  <c r="K1133" i="4"/>
  <c r="K429" i="4"/>
  <c r="K238" i="4"/>
  <c r="K256" i="4"/>
  <c r="K293" i="4"/>
  <c r="K375" i="4"/>
  <c r="K254" i="4"/>
  <c r="K306" i="4"/>
  <c r="W263" i="4" s="1"/>
  <c r="K382" i="4"/>
  <c r="K237" i="4"/>
  <c r="K295" i="4"/>
  <c r="K366" i="4"/>
  <c r="W284" i="4" s="1"/>
  <c r="K470" i="4"/>
  <c r="W289" i="4" s="1"/>
  <c r="K257" i="4"/>
  <c r="W295" i="4" s="1"/>
  <c r="K340" i="4"/>
  <c r="K437" i="4"/>
  <c r="K606" i="4"/>
  <c r="K282" i="4"/>
  <c r="K397" i="4"/>
  <c r="K530" i="4"/>
  <c r="W327" i="4" s="1"/>
  <c r="K717" i="4"/>
  <c r="K315" i="4"/>
  <c r="K459" i="4"/>
  <c r="K596" i="4"/>
  <c r="W348" i="4" s="1"/>
  <c r="K251" i="4"/>
  <c r="K393" i="4"/>
  <c r="K519" i="4"/>
  <c r="K662" i="4"/>
  <c r="K291" i="4"/>
  <c r="W375" i="4" s="1"/>
  <c r="K447" i="4"/>
  <c r="K579" i="4"/>
  <c r="K793" i="4"/>
  <c r="W391" i="4" s="1"/>
  <c r="K330" i="4"/>
  <c r="K507" i="4"/>
  <c r="K673" i="4"/>
  <c r="K893" i="4"/>
  <c r="W412" i="4" s="1"/>
  <c r="K379" i="4"/>
  <c r="K562" i="4"/>
  <c r="K730" i="4"/>
  <c r="K266" i="4"/>
  <c r="K474" i="4"/>
  <c r="K619" i="4"/>
  <c r="K787" i="4"/>
  <c r="K328" i="4"/>
  <c r="W455" i="4" s="1"/>
  <c r="K240" i="4"/>
  <c r="W237" i="4" s="1"/>
  <c r="K264" i="4"/>
  <c r="W243" i="4" s="1"/>
  <c r="K302" i="4"/>
  <c r="K235" i="4"/>
  <c r="K272" i="4"/>
  <c r="K317" i="4"/>
  <c r="W264" i="4" s="1"/>
  <c r="K400" i="4"/>
  <c r="K250" i="4"/>
  <c r="W275" i="4" s="1"/>
  <c r="K312" i="4"/>
  <c r="K387" i="4"/>
  <c r="K538" i="4"/>
  <c r="K271" i="4"/>
  <c r="W296" i="4" s="1"/>
  <c r="K361" i="4"/>
  <c r="K485" i="4"/>
  <c r="K658" i="4"/>
  <c r="K299" i="4"/>
  <c r="W317" i="4" s="1"/>
  <c r="K427" i="4"/>
  <c r="K557" i="4"/>
  <c r="K246" i="4"/>
  <c r="K369" i="4"/>
  <c r="K487" i="4"/>
  <c r="K622" i="4"/>
  <c r="K284" i="4"/>
  <c r="K428" i="4"/>
  <c r="W360" i="4" s="1"/>
  <c r="K549" i="4"/>
  <c r="K752" i="4"/>
  <c r="K318" i="4"/>
  <c r="K482" i="4"/>
  <c r="W381" i="4" s="1"/>
  <c r="K641" i="4"/>
  <c r="W387" i="4" s="1"/>
  <c r="K856" i="4"/>
  <c r="K363" i="4"/>
  <c r="W397" i="4" s="1"/>
  <c r="K540" i="4"/>
  <c r="W403" i="4" s="1"/>
  <c r="K700" i="4"/>
  <c r="K262" i="4"/>
  <c r="W413" i="4" s="1"/>
  <c r="K454" i="4"/>
  <c r="K598" i="4"/>
  <c r="W424" i="4" s="1"/>
  <c r="K762" i="4"/>
  <c r="W429" i="4" s="1"/>
  <c r="K319" i="4"/>
  <c r="K513" i="4"/>
  <c r="K656" i="4"/>
  <c r="K889" i="4"/>
  <c r="K367" i="4"/>
  <c r="K569" i="4"/>
  <c r="K747" i="4"/>
  <c r="K985" i="4"/>
  <c r="K425" i="4"/>
  <c r="K627" i="4"/>
  <c r="K804" i="4"/>
  <c r="W488" i="4" s="1"/>
  <c r="K276" i="4"/>
  <c r="K522" i="4"/>
  <c r="K683" i="4"/>
  <c r="K860" i="4"/>
  <c r="K355" i="4"/>
  <c r="K584" i="4"/>
  <c r="K740" i="4"/>
  <c r="K989" i="4"/>
  <c r="K415" i="4"/>
  <c r="K638" i="4"/>
  <c r="K834" i="4"/>
  <c r="K1065" i="4"/>
  <c r="W552" i="4" s="1"/>
  <c r="K471" i="4"/>
  <c r="W557" i="4" s="1"/>
  <c r="K693" i="4"/>
  <c r="K887" i="4"/>
  <c r="K292" i="4"/>
  <c r="K580" i="4"/>
  <c r="W579" i="4" s="1"/>
  <c r="K751" i="4"/>
  <c r="W584" i="4" s="1"/>
  <c r="K940" i="4"/>
  <c r="K390" i="4"/>
  <c r="K635" i="4"/>
  <c r="K808" i="4"/>
  <c r="K1056" i="4"/>
  <c r="W611" i="4" s="1"/>
  <c r="K453" i="4"/>
  <c r="W616" i="4" s="1"/>
  <c r="K694" i="4"/>
  <c r="K902" i="4"/>
  <c r="W627" i="4" s="1"/>
  <c r="K1120" i="4"/>
  <c r="K515" i="4"/>
  <c r="W637" i="4" s="1"/>
  <c r="K753" i="4"/>
  <c r="W643" i="4" s="1"/>
  <c r="K954" i="4"/>
  <c r="W648" i="4" s="1"/>
  <c r="K309" i="4"/>
  <c r="K628" i="4"/>
  <c r="W659" i="4" s="1"/>
  <c r="K810" i="4"/>
  <c r="K1003" i="4"/>
  <c r="K424" i="4"/>
  <c r="W675" i="4" s="1"/>
  <c r="K686" i="4"/>
  <c r="K867" i="4"/>
  <c r="K1104" i="4"/>
  <c r="K488" i="4"/>
  <c r="K746" i="4"/>
  <c r="W701" i="4" s="1"/>
  <c r="K962" i="4"/>
  <c r="K1159" i="4"/>
  <c r="K554" i="4"/>
  <c r="K806" i="4"/>
  <c r="W723" i="4" s="1"/>
  <c r="K1010" i="4"/>
  <c r="K325" i="4"/>
  <c r="K672" i="4"/>
  <c r="K864" i="4"/>
  <c r="K1048" i="4"/>
  <c r="K448" i="4"/>
  <c r="K733" i="4"/>
  <c r="K918" i="4"/>
  <c r="K1140" i="4"/>
  <c r="W771" i="4" s="1"/>
  <c r="K520" i="4"/>
  <c r="K791" i="4"/>
  <c r="K1007" i="4"/>
  <c r="W787" i="4" s="1"/>
  <c r="K1185" i="4"/>
  <c r="K585" i="4"/>
  <c r="K852" i="4"/>
  <c r="K1049" i="4"/>
  <c r="W808" i="4" s="1"/>
  <c r="K339" i="4"/>
  <c r="K707" i="4"/>
  <c r="W819" i="4" s="1"/>
  <c r="K907" i="4"/>
  <c r="K1087" i="4"/>
  <c r="K476" i="4"/>
  <c r="K772" i="4"/>
  <c r="K963" i="4"/>
  <c r="K1168" i="4"/>
  <c r="K547" i="4"/>
  <c r="W856" i="4" s="1"/>
  <c r="K832" i="4"/>
  <c r="K1046" i="4"/>
  <c r="K1202" i="4"/>
  <c r="K618" i="4"/>
  <c r="K890" i="4"/>
  <c r="W883" i="4" s="1"/>
  <c r="K1082" i="4"/>
  <c r="K356" i="4"/>
  <c r="W893" i="4" s="1"/>
  <c r="K685" i="4"/>
  <c r="K875" i="4"/>
  <c r="W902" i="4" s="1"/>
  <c r="K1029" i="4"/>
  <c r="K1138" i="4"/>
  <c r="K433" i="4"/>
  <c r="K692" i="4"/>
  <c r="K883" i="4"/>
  <c r="K1036" i="4"/>
  <c r="W926" i="4" s="1"/>
  <c r="K1145" i="4"/>
  <c r="K440" i="4"/>
  <c r="K701" i="4"/>
  <c r="W938" i="4" s="1"/>
  <c r="K895" i="4"/>
  <c r="W942" i="4" s="1"/>
  <c r="K1044" i="4"/>
  <c r="K1151" i="4"/>
  <c r="K441" i="4"/>
  <c r="K706" i="4"/>
  <c r="K903" i="4"/>
  <c r="W962" i="4" s="1"/>
  <c r="K1052" i="4"/>
  <c r="K1156" i="4"/>
  <c r="W970" i="4" s="1"/>
  <c r="K445" i="4"/>
  <c r="W974" i="4" s="1"/>
  <c r="K715" i="4"/>
  <c r="K912" i="4"/>
  <c r="K1059" i="4"/>
  <c r="K1162" i="4"/>
  <c r="W990" i="4" s="1"/>
  <c r="K451" i="4"/>
  <c r="K723" i="4"/>
  <c r="K921" i="4"/>
  <c r="K1064" i="4"/>
  <c r="K1166" i="4"/>
  <c r="W1010" i="4" s="1"/>
  <c r="K455" i="4"/>
  <c r="K731" i="4"/>
  <c r="K927" i="4"/>
  <c r="W1022" i="4" s="1"/>
  <c r="K1072" i="4"/>
  <c r="K1171" i="4"/>
  <c r="K462" i="4"/>
  <c r="K737" i="4"/>
  <c r="K935" i="4"/>
  <c r="W1042" i="4" s="1"/>
  <c r="K1078" i="4"/>
  <c r="W1046" i="4" s="1"/>
  <c r="K1176" i="4"/>
  <c r="K465" i="4"/>
  <c r="W1054" i="4" s="1"/>
  <c r="K744" i="4"/>
  <c r="K942" i="4"/>
  <c r="K1084" i="4"/>
  <c r="K1179" i="4"/>
  <c r="K467" i="4"/>
  <c r="K270" i="4"/>
  <c r="W244" i="4" s="1"/>
  <c r="K242" i="4"/>
  <c r="K333" i="4"/>
  <c r="W265" i="4" s="1"/>
  <c r="K259" i="4"/>
  <c r="W276" i="4" s="1"/>
  <c r="K432" i="4"/>
  <c r="K286" i="4"/>
  <c r="K509" i="4"/>
  <c r="W308" i="4" s="1"/>
  <c r="K344" i="4"/>
  <c r="W319" i="4" s="1"/>
  <c r="K582" i="4"/>
  <c r="K402" i="4"/>
  <c r="W340" i="4" s="1"/>
  <c r="K711" i="4"/>
  <c r="W351" i="4" s="1"/>
  <c r="K456" i="4"/>
  <c r="W361" i="4" s="1"/>
  <c r="K816" i="4"/>
  <c r="K517" i="4"/>
  <c r="K258" i="4"/>
  <c r="W393" i="4" s="1"/>
  <c r="K573" i="4"/>
  <c r="K310" i="4"/>
  <c r="K631" i="4"/>
  <c r="K354" i="4"/>
  <c r="W436" i="4" s="1"/>
  <c r="K725" i="4"/>
  <c r="W447" i="4" s="1"/>
  <c r="K410" i="4"/>
  <c r="K644" i="4"/>
  <c r="K917" i="4"/>
  <c r="K511" i="4"/>
  <c r="K702" i="4"/>
  <c r="W485" i="4" s="1"/>
  <c r="K1012" i="4"/>
  <c r="K564" i="4"/>
  <c r="W500" i="4" s="1"/>
  <c r="K792" i="4"/>
  <c r="W507" i="4" s="1"/>
  <c r="K279" i="4"/>
  <c r="W513" i="4" s="1"/>
  <c r="K621" i="4"/>
  <c r="K847" i="4"/>
  <c r="W528" i="4" s="1"/>
  <c r="K362" i="4"/>
  <c r="K681" i="4"/>
  <c r="K901" i="4"/>
  <c r="K426" i="4"/>
  <c r="K739" i="4"/>
  <c r="K1025" i="4"/>
  <c r="K484" i="4"/>
  <c r="K794" i="4"/>
  <c r="W585" i="4" s="1"/>
  <c r="K1095" i="4"/>
  <c r="W592" i="4" s="1"/>
  <c r="K592" i="4"/>
  <c r="K886" i="4"/>
  <c r="K300" i="4"/>
  <c r="K651" i="4"/>
  <c r="K939" i="4"/>
  <c r="K408" i="4"/>
  <c r="K709" i="4"/>
  <c r="K988" i="4"/>
  <c r="K468" i="4"/>
  <c r="K766" i="4"/>
  <c r="K1092" i="4"/>
  <c r="K534" i="4"/>
  <c r="W677" i="4" s="1"/>
  <c r="K825" i="4"/>
  <c r="K1150" i="4"/>
  <c r="K649" i="4"/>
  <c r="K879" i="4"/>
  <c r="W705" i="4" s="1"/>
  <c r="K323" i="4"/>
  <c r="W713" i="4" s="1"/>
  <c r="K710" i="4"/>
  <c r="K976" i="4"/>
  <c r="K443" i="4"/>
  <c r="K769" i="4"/>
  <c r="K1020" i="4"/>
  <c r="K512" i="4"/>
  <c r="K829" i="4"/>
  <c r="K1060" i="4"/>
  <c r="W769" i="4" s="1"/>
  <c r="K578" i="4"/>
  <c r="K885" i="4"/>
  <c r="W784" i="4" s="1"/>
  <c r="K1148" i="4"/>
  <c r="W791" i="4" s="1"/>
  <c r="K698" i="4"/>
  <c r="K941" i="4"/>
  <c r="K1191" i="4"/>
  <c r="K763" i="4"/>
  <c r="K1028" i="4"/>
  <c r="K343" i="4"/>
  <c r="K821" i="4"/>
  <c r="W841" i="4" s="1"/>
  <c r="K1067" i="4"/>
  <c r="W848" i="4" s="1"/>
  <c r="K483" i="4"/>
  <c r="K880" i="4"/>
  <c r="K1101" i="4"/>
  <c r="W869" i="4" s="1"/>
  <c r="K555" i="4"/>
  <c r="K937" i="4"/>
  <c r="K1178" i="4"/>
  <c r="K623" i="4"/>
  <c r="K899" i="4"/>
  <c r="W903" i="4" s="1"/>
  <c r="K236" i="4"/>
  <c r="K277" i="4"/>
  <c r="K247" i="4"/>
  <c r="W256" i="4" s="1"/>
  <c r="K365" i="4"/>
  <c r="K268" i="4"/>
  <c r="W277" i="4" s="1"/>
  <c r="K449" i="4"/>
  <c r="K321" i="4"/>
  <c r="W299" i="4" s="1"/>
  <c r="K529" i="4"/>
  <c r="W309" i="4" s="1"/>
  <c r="K371" i="4"/>
  <c r="K663" i="4"/>
  <c r="K430" i="4"/>
  <c r="W341" i="4" s="1"/>
  <c r="K770" i="4"/>
  <c r="W352" i="4" s="1"/>
  <c r="K489" i="4"/>
  <c r="W363" i="4" s="1"/>
  <c r="K255" i="4"/>
  <c r="K546" i="4"/>
  <c r="W384" i="4" s="1"/>
  <c r="K301" i="4"/>
  <c r="K607" i="4"/>
  <c r="K342" i="4"/>
  <c r="K697" i="4"/>
  <c r="K395" i="4"/>
  <c r="K754" i="4"/>
  <c r="W448" i="4" s="1"/>
  <c r="K492" i="4"/>
  <c r="W459" i="4" s="1"/>
  <c r="K679" i="4"/>
  <c r="W465" i="4" s="1"/>
  <c r="K274" i="4"/>
  <c r="W473" i="4" s="1"/>
  <c r="K548" i="4"/>
  <c r="W480" i="4" s="1"/>
  <c r="K773" i="4"/>
  <c r="K346" i="4"/>
  <c r="W495" i="4" s="1"/>
  <c r="K604" i="4"/>
  <c r="W501" i="4" s="1"/>
  <c r="K827" i="4"/>
  <c r="K404" i="4"/>
  <c r="K664" i="4"/>
  <c r="W523" i="4" s="1"/>
  <c r="K881" i="4"/>
  <c r="W529" i="4" s="1"/>
  <c r="K461" i="4"/>
  <c r="K719" i="4"/>
  <c r="K1008" i="4"/>
  <c r="W551" i="4" s="1"/>
  <c r="K565" i="4"/>
  <c r="K776" i="4"/>
  <c r="K1080" i="4"/>
  <c r="K624" i="4"/>
  <c r="K871" i="4"/>
  <c r="K297" i="4"/>
  <c r="K682" i="4"/>
  <c r="K924" i="4"/>
  <c r="W608" i="4" s="1"/>
  <c r="K398" i="4"/>
  <c r="K741" i="4"/>
  <c r="K975" i="4"/>
  <c r="K463" i="4"/>
  <c r="W636" i="4" s="1"/>
  <c r="K801" i="4"/>
  <c r="W644" i="4" s="1"/>
  <c r="K1081" i="4"/>
  <c r="K525" i="4"/>
  <c r="K854" i="4"/>
  <c r="K1142" i="4"/>
  <c r="W672" i="4" s="1"/>
  <c r="K636" i="4"/>
  <c r="K946" i="4"/>
  <c r="W687" i="4" s="1"/>
  <c r="K316" i="4"/>
  <c r="W693" i="4" s="1"/>
  <c r="K699" i="4"/>
  <c r="W700" i="4" s="1"/>
  <c r="K997" i="4"/>
  <c r="K439" i="4"/>
  <c r="K760" i="4"/>
  <c r="W721" i="4" s="1"/>
  <c r="K1039" i="4"/>
  <c r="K504" i="4"/>
  <c r="K818" i="4"/>
  <c r="K1132" i="4"/>
  <c r="W751" i="4" s="1"/>
  <c r="K571" i="4"/>
  <c r="W757" i="4" s="1"/>
  <c r="K874" i="4"/>
  <c r="K1180" i="4"/>
  <c r="K688" i="4"/>
  <c r="W779" i="4" s="1"/>
  <c r="K930" i="4"/>
  <c r="K335" i="4"/>
  <c r="K750" i="4"/>
  <c r="K1018" i="4"/>
  <c r="K469" i="4"/>
  <c r="K811" i="4"/>
  <c r="K1058" i="4"/>
  <c r="K539" i="4"/>
  <c r="K873" i="4"/>
  <c r="K1093" i="4"/>
  <c r="K612" i="4"/>
  <c r="K929" i="4"/>
  <c r="W864" i="4" s="1"/>
  <c r="K1172" i="4"/>
  <c r="W871" i="4" s="1"/>
  <c r="K735" i="4"/>
  <c r="K981" i="4"/>
  <c r="K1205" i="4"/>
  <c r="W892" i="4" s="1"/>
  <c r="K743" i="4"/>
  <c r="W899" i="4" s="1"/>
  <c r="K948" i="4"/>
  <c r="K1115" i="4"/>
  <c r="K503" i="4"/>
  <c r="W915" i="4" s="1"/>
  <c r="K807" i="4"/>
  <c r="K1001" i="4"/>
  <c r="K1188" i="4"/>
  <c r="K574" i="4"/>
  <c r="W936" i="4" s="1"/>
  <c r="K868" i="4"/>
  <c r="W941" i="4" s="1"/>
  <c r="K1076" i="4"/>
  <c r="K1212" i="4"/>
  <c r="K647" i="4"/>
  <c r="W957" i="4" s="1"/>
  <c r="K928" i="4"/>
  <c r="W963" i="4" s="1"/>
  <c r="K1110" i="4"/>
  <c r="K372" i="4"/>
  <c r="K774" i="4"/>
  <c r="K983" i="4"/>
  <c r="K1141" i="4"/>
  <c r="K523" i="4"/>
  <c r="K839" i="4"/>
  <c r="K1032" i="4"/>
  <c r="K1201" i="4"/>
  <c r="K599" i="4"/>
  <c r="K900" i="4"/>
  <c r="K1102" i="4"/>
  <c r="K1221" i="4"/>
  <c r="K674" i="4"/>
  <c r="K961" i="4"/>
  <c r="W1043" i="4" s="1"/>
  <c r="K1134" i="4"/>
  <c r="W1048" i="4" s="1"/>
  <c r="K386" i="4"/>
  <c r="K803" i="4"/>
  <c r="W1059" i="4" s="1"/>
  <c r="K1014" i="4"/>
  <c r="W1064" i="4" s="1"/>
  <c r="K1160" i="4"/>
  <c r="K544" i="4"/>
  <c r="W1075" i="4" s="1"/>
  <c r="K809" i="4"/>
  <c r="K978" i="4"/>
  <c r="K1119" i="4"/>
  <c r="K1209" i="4"/>
  <c r="K551" i="4"/>
  <c r="K820" i="4"/>
  <c r="W1099" i="4" s="1"/>
  <c r="K982" i="4"/>
  <c r="W1103" i="4" s="1"/>
  <c r="K1125" i="4"/>
  <c r="K1211" i="4"/>
  <c r="K556" i="4"/>
  <c r="W1115" i="4" s="1"/>
  <c r="K824" i="4"/>
  <c r="W1119" i="4" s="1"/>
  <c r="K991" i="4"/>
  <c r="K1130" i="4"/>
  <c r="K1213" i="4"/>
  <c r="K559" i="4"/>
  <c r="K831" i="4"/>
  <c r="K996" i="4"/>
  <c r="K1135" i="4"/>
  <c r="W1147" i="4" s="1"/>
  <c r="K1215" i="4"/>
  <c r="W1151" i="4" s="1"/>
  <c r="K563" i="4"/>
  <c r="K837" i="4"/>
  <c r="K1004" i="4"/>
  <c r="K1137" i="4"/>
  <c r="K1217" i="4"/>
  <c r="W1171" i="4" s="1"/>
  <c r="K570" i="4"/>
  <c r="K844" i="4"/>
  <c r="W1179" i="4" s="1"/>
  <c r="K1011" i="4"/>
  <c r="K1143" i="4"/>
  <c r="K1218" i="4"/>
  <c r="K575" i="4"/>
  <c r="W1195" i="4" s="1"/>
  <c r="K851" i="4"/>
  <c r="K1015" i="4"/>
  <c r="K1147" i="4"/>
  <c r="K1220" i="4"/>
  <c r="W1211" i="4" s="1"/>
  <c r="K581" i="4"/>
  <c r="W1215" i="4" s="1"/>
  <c r="K858" i="4"/>
  <c r="K1023" i="4"/>
  <c r="K1153" i="4"/>
  <c r="W1227" i="4" s="1"/>
  <c r="K1222" i="4"/>
  <c r="K347" i="4"/>
  <c r="K500" i="4"/>
  <c r="K241" i="4"/>
  <c r="K267" i="4"/>
  <c r="W315" i="4" s="1"/>
  <c r="K294" i="4"/>
  <c r="W336" i="4" s="1"/>
  <c r="K331" i="4"/>
  <c r="K419" i="4"/>
  <c r="K472" i="4"/>
  <c r="W400" i="4" s="1"/>
  <c r="K527" i="4"/>
  <c r="K586" i="4"/>
  <c r="K609" i="4"/>
  <c r="W463" i="4" s="1"/>
  <c r="K378" i="4"/>
  <c r="W476" i="4" s="1"/>
  <c r="K943" i="4"/>
  <c r="W491" i="4" s="1"/>
  <c r="K722" i="4"/>
  <c r="K536" i="4"/>
  <c r="W519" i="4" s="1"/>
  <c r="K287" i="4"/>
  <c r="W533" i="4" s="1"/>
  <c r="K869" i="4"/>
  <c r="W548" i="4" s="1"/>
  <c r="K654" i="4"/>
  <c r="K434" i="4"/>
  <c r="W576" i="4" s="1"/>
  <c r="K1041" i="4"/>
  <c r="W591" i="4" s="1"/>
  <c r="K767" i="4"/>
  <c r="K602" i="4"/>
  <c r="K305" i="4"/>
  <c r="W633" i="4" s="1"/>
  <c r="K916" i="4"/>
  <c r="K724" i="4"/>
  <c r="K479" i="4"/>
  <c r="K1016" i="4"/>
  <c r="W689" i="4" s="1"/>
  <c r="K838" i="4"/>
  <c r="K660" i="4"/>
  <c r="W719" i="4" s="1"/>
  <c r="K1167" i="4"/>
  <c r="K987" i="4"/>
  <c r="W747" i="4" s="1"/>
  <c r="K780" i="4"/>
  <c r="K457" i="4"/>
  <c r="K1068" i="4"/>
  <c r="K897" i="4"/>
  <c r="W804" i="4" s="1"/>
  <c r="K594" i="4"/>
  <c r="W817" i="4" s="1"/>
  <c r="K1195" i="4"/>
  <c r="W832" i="4" s="1"/>
  <c r="K1035" i="4"/>
  <c r="K778" i="4"/>
  <c r="W860" i="4" s="1"/>
  <c r="K490" i="4"/>
  <c r="W875" i="4" s="1"/>
  <c r="K1109" i="4"/>
  <c r="K849" i="4"/>
  <c r="W901" i="4" s="1"/>
  <c r="K1183" i="4"/>
  <c r="K630" i="4"/>
  <c r="K956" i="4"/>
  <c r="K1210" i="4"/>
  <c r="K761" i="4"/>
  <c r="W939" i="4" s="1"/>
  <c r="K1009" i="4"/>
  <c r="K368" i="4"/>
  <c r="K822" i="4"/>
  <c r="K1083" i="4"/>
  <c r="W967" i="4" s="1"/>
  <c r="K518" i="4"/>
  <c r="W975" i="4" s="1"/>
  <c r="K884" i="4"/>
  <c r="W981" i="4" s="1"/>
  <c r="K1117" i="4"/>
  <c r="K593" i="4"/>
  <c r="W996" i="4" s="1"/>
  <c r="K944" i="4"/>
  <c r="W1003" i="4" s="1"/>
  <c r="K1146" i="4"/>
  <c r="K668" i="4"/>
  <c r="K1000" i="4"/>
  <c r="W1024" i="4" s="1"/>
  <c r="K1204" i="4"/>
  <c r="K799" i="4"/>
  <c r="K1045" i="4"/>
  <c r="W1045" i="4" s="1"/>
  <c r="K1223" i="4"/>
  <c r="W1052" i="4" s="1"/>
  <c r="K863" i="4"/>
  <c r="W1060" i="4" s="1"/>
  <c r="K1113" i="4"/>
  <c r="K392" i="4"/>
  <c r="K872" i="4"/>
  <c r="W1080" i="4" s="1"/>
  <c r="K1057" i="4"/>
  <c r="W1085" i="4" s="1"/>
  <c r="K1182" i="4"/>
  <c r="K620" i="4"/>
  <c r="K931" i="4"/>
  <c r="W1101" i="4" s="1"/>
  <c r="K1097" i="4"/>
  <c r="K1226" i="4"/>
  <c r="K695" i="4"/>
  <c r="W1117" i="4" s="1"/>
  <c r="K964" i="4"/>
  <c r="K1154" i="4"/>
  <c r="K405" i="4"/>
  <c r="K768" i="4"/>
  <c r="K1038" i="4"/>
  <c r="K1177" i="4"/>
  <c r="K486" i="4"/>
  <c r="K898" i="4"/>
  <c r="K1079" i="4"/>
  <c r="K1196" i="4"/>
  <c r="K645" i="4"/>
  <c r="W1176" i="4" s="1"/>
  <c r="K959" i="4"/>
  <c r="K1116" i="4"/>
  <c r="K1230" i="4"/>
  <c r="K720" i="4"/>
  <c r="K994" i="4"/>
  <c r="K1169" i="4"/>
  <c r="W1208" i="4" s="1"/>
  <c r="K421" i="4"/>
  <c r="K795" i="4"/>
  <c r="W1218" i="4" s="1"/>
  <c r="K1061" i="4"/>
  <c r="K1190" i="4"/>
  <c r="K248" i="4"/>
  <c r="W239" i="4" s="1"/>
  <c r="K280" i="4"/>
  <c r="W260" i="4" s="1"/>
  <c r="K327" i="4"/>
  <c r="K389" i="4"/>
  <c r="K452" i="4"/>
  <c r="W324" i="4" s="1"/>
  <c r="K516" i="4"/>
  <c r="K605" i="4"/>
  <c r="K670" i="4"/>
  <c r="W388" i="4" s="1"/>
  <c r="K732" i="4"/>
  <c r="W409" i="4" s="1"/>
  <c r="K861" i="4"/>
  <c r="K957" i="4"/>
  <c r="K781" i="4"/>
  <c r="W468" i="4" s="1"/>
  <c r="K589" i="4"/>
  <c r="K391" i="4"/>
  <c r="K967" i="4"/>
  <c r="K703" i="4"/>
  <c r="W524" i="4" s="1"/>
  <c r="K553" i="4"/>
  <c r="K288" i="4"/>
  <c r="K853" i="4"/>
  <c r="K669" i="4"/>
  <c r="K442" i="4"/>
  <c r="K955" i="4"/>
  <c r="K785" i="4"/>
  <c r="K615" i="4"/>
  <c r="W639" i="4" s="1"/>
  <c r="K1131" i="4"/>
  <c r="W652" i="4" s="1"/>
  <c r="K932" i="4"/>
  <c r="K736" i="4"/>
  <c r="K431" i="4"/>
  <c r="W695" i="4" s="1"/>
  <c r="K1027" i="4"/>
  <c r="K850" i="4"/>
  <c r="W724" i="4" s="1"/>
  <c r="K560" i="4"/>
  <c r="K1175" i="4"/>
  <c r="W752" i="4" s="1"/>
  <c r="K998" i="4"/>
  <c r="W767" i="4" s="1"/>
  <c r="K742" i="4"/>
  <c r="K464" i="4"/>
  <c r="K1077" i="4"/>
  <c r="W809" i="4" s="1"/>
  <c r="K862" i="4"/>
  <c r="K600" i="4"/>
  <c r="W837" i="4" s="1"/>
  <c r="K1199" i="4"/>
  <c r="W852" i="4" s="1"/>
  <c r="K973" i="4"/>
  <c r="W865" i="4" s="1"/>
  <c r="K788" i="4"/>
  <c r="W880" i="4" s="1"/>
  <c r="K497" i="4"/>
  <c r="K993" i="4"/>
  <c r="K1207" i="4"/>
  <c r="W912" i="4" s="1"/>
  <c r="K749" i="4"/>
  <c r="K1069" i="4"/>
  <c r="K364" i="4"/>
  <c r="K815" i="4"/>
  <c r="W940" i="4" s="1"/>
  <c r="K1105" i="4"/>
  <c r="W948" i="4" s="1"/>
  <c r="K514" i="4"/>
  <c r="W955" i="4" s="1"/>
  <c r="K877" i="4"/>
  <c r="K1136" i="4"/>
  <c r="W969" i="4" s="1"/>
  <c r="K587" i="4"/>
  <c r="K936" i="4"/>
  <c r="K1198" i="4"/>
  <c r="K657" i="4"/>
  <c r="W997" i="4" s="1"/>
  <c r="K992" i="4"/>
  <c r="K1219" i="4"/>
  <c r="W1012" i="4" s="1"/>
  <c r="K790" i="4"/>
  <c r="K1037" i="4"/>
  <c r="W1025" i="4" s="1"/>
  <c r="K385" i="4"/>
  <c r="W1033" i="4" s="1"/>
  <c r="K855" i="4"/>
  <c r="K1107" i="4"/>
  <c r="W1047" i="4" s="1"/>
  <c r="K537" i="4"/>
  <c r="W1055" i="4" s="1"/>
  <c r="K914" i="4"/>
  <c r="W1061" i="4" s="1"/>
  <c r="K1139" i="4"/>
  <c r="W1068" i="4" s="1"/>
  <c r="K617" i="4"/>
  <c r="K925" i="4"/>
  <c r="W1081" i="4" s="1"/>
  <c r="K1089" i="4"/>
  <c r="W1086" i="4" s="1"/>
  <c r="K1225" i="4"/>
  <c r="K691" i="4"/>
  <c r="K958" i="4"/>
  <c r="K1149" i="4"/>
  <c r="K399" i="4"/>
  <c r="W1113" i="4" s="1"/>
  <c r="K764" i="4"/>
  <c r="W1118" i="4" s="1"/>
  <c r="K1034" i="4"/>
  <c r="K1174" i="4"/>
  <c r="K481" i="4"/>
  <c r="K888" i="4"/>
  <c r="K1073" i="4"/>
  <c r="K1193" i="4"/>
  <c r="W1150" i="4" s="1"/>
  <c r="K637" i="4"/>
  <c r="W1156" i="4" s="1"/>
  <c r="K952" i="4"/>
  <c r="K1112" i="4"/>
  <c r="K1229" i="4"/>
  <c r="W1172" i="4" s="1"/>
  <c r="K714" i="4"/>
  <c r="K986" i="4"/>
  <c r="K1165" i="4"/>
  <c r="W1188" i="4" s="1"/>
  <c r="K416" i="4"/>
  <c r="W1193" i="4" s="1"/>
  <c r="K786" i="4"/>
  <c r="W1198" i="4" s="1"/>
  <c r="K1055" i="4"/>
  <c r="K1187" i="4"/>
  <c r="W1209" i="4" s="1"/>
  <c r="K502" i="4"/>
  <c r="W1214" i="4" s="1"/>
  <c r="K915" i="4"/>
  <c r="K1096" i="4"/>
  <c r="K1203" i="4"/>
  <c r="K252" i="4"/>
  <c r="W240" i="4" s="1"/>
  <c r="K290" i="4"/>
  <c r="W261" i="4" s="1"/>
  <c r="K348" i="4"/>
  <c r="K414" i="4"/>
  <c r="K477" i="4"/>
  <c r="W325" i="4" s="1"/>
  <c r="K572" i="4"/>
  <c r="W347" i="4" s="1"/>
  <c r="K633" i="4"/>
  <c r="K696" i="4"/>
  <c r="W389" i="4" s="1"/>
  <c r="K828" i="4"/>
  <c r="K926" i="4"/>
  <c r="W432" i="4" s="1"/>
  <c r="K269" i="4"/>
  <c r="K812" i="4"/>
  <c r="K666" i="4"/>
  <c r="W484" i="4" s="1"/>
  <c r="K436" i="4"/>
  <c r="W497" i="4" s="1"/>
  <c r="K1031" i="4"/>
  <c r="K813" i="4"/>
  <c r="W527" i="4" s="1"/>
  <c r="K595" i="4"/>
  <c r="K373" i="4"/>
  <c r="K922" i="4"/>
  <c r="W569" i="4" s="1"/>
  <c r="K712" i="4"/>
  <c r="W583" i="4" s="1"/>
  <c r="K496" i="4"/>
  <c r="W597" i="4" s="1"/>
  <c r="K1108" i="4"/>
  <c r="W612" i="4" s="1"/>
  <c r="K823" i="4"/>
  <c r="K665" i="4"/>
  <c r="W640" i="4" s="1"/>
  <c r="K417" i="4"/>
  <c r="K969" i="4"/>
  <c r="W668" i="4" s="1"/>
  <c r="K779" i="4"/>
  <c r="W683" i="4" s="1"/>
  <c r="K542" i="4"/>
  <c r="W697" i="4" s="1"/>
  <c r="K1114" i="4"/>
  <c r="K894" i="4"/>
  <c r="K721" i="4"/>
  <c r="W740" i="4" s="1"/>
  <c r="K329" i="4"/>
  <c r="K1030" i="4"/>
  <c r="W768" i="4" s="1"/>
  <c r="K841" i="4"/>
  <c r="K526" i="4"/>
  <c r="K1155" i="4"/>
  <c r="W811" i="4" s="1"/>
  <c r="K950" i="4"/>
  <c r="W825" i="4" s="1"/>
  <c r="K716" i="4"/>
  <c r="K351" i="4"/>
  <c r="W853" i="4" s="1"/>
  <c r="K1074" i="4"/>
  <c r="K842" i="4"/>
  <c r="W881" i="4" s="1"/>
  <c r="K561" i="4"/>
  <c r="K1062" i="4"/>
  <c r="W907" i="4" s="1"/>
  <c r="K358" i="4"/>
  <c r="W913" i="4" s="1"/>
  <c r="K859" i="4"/>
  <c r="W921" i="4" s="1"/>
  <c r="K1099" i="4"/>
  <c r="K508" i="4"/>
  <c r="K920" i="4"/>
  <c r="W943" i="4" s="1"/>
  <c r="K1129" i="4"/>
  <c r="K583" i="4"/>
  <c r="W956" i="4" s="1"/>
  <c r="K977" i="4"/>
  <c r="K1194" i="4"/>
  <c r="W971" i="4" s="1"/>
  <c r="K653" i="4"/>
  <c r="W977" i="4" s="1"/>
  <c r="K1024" i="4"/>
  <c r="K1216" i="4"/>
  <c r="K783" i="4"/>
  <c r="K1098" i="4"/>
  <c r="K380" i="4"/>
  <c r="W1013" i="4" s="1"/>
  <c r="K845" i="4"/>
  <c r="W1020" i="4" s="1"/>
  <c r="K1128" i="4"/>
  <c r="W1028" i="4" s="1"/>
  <c r="K535" i="4"/>
  <c r="W1035" i="4" s="1"/>
  <c r="K909" i="4"/>
  <c r="K1157" i="4"/>
  <c r="K614" i="4"/>
  <c r="W1056" i="4" s="1"/>
  <c r="K968" i="4"/>
  <c r="W1063" i="4" s="1"/>
  <c r="K1208" i="4"/>
  <c r="K684" i="4"/>
  <c r="K949" i="4"/>
  <c r="W1082" i="4" s="1"/>
  <c r="K1144" i="4"/>
  <c r="K396" i="4"/>
  <c r="W1093" i="4" s="1"/>
  <c r="K755" i="4"/>
  <c r="K1026" i="4"/>
  <c r="W1104" i="4" s="1"/>
  <c r="K1170" i="4"/>
  <c r="W1109" i="4" s="1"/>
  <c r="K882" i="4"/>
  <c r="W1120" i="4" s="1"/>
  <c r="K1127" i="4"/>
  <c r="K655" i="4"/>
  <c r="W1216" i="4" s="1"/>
  <c r="K1091" i="4"/>
  <c r="K499" i="4"/>
  <c r="K1050" i="4"/>
  <c r="K411" i="4"/>
  <c r="W1173" i="4" s="1"/>
  <c r="K979" i="4"/>
  <c r="K1228" i="4"/>
  <c r="K945" i="4"/>
  <c r="K1189" i="4"/>
  <c r="W1130" i="4" s="1"/>
  <c r="K629" i="4"/>
  <c r="K876" i="4"/>
  <c r="K748" i="4"/>
  <c r="K1206" i="4"/>
  <c r="W1051" i="4" s="1"/>
  <c r="K951" i="4"/>
  <c r="W1023" i="4" s="1"/>
  <c r="K1017" i="4"/>
  <c r="W965" i="4" s="1"/>
  <c r="K640" i="4"/>
  <c r="K1090" i="4"/>
  <c r="W908" i="4" s="1"/>
  <c r="K727" i="4"/>
  <c r="W859" i="4" s="1"/>
  <c r="K802" i="4"/>
  <c r="K906" i="4"/>
  <c r="K984" i="4"/>
  <c r="W688" i="4" s="1"/>
  <c r="K1070" i="4"/>
  <c r="W631" i="4" s="1"/>
  <c r="K381" i="4"/>
  <c r="K446" i="4"/>
  <c r="W517" i="4" s="1"/>
  <c r="K531" i="4"/>
  <c r="W460" i="4" s="1"/>
  <c r="K350" i="4"/>
  <c r="W377" i="4" s="1"/>
  <c r="K590" i="4"/>
  <c r="K233" i="4"/>
  <c r="W233" i="4" s="1"/>
  <c r="K999" i="4"/>
  <c r="K1231" i="4"/>
  <c r="W1212" i="4" s="1"/>
  <c r="K966" i="4"/>
  <c r="W1201" i="4" s="1"/>
  <c r="K1197" i="4"/>
  <c r="K904" i="4"/>
  <c r="W1180" i="4" s="1"/>
  <c r="K1181" i="4"/>
  <c r="K775" i="4"/>
  <c r="K1158" i="4"/>
  <c r="K704" i="4"/>
  <c r="K1100" i="4"/>
  <c r="K478" i="4"/>
  <c r="K475" i="4"/>
  <c r="K1224" i="4"/>
  <c r="K1006" i="4"/>
  <c r="W1044" i="4" s="1"/>
  <c r="K528" i="4"/>
  <c r="W1015" i="4" s="1"/>
  <c r="K1088" i="4"/>
  <c r="K765" i="4"/>
  <c r="W959" i="4" s="1"/>
  <c r="K1122" i="4"/>
  <c r="K800" i="4"/>
  <c r="K919" i="4"/>
  <c r="K1040" i="4"/>
  <c r="K1124" i="4"/>
  <c r="W731" i="4" s="1"/>
  <c r="K313" i="4"/>
  <c r="W673" i="4" s="1"/>
  <c r="K506" i="4"/>
  <c r="W617" i="4" s="1"/>
  <c r="K613" i="4"/>
  <c r="W560" i="4" s="1"/>
  <c r="K646" i="4"/>
  <c r="K550" i="4"/>
  <c r="W441" i="4" s="1"/>
  <c r="K307" i="4"/>
  <c r="K458" i="4"/>
  <c r="W271" i="4" s="1"/>
  <c r="K374" i="4"/>
  <c r="W993" i="4" s="1"/>
  <c r="K1232" i="4"/>
  <c r="W1232" i="4" s="1"/>
  <c r="K974" i="4"/>
  <c r="K1200" i="4"/>
  <c r="W1210" i="4" s="1"/>
  <c r="K911" i="4"/>
  <c r="K1184" i="4"/>
  <c r="K782" i="4"/>
  <c r="W1178" i="4" s="1"/>
  <c r="K1163" i="4"/>
  <c r="W1168" i="4" s="1"/>
  <c r="K708" i="4"/>
  <c r="W1157" i="4" s="1"/>
  <c r="K1106" i="4"/>
  <c r="W1146" i="4" s="1"/>
  <c r="K632" i="4"/>
  <c r="K1071" i="4"/>
  <c r="W1125" i="4" s="1"/>
  <c r="K1186" i="4"/>
  <c r="W1110" i="4" s="1"/>
  <c r="K1164" i="4"/>
  <c r="K1051" i="4"/>
  <c r="K603" i="4"/>
  <c r="W1036" i="4" s="1"/>
  <c r="K1123" i="4"/>
  <c r="K830" i="4"/>
  <c r="K1192" i="4"/>
  <c r="K910" i="4"/>
  <c r="W923" i="4" s="1"/>
  <c r="K1053" i="4"/>
  <c r="W887" i="4" s="1"/>
  <c r="K1161" i="4"/>
  <c r="W831" i="4" s="1"/>
  <c r="K332" i="4"/>
  <c r="W773" i="4" s="1"/>
  <c r="K498" i="4"/>
  <c r="W716" i="4" s="1"/>
  <c r="K676" i="4"/>
  <c r="W660" i="4" s="1"/>
  <c r="K729" i="4"/>
  <c r="K759" i="4"/>
  <c r="K836" i="4"/>
  <c r="W489" i="4" s="1"/>
  <c r="K494" i="4"/>
  <c r="K275" i="4"/>
  <c r="W335" i="4" s="1"/>
  <c r="K311" i="4"/>
  <c r="V235" i="4"/>
  <c r="V242" i="4"/>
  <c r="V250" i="4"/>
  <c r="V258" i="4"/>
  <c r="V266" i="4"/>
  <c r="V274" i="4"/>
  <c r="V282" i="4"/>
  <c r="V287" i="4"/>
  <c r="V289" i="4"/>
  <c r="V291" i="4"/>
  <c r="V293" i="4"/>
  <c r="V295" i="4"/>
  <c r="V297" i="4"/>
  <c r="V299" i="4"/>
  <c r="V301" i="4"/>
  <c r="V303" i="4"/>
  <c r="V305" i="4"/>
  <c r="V307" i="4"/>
  <c r="V309" i="4"/>
  <c r="V311" i="4"/>
  <c r="V313" i="4"/>
  <c r="V315" i="4"/>
  <c r="V317" i="4"/>
  <c r="V319" i="4"/>
  <c r="V321" i="4"/>
  <c r="V323" i="4"/>
  <c r="V325" i="4"/>
  <c r="V327" i="4"/>
  <c r="V329" i="4"/>
  <c r="V331" i="4"/>
  <c r="V333" i="4"/>
  <c r="V335" i="4"/>
  <c r="V337" i="4"/>
  <c r="V339" i="4"/>
  <c r="V341" i="4"/>
  <c r="V343" i="4"/>
  <c r="V345" i="4"/>
  <c r="V347" i="4"/>
  <c r="V349" i="4"/>
  <c r="V351" i="4"/>
  <c r="V353" i="4"/>
  <c r="V355" i="4"/>
  <c r="V357" i="4"/>
  <c r="V359" i="4"/>
  <c r="V361" i="4"/>
  <c r="V363" i="4"/>
  <c r="V365" i="4"/>
  <c r="V367" i="4"/>
  <c r="V369" i="4"/>
  <c r="V371" i="4"/>
  <c r="V373" i="4"/>
  <c r="V375" i="4"/>
  <c r="V377" i="4"/>
  <c r="V379" i="4"/>
  <c r="V381" i="4"/>
  <c r="V383" i="4"/>
  <c r="V385" i="4"/>
  <c r="V387" i="4"/>
  <c r="V389" i="4"/>
  <c r="V391" i="4"/>
  <c r="V393" i="4"/>
  <c r="V395" i="4"/>
  <c r="V397" i="4"/>
  <c r="V399" i="4"/>
  <c r="V401" i="4"/>
  <c r="V403" i="4"/>
  <c r="V405" i="4"/>
  <c r="V407" i="4"/>
  <c r="V409" i="4"/>
  <c r="V411" i="4"/>
  <c r="V413" i="4"/>
  <c r="V415" i="4"/>
  <c r="V417" i="4"/>
  <c r="V419" i="4"/>
  <c r="V421" i="4"/>
  <c r="V423" i="4"/>
  <c r="V425" i="4"/>
  <c r="V427" i="4"/>
  <c r="V429" i="4"/>
  <c r="V431" i="4"/>
  <c r="V433" i="4"/>
  <c r="V435" i="4"/>
  <c r="V437" i="4"/>
  <c r="V439" i="4"/>
  <c r="V441" i="4"/>
  <c r="V238" i="4"/>
  <c r="V246" i="4"/>
  <c r="V254" i="4"/>
  <c r="V262" i="4"/>
  <c r="V270" i="4"/>
  <c r="V278" i="4"/>
  <c r="V286" i="4"/>
  <c r="V288" i="4"/>
  <c r="V290" i="4"/>
  <c r="V292" i="4"/>
  <c r="V294" i="4"/>
  <c r="V296" i="4"/>
  <c r="V298" i="4"/>
  <c r="V300" i="4"/>
  <c r="V302" i="4"/>
  <c r="V304" i="4"/>
  <c r="V306" i="4"/>
  <c r="V308" i="4"/>
  <c r="V310" i="4"/>
  <c r="V312" i="4"/>
  <c r="V314" i="4"/>
  <c r="V316" i="4"/>
  <c r="V318" i="4"/>
  <c r="V320" i="4"/>
  <c r="V322" i="4"/>
  <c r="V324" i="4"/>
  <c r="V326" i="4"/>
  <c r="V328" i="4"/>
  <c r="V330" i="4"/>
  <c r="V332" i="4"/>
  <c r="V334" i="4"/>
  <c r="V336" i="4"/>
  <c r="V338" i="4"/>
  <c r="V340" i="4"/>
  <c r="V342" i="4"/>
  <c r="V344" i="4"/>
  <c r="V346" i="4"/>
  <c r="V348" i="4"/>
  <c r="V350" i="4"/>
  <c r="V352" i="4"/>
  <c r="V354" i="4"/>
  <c r="V356" i="4"/>
  <c r="V358" i="4"/>
  <c r="V360" i="4"/>
  <c r="V362" i="4"/>
  <c r="V364" i="4"/>
  <c r="V366" i="4"/>
  <c r="V368" i="4"/>
  <c r="V370" i="4"/>
  <c r="V372" i="4"/>
  <c r="V374" i="4"/>
  <c r="V376" i="4"/>
  <c r="V378" i="4"/>
  <c r="V380" i="4"/>
  <c r="V382" i="4"/>
  <c r="V384" i="4"/>
  <c r="V386" i="4"/>
  <c r="V388" i="4"/>
  <c r="V390" i="4"/>
  <c r="V392" i="4"/>
  <c r="V394" i="4"/>
  <c r="V396" i="4"/>
  <c r="V398" i="4"/>
  <c r="V400" i="4"/>
  <c r="V402" i="4"/>
  <c r="V404" i="4"/>
  <c r="V406" i="4"/>
  <c r="V408" i="4"/>
  <c r="V410" i="4"/>
  <c r="V412" i="4"/>
  <c r="V414" i="4"/>
  <c r="V416" i="4"/>
  <c r="V418" i="4"/>
  <c r="V420" i="4"/>
  <c r="V422" i="4"/>
  <c r="V424" i="4"/>
  <c r="V426" i="4"/>
  <c r="V428" i="4"/>
  <c r="V430" i="4"/>
  <c r="V432" i="4"/>
  <c r="V434" i="4"/>
  <c r="V436" i="4"/>
  <c r="V438" i="4"/>
  <c r="V440" i="4"/>
  <c r="V442" i="4"/>
  <c r="V276" i="4"/>
  <c r="V260" i="4"/>
  <c r="V244" i="4"/>
  <c r="V285" i="4"/>
  <c r="V283" i="4"/>
  <c r="V281" i="4"/>
  <c r="V279" i="4"/>
  <c r="V277" i="4"/>
  <c r="V275" i="4"/>
  <c r="V273" i="4"/>
  <c r="V271" i="4"/>
  <c r="V269" i="4"/>
  <c r="V267" i="4"/>
  <c r="V265" i="4"/>
  <c r="V263" i="4"/>
  <c r="V261" i="4"/>
  <c r="V259" i="4"/>
  <c r="V257" i="4"/>
  <c r="V255" i="4"/>
  <c r="V253" i="4"/>
  <c r="V251" i="4"/>
  <c r="V249" i="4"/>
  <c r="V247" i="4"/>
  <c r="V245" i="4"/>
  <c r="V243" i="4"/>
  <c r="V241" i="4"/>
  <c r="V239" i="4"/>
  <c r="V237" i="4"/>
  <c r="O40" i="1"/>
  <c r="F236" i="4" s="1"/>
  <c r="O15" i="1"/>
  <c r="O22" i="1"/>
  <c r="O11" i="1"/>
  <c r="T196" i="4"/>
  <c r="T99" i="4"/>
  <c r="T83" i="4"/>
  <c r="T18" i="4"/>
  <c r="T132" i="4"/>
  <c r="T67" i="4"/>
  <c r="T164" i="4"/>
  <c r="T35" i="4"/>
  <c r="T180" i="4"/>
  <c r="T51" i="4"/>
  <c r="T148" i="4"/>
  <c r="T212" i="4"/>
  <c r="T95" i="4"/>
  <c r="T63" i="4"/>
  <c r="T107" i="4"/>
  <c r="T91" i="4"/>
  <c r="T75" i="4"/>
  <c r="T59" i="4"/>
  <c r="T43" i="4"/>
  <c r="T27" i="4"/>
  <c r="T20" i="4"/>
  <c r="T140" i="4"/>
  <c r="T156" i="4"/>
  <c r="T172" i="4"/>
  <c r="T188" i="4"/>
  <c r="T204" i="4"/>
  <c r="T220" i="4"/>
  <c r="T103" i="4"/>
  <c r="T87" i="4"/>
  <c r="T71" i="4"/>
  <c r="T55" i="4"/>
  <c r="T39" i="4"/>
  <c r="T23" i="4"/>
  <c r="T128" i="4"/>
  <c r="T144" i="4"/>
  <c r="T160" i="4"/>
  <c r="T176" i="4"/>
  <c r="T192" i="4"/>
  <c r="T208" i="4"/>
  <c r="T224" i="4"/>
  <c r="T79" i="4"/>
  <c r="T47" i="4"/>
  <c r="T31" i="4"/>
  <c r="T14" i="4"/>
  <c r="T136" i="4"/>
  <c r="T152" i="4"/>
  <c r="T168" i="4"/>
  <c r="T184" i="4"/>
  <c r="T200" i="4"/>
  <c r="T216" i="4"/>
  <c r="T10" i="4"/>
  <c r="T106" i="4"/>
  <c r="T102" i="4"/>
  <c r="T98" i="4"/>
  <c r="T94" i="4"/>
  <c r="T90" i="4"/>
  <c r="T86" i="4"/>
  <c r="T82" i="4"/>
  <c r="T78" i="4"/>
  <c r="T74" i="4"/>
  <c r="T70" i="4"/>
  <c r="T66" i="4"/>
  <c r="T62" i="4"/>
  <c r="T58" i="4"/>
  <c r="T54" i="4"/>
  <c r="T50" i="4"/>
  <c r="T46" i="4"/>
  <c r="T42" i="4"/>
  <c r="T38" i="4"/>
  <c r="T34" i="4"/>
  <c r="T30" i="4"/>
  <c r="T26" i="4"/>
  <c r="T22" i="4"/>
  <c r="T17" i="4"/>
  <c r="T13"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109" i="4"/>
  <c r="T105" i="4"/>
  <c r="T101" i="4"/>
  <c r="T97" i="4"/>
  <c r="T93" i="4"/>
  <c r="T89" i="4"/>
  <c r="T85" i="4"/>
  <c r="T81" i="4"/>
  <c r="T77" i="4"/>
  <c r="T73" i="4"/>
  <c r="T69" i="4"/>
  <c r="T65" i="4"/>
  <c r="T61" i="4"/>
  <c r="T57" i="4"/>
  <c r="T53" i="4"/>
  <c r="T49" i="4"/>
  <c r="T45" i="4"/>
  <c r="T41" i="4"/>
  <c r="T37" i="4"/>
  <c r="T33" i="4"/>
  <c r="T29" i="4"/>
  <c r="T25" i="4"/>
  <c r="T21" i="4"/>
  <c r="T16" i="4"/>
  <c r="T12" i="4"/>
  <c r="T126" i="4"/>
  <c r="T130" i="4"/>
  <c r="T134" i="4"/>
  <c r="T138" i="4"/>
  <c r="T142" i="4"/>
  <c r="T146" i="4"/>
  <c r="T150" i="4"/>
  <c r="T154" i="4"/>
  <c r="T158" i="4"/>
  <c r="T162" i="4"/>
  <c r="T166" i="4"/>
  <c r="T170" i="4"/>
  <c r="T174" i="4"/>
  <c r="T178" i="4"/>
  <c r="T182" i="4"/>
  <c r="T186" i="4"/>
  <c r="T190" i="4"/>
  <c r="T194" i="4"/>
  <c r="T198" i="4"/>
  <c r="T202" i="4"/>
  <c r="T206" i="4"/>
  <c r="T210" i="4"/>
  <c r="T214" i="4"/>
  <c r="T218" i="4"/>
  <c r="T222" i="4"/>
  <c r="T108" i="4"/>
  <c r="T104" i="4"/>
  <c r="T100" i="4"/>
  <c r="T96" i="4"/>
  <c r="T92" i="4"/>
  <c r="T88" i="4"/>
  <c r="T84" i="4"/>
  <c r="T80" i="4"/>
  <c r="T76" i="4"/>
  <c r="T72" i="4"/>
  <c r="T68" i="4"/>
  <c r="T64" i="4"/>
  <c r="T60" i="4"/>
  <c r="T56" i="4"/>
  <c r="T52" i="4"/>
  <c r="T48" i="4"/>
  <c r="T44" i="4"/>
  <c r="T40" i="4"/>
  <c r="T36" i="4"/>
  <c r="T32" i="4"/>
  <c r="T28" i="4"/>
  <c r="T24" i="4"/>
  <c r="T19" i="4"/>
  <c r="T15" i="4"/>
  <c r="T11" i="4"/>
  <c r="T127" i="4"/>
  <c r="T131" i="4"/>
  <c r="T135" i="4"/>
  <c r="T139" i="4"/>
  <c r="T143" i="4"/>
  <c r="T147" i="4"/>
  <c r="T151" i="4"/>
  <c r="T155" i="4"/>
  <c r="T159" i="4"/>
  <c r="T163" i="4"/>
  <c r="T167" i="4"/>
  <c r="T171" i="4"/>
  <c r="T175" i="4"/>
  <c r="T179" i="4"/>
  <c r="T183" i="4"/>
  <c r="T187" i="4"/>
  <c r="T191" i="4"/>
  <c r="T195" i="4"/>
  <c r="T199" i="4"/>
  <c r="T203" i="4"/>
  <c r="T207" i="4"/>
  <c r="T211" i="4"/>
  <c r="T215" i="4"/>
  <c r="T219" i="4"/>
  <c r="F13" i="4"/>
  <c r="D7" i="4"/>
  <c r="F2" i="4"/>
  <c r="D19" i="4"/>
  <c r="C16" i="4"/>
  <c r="B13" i="4"/>
  <c r="F9" i="4"/>
  <c r="E6" i="4"/>
  <c r="D3" i="4"/>
  <c r="B17" i="4"/>
  <c r="E10" i="4"/>
  <c r="C4" i="4"/>
  <c r="F21" i="4"/>
  <c r="E18" i="4"/>
  <c r="D15" i="4"/>
  <c r="C12" i="4"/>
  <c r="B9" i="4"/>
  <c r="F5" i="4"/>
  <c r="C20" i="4"/>
  <c r="B21" i="4"/>
  <c r="F17" i="4"/>
  <c r="E14" i="4"/>
  <c r="D11" i="4"/>
  <c r="C8" i="4"/>
  <c r="B5" i="4"/>
  <c r="E2" i="4"/>
  <c r="E21" i="4"/>
  <c r="F20" i="4"/>
  <c r="B20" i="4"/>
  <c r="C19" i="4"/>
  <c r="D18" i="4"/>
  <c r="E17" i="4"/>
  <c r="F16" i="4"/>
  <c r="B16" i="4"/>
  <c r="C15" i="4"/>
  <c r="D14" i="4"/>
  <c r="E13" i="4"/>
  <c r="F12" i="4"/>
  <c r="B12" i="4"/>
  <c r="C11" i="4"/>
  <c r="D10" i="4"/>
  <c r="E9" i="4"/>
  <c r="F8" i="4"/>
  <c r="B8" i="4"/>
  <c r="C7" i="4"/>
  <c r="D6" i="4"/>
  <c r="E5" i="4"/>
  <c r="F4" i="4"/>
  <c r="B4" i="4"/>
  <c r="C3" i="4"/>
  <c r="D2" i="4"/>
  <c r="D21" i="4"/>
  <c r="E20" i="4"/>
  <c r="F19" i="4"/>
  <c r="B19" i="4"/>
  <c r="C18" i="4"/>
  <c r="D17" i="4"/>
  <c r="E16" i="4"/>
  <c r="F15" i="4"/>
  <c r="B15" i="4"/>
  <c r="C14" i="4"/>
  <c r="D13" i="4"/>
  <c r="E12" i="4"/>
  <c r="F11" i="4"/>
  <c r="B11" i="4"/>
  <c r="C10" i="4"/>
  <c r="D9" i="4"/>
  <c r="E8" i="4"/>
  <c r="F7" i="4"/>
  <c r="B7" i="4"/>
  <c r="C6" i="4"/>
  <c r="D5" i="4"/>
  <c r="E4" i="4"/>
  <c r="F3" i="4"/>
  <c r="B3" i="4"/>
  <c r="C2" i="4"/>
  <c r="C21" i="4"/>
  <c r="D20" i="4"/>
  <c r="E19" i="4"/>
  <c r="F18" i="4"/>
  <c r="B18" i="4"/>
  <c r="C17" i="4"/>
  <c r="D16" i="4"/>
  <c r="E15" i="4"/>
  <c r="F14" i="4"/>
  <c r="B14" i="4"/>
  <c r="C13" i="4"/>
  <c r="D12" i="4"/>
  <c r="E11" i="4"/>
  <c r="F10" i="4"/>
  <c r="B10" i="4"/>
  <c r="C9" i="4"/>
  <c r="D8" i="4"/>
  <c r="E7" i="4"/>
  <c r="F6" i="4"/>
  <c r="B6" i="4"/>
  <c r="C5" i="4"/>
  <c r="D4" i="4"/>
  <c r="E3" i="4"/>
  <c r="B2" i="4"/>
  <c r="S235" i="4" l="1"/>
  <c r="S233" i="4"/>
  <c r="W733" i="4"/>
  <c r="W1088" i="4"/>
  <c r="W1108" i="4"/>
  <c r="W919" i="4"/>
  <c r="W823" i="4"/>
  <c r="W481" i="4"/>
  <c r="W1192" i="4"/>
  <c r="W1106" i="4"/>
  <c r="W1031" i="4"/>
  <c r="W945" i="4"/>
  <c r="W1167" i="4"/>
  <c r="W707" i="4"/>
  <c r="W1158" i="4"/>
  <c r="W420" i="4"/>
  <c r="W1008" i="4"/>
  <c r="W1200" i="4"/>
  <c r="W503" i="4"/>
  <c r="W929" i="4"/>
  <c r="W1126" i="4"/>
  <c r="W1169" i="4"/>
  <c r="W1116" i="4"/>
  <c r="W1162" i="4"/>
  <c r="W1205" i="4"/>
  <c r="W1007" i="4"/>
  <c r="W949" i="4"/>
  <c r="W711" i="4"/>
  <c r="W655" i="4"/>
  <c r="W540" i="4"/>
  <c r="W411" i="4"/>
  <c r="W1004" i="4"/>
  <c r="W976" i="4"/>
  <c r="W709" i="4"/>
  <c r="W596" i="4"/>
  <c r="W539" i="4"/>
  <c r="W1213" i="4"/>
  <c r="W1128" i="4"/>
  <c r="W917" i="4"/>
  <c r="W1197" i="4"/>
  <c r="W1107" i="4"/>
  <c r="W849" i="4"/>
  <c r="W764" i="4"/>
  <c r="W736" i="4"/>
  <c r="W508" i="4"/>
  <c r="W684" i="4"/>
  <c r="W599" i="4"/>
  <c r="W372" i="4"/>
  <c r="W1062" i="4"/>
  <c r="W755" i="4"/>
  <c r="W691" i="4"/>
  <c r="W605" i="4"/>
  <c r="W392" i="4"/>
  <c r="W307" i="4"/>
  <c r="W782" i="4"/>
  <c r="W766" i="4"/>
  <c r="W750" i="4"/>
  <c r="W654" i="4"/>
  <c r="W526" i="4"/>
  <c r="W462" i="4"/>
  <c r="W446" i="4"/>
  <c r="W318" i="4"/>
  <c r="W302" i="4"/>
  <c r="W286" i="4"/>
  <c r="W254" i="4"/>
  <c r="W238" i="4"/>
  <c r="W761" i="4"/>
  <c r="W704" i="4"/>
  <c r="W647" i="4"/>
  <c r="W1199" i="4"/>
  <c r="W1183" i="4"/>
  <c r="W1135" i="4"/>
  <c r="W1087" i="4"/>
  <c r="W1069" i="4"/>
  <c r="W1005" i="4"/>
  <c r="W984" i="4"/>
  <c r="W920" i="4"/>
  <c r="W843" i="4"/>
  <c r="W815" i="4"/>
  <c r="W785" i="4"/>
  <c r="W729" i="4"/>
  <c r="W615" i="4"/>
  <c r="W437" i="4"/>
  <c r="W876" i="4"/>
  <c r="W820" i="4"/>
  <c r="W735" i="4"/>
  <c r="W649" i="4"/>
  <c r="W620" i="4"/>
  <c r="W564" i="4"/>
  <c r="W479" i="4"/>
  <c r="W404" i="4"/>
  <c r="W1074" i="4"/>
  <c r="W1058" i="4"/>
  <c r="W1026" i="4"/>
  <c r="W994" i="4"/>
  <c r="W978" i="4"/>
  <c r="W946" i="4"/>
  <c r="W898" i="4"/>
  <c r="W877" i="4"/>
  <c r="W835" i="4"/>
  <c r="W813" i="4"/>
  <c r="W728" i="4"/>
  <c r="W664" i="4"/>
  <c r="W621" i="4"/>
  <c r="W600" i="4"/>
  <c r="W536" i="4"/>
  <c r="W515" i="4"/>
  <c r="W493" i="4"/>
  <c r="W408" i="4"/>
  <c r="W323" i="4"/>
  <c r="W280" i="4"/>
  <c r="W439" i="4"/>
  <c r="W396" i="4"/>
  <c r="W353" i="4"/>
  <c r="W332" i="4"/>
  <c r="W311" i="4"/>
  <c r="W268" i="4"/>
  <c r="W247" i="4"/>
  <c r="W890" i="4"/>
  <c r="W874" i="4"/>
  <c r="W858" i="4"/>
  <c r="W794" i="4"/>
  <c r="W778" i="4"/>
  <c r="W746" i="4"/>
  <c r="W730" i="4"/>
  <c r="W714" i="4"/>
  <c r="W698" i="4"/>
  <c r="W682" i="4"/>
  <c r="W650" i="4"/>
  <c r="W602" i="4"/>
  <c r="W586" i="4"/>
  <c r="W570" i="4"/>
  <c r="W554" i="4"/>
  <c r="W538" i="4"/>
  <c r="W522" i="4"/>
  <c r="W506" i="4"/>
  <c r="W458" i="4"/>
  <c r="W426" i="4"/>
  <c r="W410" i="4"/>
  <c r="W394" i="4"/>
  <c r="W346" i="4"/>
  <c r="W314" i="4"/>
  <c r="W298" i="4"/>
  <c r="W282" i="4"/>
  <c r="W266" i="4"/>
  <c r="W250" i="4"/>
  <c r="W1084" i="4"/>
  <c r="W645" i="4"/>
  <c r="W1153" i="4"/>
  <c r="W1206" i="4"/>
  <c r="W759" i="4"/>
  <c r="W1129" i="4"/>
  <c r="W1170" i="4"/>
  <c r="W1231" i="4"/>
  <c r="W1027" i="4"/>
  <c r="W587" i="4"/>
  <c r="W267" i="4"/>
  <c r="W685" i="4"/>
  <c r="W417" i="4"/>
  <c r="W763" i="4"/>
  <c r="W535" i="4"/>
  <c r="W792" i="4"/>
  <c r="W344" i="4"/>
  <c r="W842" i="4"/>
  <c r="W634" i="4"/>
  <c r="W788" i="4"/>
  <c r="W999" i="4"/>
  <c r="W304" i="4"/>
  <c r="W1102" i="4"/>
  <c r="W1165" i="4"/>
  <c r="W1122" i="4"/>
  <c r="W911" i="4"/>
  <c r="W379" i="4"/>
  <c r="W1000" i="4"/>
  <c r="W836" i="4"/>
  <c r="W665" i="4"/>
  <c r="W812" i="4"/>
  <c r="W756" i="4"/>
  <c r="W699" i="4"/>
  <c r="W613" i="4"/>
  <c r="W556" i="4"/>
  <c r="W910" i="4"/>
  <c r="W851" i="4"/>
  <c r="W744" i="4"/>
  <c r="W595" i="4"/>
  <c r="W445" i="4"/>
  <c r="W369" i="4"/>
  <c r="W305" i="4"/>
  <c r="W870" i="4"/>
  <c r="W758" i="4"/>
  <c r="W694" i="4"/>
  <c r="W662" i="4"/>
  <c r="W630" i="4"/>
  <c r="W502" i="4"/>
  <c r="W470" i="4"/>
  <c r="W374" i="4"/>
  <c r="W1149" i="4"/>
  <c r="W559" i="4"/>
  <c r="W914" i="4"/>
  <c r="W472" i="4"/>
  <c r="W301" i="4"/>
  <c r="W666" i="4"/>
  <c r="W618" i="4"/>
  <c r="W490" i="4"/>
  <c r="W442" i="4"/>
  <c r="W378" i="4"/>
  <c r="W1072" i="4"/>
  <c r="W1230" i="4"/>
  <c r="W1166" i="4"/>
  <c r="W1124" i="4"/>
  <c r="W1229" i="4"/>
  <c r="W1131" i="4"/>
  <c r="W253" i="4"/>
  <c r="W395" i="4"/>
  <c r="W930" i="4"/>
  <c r="W749" i="4"/>
  <c r="W451" i="4"/>
  <c r="W365" i="4"/>
  <c r="W259" i="4"/>
  <c r="W810" i="4"/>
  <c r="W762" i="4"/>
  <c r="W474" i="4"/>
  <c r="W362" i="4"/>
  <c r="W330" i="4"/>
  <c r="W916" i="4"/>
  <c r="W1137" i="4"/>
  <c r="W1222" i="4"/>
  <c r="W868" i="4"/>
  <c r="W753" i="4"/>
  <c r="W469" i="4"/>
  <c r="W1145" i="4"/>
  <c r="W581" i="4"/>
  <c r="W303" i="4"/>
  <c r="W1186" i="4"/>
  <c r="W1144" i="4"/>
  <c r="W293" i="4"/>
  <c r="W1163" i="4"/>
  <c r="W1083" i="4"/>
  <c r="W1021" i="4"/>
  <c r="W979" i="4"/>
  <c r="W807" i="4"/>
  <c r="W580" i="4"/>
  <c r="W427" i="4"/>
  <c r="W897" i="4"/>
  <c r="W727" i="4"/>
  <c r="W671" i="4"/>
  <c r="W641" i="4"/>
  <c r="W471" i="4"/>
  <c r="W1070" i="4"/>
  <c r="W1038" i="4"/>
  <c r="W1006" i="4"/>
  <c r="W958" i="4"/>
  <c r="W872" i="4"/>
  <c r="W829" i="4"/>
  <c r="W765" i="4"/>
  <c r="W680" i="4"/>
  <c r="W573" i="4"/>
  <c r="W531" i="4"/>
  <c r="W509" i="4"/>
  <c r="W467" i="4"/>
  <c r="W339" i="4"/>
  <c r="W433" i="4"/>
  <c r="W241" i="4"/>
  <c r="W854" i="4"/>
  <c r="W838" i="4"/>
  <c r="W806" i="4"/>
  <c r="W774" i="4"/>
  <c r="W646" i="4"/>
  <c r="W614" i="4"/>
  <c r="W598" i="4"/>
  <c r="W534" i="4"/>
  <c r="W518" i="4"/>
  <c r="W390" i="4"/>
  <c r="W358" i="4"/>
  <c r="W326" i="4"/>
  <c r="W278" i="4"/>
  <c r="W588" i="4"/>
  <c r="W1142" i="4"/>
  <c r="W873" i="4"/>
  <c r="W1196" i="4"/>
  <c r="W1057" i="4"/>
  <c r="W1174" i="4"/>
  <c r="W603" i="4"/>
  <c r="W980" i="4"/>
  <c r="W1089" i="4"/>
  <c r="W1189" i="4"/>
  <c r="W900" i="4"/>
  <c r="W1114" i="4"/>
  <c r="W292" i="4"/>
  <c r="W575" i="4"/>
  <c r="W801" i="4"/>
  <c r="W1100" i="4"/>
  <c r="W1152" i="4"/>
  <c r="W1194" i="4"/>
  <c r="W1071" i="4"/>
  <c r="W1041" i="4"/>
  <c r="W985" i="4"/>
  <c r="W928" i="4"/>
  <c r="W896" i="4"/>
  <c r="W839" i="4"/>
  <c r="W783" i="4"/>
  <c r="W725" i="4"/>
  <c r="W555" i="4"/>
  <c r="W1220" i="4"/>
  <c r="W1177" i="4"/>
  <c r="W1134" i="4"/>
  <c r="W1092" i="4"/>
  <c r="W1040" i="4"/>
  <c r="W983" i="4"/>
  <c r="W927" i="4"/>
  <c r="W895" i="4"/>
  <c r="W780" i="4"/>
  <c r="W667" i="4"/>
  <c r="W609" i="4"/>
  <c r="W553" i="4"/>
  <c r="W496" i="4"/>
  <c r="W431" i="4"/>
  <c r="W345" i="4"/>
  <c r="W1154" i="4"/>
  <c r="W1133" i="4"/>
  <c r="W1112" i="4"/>
  <c r="W1090" i="4"/>
  <c r="W1067" i="4"/>
  <c r="W1039" i="4"/>
  <c r="W1009" i="4"/>
  <c r="W953" i="4"/>
  <c r="W924" i="4"/>
  <c r="W889" i="4"/>
  <c r="W775" i="4"/>
  <c r="W661" i="4"/>
  <c r="W604" i="4"/>
  <c r="W421" i="4"/>
  <c r="W251" i="4"/>
  <c r="W1219" i="4"/>
  <c r="W1203" i="4"/>
  <c r="W1187" i="4"/>
  <c r="W1155" i="4"/>
  <c r="W1139" i="4"/>
  <c r="W1123" i="4"/>
  <c r="W1091" i="4"/>
  <c r="W1053" i="4"/>
  <c r="W1032" i="4"/>
  <c r="W1011" i="4"/>
  <c r="W989" i="4"/>
  <c r="W968" i="4"/>
  <c r="W947" i="4"/>
  <c r="W925" i="4"/>
  <c r="W904" i="4"/>
  <c r="W879" i="4"/>
  <c r="W821" i="4"/>
  <c r="W793" i="4"/>
  <c r="W708" i="4"/>
  <c r="W679" i="4"/>
  <c r="W651" i="4"/>
  <c r="W623" i="4"/>
  <c r="W593" i="4"/>
  <c r="W565" i="4"/>
  <c r="W249" i="4"/>
  <c r="W545" i="4"/>
  <c r="W951" i="4"/>
  <c r="W1065" i="4"/>
  <c r="W1136" i="4"/>
  <c r="W1221" i="4"/>
  <c r="W356" i="4"/>
  <c r="W844" i="4"/>
  <c r="W987" i="4"/>
  <c r="W1094" i="4"/>
  <c r="W1148" i="4"/>
  <c r="W1190" i="4"/>
  <c r="W745" i="4"/>
  <c r="W937" i="4"/>
  <c r="W1078" i="4"/>
  <c r="W1141" i="4"/>
  <c r="W1184" i="4"/>
  <c r="W1226" i="4"/>
  <c r="W1098" i="4"/>
  <c r="W1077" i="4"/>
  <c r="W1049" i="4"/>
  <c r="W992" i="4"/>
  <c r="W964" i="4"/>
  <c r="W935" i="4"/>
  <c r="W796" i="4"/>
  <c r="W625" i="4"/>
  <c r="W512" i="4"/>
  <c r="W453" i="4"/>
  <c r="W368" i="4"/>
  <c r="W283" i="4"/>
  <c r="W1225" i="4"/>
  <c r="W1204" i="4"/>
  <c r="W1182" i="4"/>
  <c r="W1161" i="4"/>
  <c r="W1140" i="4"/>
  <c r="W1097" i="4"/>
  <c r="W1076" i="4"/>
  <c r="W1019" i="4"/>
  <c r="W991" i="4"/>
  <c r="W961" i="4"/>
  <c r="W933" i="4"/>
  <c r="W905" i="4"/>
  <c r="W795" i="4"/>
  <c r="W737" i="4"/>
  <c r="W681" i="4"/>
  <c r="W624" i="4"/>
  <c r="W567" i="4"/>
  <c r="W511" i="4"/>
  <c r="W452" i="4"/>
  <c r="W367" i="4"/>
  <c r="W281" i="4"/>
  <c r="W1224" i="4"/>
  <c r="W1202" i="4"/>
  <c r="W1181" i="4"/>
  <c r="W1160" i="4"/>
  <c r="W1138" i="4"/>
  <c r="W1096" i="4"/>
  <c r="W1073" i="4"/>
  <c r="W1017" i="4"/>
  <c r="W988" i="4"/>
  <c r="W960" i="4"/>
  <c r="W932" i="4"/>
  <c r="W847" i="4"/>
  <c r="W789" i="4"/>
  <c r="W732" i="4"/>
  <c r="W676" i="4"/>
  <c r="W619" i="4"/>
  <c r="W561" i="4"/>
  <c r="W505" i="4"/>
  <c r="W443" i="4"/>
  <c r="W357" i="4"/>
  <c r="W272" i="4"/>
  <c r="W1223" i="4"/>
  <c r="W1207" i="4"/>
  <c r="W1191" i="4"/>
  <c r="W1175" i="4"/>
  <c r="W1159" i="4"/>
  <c r="W1143" i="4"/>
  <c r="W1127" i="4"/>
  <c r="W1111" i="4"/>
  <c r="W1095" i="4"/>
  <c r="W1079" i="4"/>
  <c r="W1037" i="4"/>
  <c r="W1016" i="4"/>
  <c r="W995" i="4"/>
  <c r="W973" i="4"/>
  <c r="W952" i="4"/>
  <c r="W931" i="4"/>
  <c r="W909" i="4"/>
  <c r="W885" i="4"/>
  <c r="W857" i="4"/>
  <c r="W828" i="4"/>
  <c r="W800" i="4"/>
  <c r="W772" i="4"/>
  <c r="W743" i="4"/>
  <c r="W715" i="4"/>
  <c r="W657" i="4"/>
  <c r="W629" i="4"/>
  <c r="W601" i="4"/>
  <c r="W572" i="4"/>
  <c r="W544" i="4"/>
  <c r="W516" i="4"/>
  <c r="W487" i="4"/>
  <c r="W416" i="4"/>
  <c r="W373" i="4"/>
  <c r="W331" i="4"/>
  <c r="W288" i="4"/>
  <c r="W245" i="4"/>
  <c r="W891" i="4"/>
  <c r="W863" i="4"/>
  <c r="W833" i="4"/>
  <c r="W805" i="4"/>
  <c r="W777" i="4"/>
  <c r="W748" i="4"/>
  <c r="W720" i="4"/>
  <c r="W692" i="4"/>
  <c r="W663" i="4"/>
  <c r="W635" i="4"/>
  <c r="W607" i="4"/>
  <c r="W577" i="4"/>
  <c r="W549" i="4"/>
  <c r="W521" i="4"/>
  <c r="W492" i="4"/>
  <c r="W464" i="4"/>
  <c r="W425" i="4"/>
  <c r="W383" i="4"/>
  <c r="W297" i="4"/>
  <c r="W255" i="4"/>
  <c r="W1066" i="4"/>
  <c r="W1050" i="4"/>
  <c r="W1034" i="4"/>
  <c r="W1018" i="4"/>
  <c r="W1002" i="4"/>
  <c r="W986" i="4"/>
  <c r="W954" i="4"/>
  <c r="W922" i="4"/>
  <c r="W906" i="4"/>
  <c r="W888" i="4"/>
  <c r="W867" i="4"/>
  <c r="W537" i="4"/>
  <c r="W405" i="4"/>
  <c r="W320" i="4"/>
  <c r="W235" i="4"/>
  <c r="W884" i="4"/>
  <c r="W855" i="4"/>
  <c r="W827" i="4"/>
  <c r="W799" i="4"/>
  <c r="W741" i="4"/>
  <c r="W656" i="4"/>
  <c r="W628" i="4"/>
  <c r="W571" i="4"/>
  <c r="W543" i="4"/>
  <c r="W457" i="4"/>
  <c r="W415" i="4"/>
  <c r="W329" i="4"/>
  <c r="W287" i="4"/>
  <c r="W1030" i="4"/>
  <c r="W1014" i="4"/>
  <c r="W998" i="4"/>
  <c r="W982" i="4"/>
  <c r="W966" i="4"/>
  <c r="W950" i="4"/>
  <c r="W934" i="4"/>
  <c r="W918" i="4"/>
  <c r="W861" i="4"/>
  <c r="W840" i="4"/>
  <c r="W797" i="4"/>
  <c r="W776" i="4"/>
  <c r="W712" i="4"/>
  <c r="W669" i="4"/>
  <c r="W563" i="4"/>
  <c r="W541" i="4"/>
  <c r="W520" i="4"/>
  <c r="W499" i="4"/>
  <c r="W477" i="4"/>
  <c r="W456" i="4"/>
  <c r="W435" i="4"/>
  <c r="W371" i="4"/>
  <c r="W349" i="4"/>
  <c r="W328" i="4"/>
  <c r="W285" i="4"/>
  <c r="W444" i="4"/>
  <c r="W423" i="4"/>
  <c r="W401" i="4"/>
  <c r="W380" i="4"/>
  <c r="W359" i="4"/>
  <c r="W337" i="4"/>
  <c r="W316" i="4"/>
  <c r="W273" i="4"/>
  <c r="W252" i="4"/>
  <c r="W894" i="4"/>
  <c r="W878" i="4"/>
  <c r="W862" i="4"/>
  <c r="W846" i="4"/>
  <c r="W830" i="4"/>
  <c r="W814" i="4"/>
  <c r="W702" i="4"/>
  <c r="W686" i="4"/>
  <c r="W670" i="4"/>
  <c r="W638" i="4"/>
  <c r="W622" i="4"/>
  <c r="W606" i="4"/>
  <c r="W590" i="4"/>
  <c r="W574" i="4"/>
  <c r="W558" i="4"/>
  <c r="W542" i="4"/>
  <c r="W510" i="4"/>
  <c r="W494" i="4"/>
  <c r="W478" i="4"/>
  <c r="W430" i="4"/>
  <c r="W414" i="4"/>
  <c r="W398" i="4"/>
  <c r="W382" i="4"/>
  <c r="W366" i="4"/>
  <c r="W350" i="4"/>
  <c r="W334" i="4"/>
  <c r="W270" i="4"/>
  <c r="W972" i="4"/>
  <c r="W1228" i="4"/>
  <c r="W399" i="4"/>
  <c r="W1105" i="4"/>
  <c r="W703" i="4"/>
  <c r="W1164" i="4"/>
  <c r="W1132" i="4"/>
  <c r="W845" i="4"/>
  <c r="W824" i="4"/>
  <c r="W803" i="4"/>
  <c r="W781" i="4"/>
  <c r="W760" i="4"/>
  <c r="W739" i="4"/>
  <c r="W717" i="4"/>
  <c r="W696" i="4"/>
  <c r="W653" i="4"/>
  <c r="W632" i="4"/>
  <c r="W589" i="4"/>
  <c r="W568" i="4"/>
  <c r="W547" i="4"/>
  <c r="W525" i="4"/>
  <c r="W504" i="4"/>
  <c r="W483" i="4"/>
  <c r="W461" i="4"/>
  <c r="W440" i="4"/>
  <c r="W419" i="4"/>
  <c r="W376" i="4"/>
  <c r="W355" i="4"/>
  <c r="W333" i="4"/>
  <c r="W312" i="4"/>
  <c r="W291" i="4"/>
  <c r="W269" i="4"/>
  <c r="W248" i="4"/>
  <c r="W449" i="4"/>
  <c r="W428" i="4"/>
  <c r="W407" i="4"/>
  <c r="W385" i="4"/>
  <c r="W364" i="4"/>
  <c r="W343" i="4"/>
  <c r="W321" i="4"/>
  <c r="W300" i="4"/>
  <c r="W279" i="4"/>
  <c r="W257" i="4"/>
  <c r="W236" i="4"/>
  <c r="W882" i="4"/>
  <c r="W866" i="4"/>
  <c r="W850" i="4"/>
  <c r="W834" i="4"/>
  <c r="W818" i="4"/>
  <c r="W802" i="4"/>
  <c r="W786" i="4"/>
  <c r="W770" i="4"/>
  <c r="W754" i="4"/>
  <c r="W738" i="4"/>
  <c r="W722" i="4"/>
  <c r="W706" i="4"/>
  <c r="W690" i="4"/>
  <c r="W674" i="4"/>
  <c r="W658" i="4"/>
  <c r="W642" i="4"/>
  <c r="W626" i="4"/>
  <c r="W594" i="4"/>
  <c r="W578" i="4"/>
  <c r="W562" i="4"/>
  <c r="W546" i="4"/>
  <c r="W530" i="4"/>
  <c r="W514" i="4"/>
  <c r="W498" i="4"/>
  <c r="W482" i="4"/>
  <c r="W466" i="4"/>
  <c r="W450" i="4"/>
  <c r="W434" i="4"/>
  <c r="W418" i="4"/>
  <c r="W402" i="4"/>
  <c r="W386" i="4"/>
  <c r="W370" i="4"/>
  <c r="W354" i="4"/>
  <c r="W338" i="4"/>
  <c r="W322" i="4"/>
  <c r="W306" i="4"/>
  <c r="W290" i="4"/>
  <c r="W274" i="4"/>
  <c r="W258" i="4"/>
  <c r="W242" i="4"/>
  <c r="W816" i="4"/>
  <c r="W1185" i="4"/>
  <c r="W1001" i="4"/>
  <c r="W475" i="4"/>
  <c r="W1121" i="4"/>
  <c r="W532" i="4"/>
  <c r="W944" i="4"/>
  <c r="W313" i="4"/>
  <c r="S1117" i="4"/>
  <c r="S924" i="4"/>
  <c r="S526" i="4"/>
  <c r="S895" i="4"/>
  <c r="S419" i="4"/>
  <c r="S861" i="4"/>
  <c r="S814" i="4"/>
  <c r="S1180" i="4"/>
  <c r="S523" i="4"/>
  <c r="S875" i="4"/>
  <c r="S1074" i="4"/>
  <c r="S1053" i="4"/>
  <c r="S797" i="4"/>
  <c r="S1116" i="4"/>
  <c r="S860" i="4"/>
  <c r="S521" i="4"/>
  <c r="S750" i="4"/>
  <c r="S249" i="4"/>
  <c r="S562" i="4"/>
  <c r="S1063" i="4"/>
  <c r="S1202" i="4"/>
  <c r="S989" i="4"/>
  <c r="S718" i="4"/>
  <c r="S1052" i="4"/>
  <c r="S796" i="4"/>
  <c r="S942" i="4"/>
  <c r="S610" i="4"/>
  <c r="S623" i="4"/>
  <c r="S365" i="4"/>
  <c r="S1191" i="4"/>
  <c r="S1181" i="4"/>
  <c r="S925" i="4"/>
  <c r="S531" i="4"/>
  <c r="S988" i="4"/>
  <c r="S717" i="4"/>
  <c r="S878" i="4"/>
  <c r="S664" i="4"/>
  <c r="S469" i="4"/>
  <c r="S400" i="4"/>
  <c r="S985" i="4"/>
  <c r="S746" i="4"/>
  <c r="S999" i="4"/>
  <c r="S1127" i="4"/>
  <c r="S767" i="4"/>
  <c r="S1010" i="4"/>
  <c r="S1138" i="4"/>
  <c r="S1213" i="4"/>
  <c r="S1149" i="4"/>
  <c r="S1085" i="4"/>
  <c r="S1021" i="4"/>
  <c r="S957" i="4"/>
  <c r="S893" i="4"/>
  <c r="S829" i="4"/>
  <c r="S765" i="4"/>
  <c r="S654" i="4"/>
  <c r="S1212" i="4"/>
  <c r="S1148" i="4"/>
  <c r="S1084" i="4"/>
  <c r="S1020" i="4"/>
  <c r="S956" i="4"/>
  <c r="S892" i="4"/>
  <c r="S828" i="4"/>
  <c r="S764" i="4"/>
  <c r="S653" i="4"/>
  <c r="S650" i="4"/>
  <c r="S974" i="4"/>
  <c r="S910" i="4"/>
  <c r="S846" i="4"/>
  <c r="S782" i="4"/>
  <c r="S689" i="4"/>
  <c r="S728" i="4"/>
  <c r="S600" i="4"/>
  <c r="S438" i="4"/>
  <c r="S687" i="4"/>
  <c r="S554" i="4"/>
  <c r="S341" i="4"/>
  <c r="S629" i="4"/>
  <c r="S477" i="4"/>
  <c r="S520" i="4"/>
  <c r="S738" i="4"/>
  <c r="S1230" i="4"/>
  <c r="S1075" i="4"/>
  <c r="S319" i="4"/>
  <c r="S316" i="4"/>
  <c r="S432" i="4"/>
  <c r="S544" i="4"/>
  <c r="S413" i="4"/>
  <c r="S498" i="4"/>
  <c r="S581" i="4"/>
  <c r="S257" i="4"/>
  <c r="S441" i="4"/>
  <c r="S405" i="4"/>
  <c r="S490" i="4"/>
  <c r="S575" i="4"/>
  <c r="S639" i="4"/>
  <c r="S703" i="4"/>
  <c r="S313" i="4"/>
  <c r="S459" i="4"/>
  <c r="S545" i="4"/>
  <c r="S616" i="4"/>
  <c r="S680" i="4"/>
  <c r="S744" i="4"/>
  <c r="S649" i="4"/>
  <c r="S713" i="4"/>
  <c r="S762" i="4"/>
  <c r="S794" i="4"/>
  <c r="S826" i="4"/>
  <c r="S858" i="4"/>
  <c r="S890" i="4"/>
  <c r="S922" i="4"/>
  <c r="S954" i="4"/>
  <c r="S986" i="4"/>
  <c r="S582" i="4"/>
  <c r="S674" i="4"/>
  <c r="S586" i="4"/>
  <c r="S677" i="4"/>
  <c r="S741" i="4"/>
  <c r="S776" i="4"/>
  <c r="S808" i="4"/>
  <c r="S840" i="4"/>
  <c r="S872" i="4"/>
  <c r="S904" i="4"/>
  <c r="S936" i="4"/>
  <c r="S968" i="4"/>
  <c r="S1000" i="4"/>
  <c r="S1032" i="4"/>
  <c r="S1064" i="4"/>
  <c r="S1096" i="4"/>
  <c r="S1128" i="4"/>
  <c r="S1160" i="4"/>
  <c r="S1192" i="4"/>
  <c r="S1224" i="4"/>
  <c r="S590" i="4"/>
  <c r="S678" i="4"/>
  <c r="S742" i="4"/>
  <c r="S777" i="4"/>
  <c r="S809" i="4"/>
  <c r="S841" i="4"/>
  <c r="S873" i="4"/>
  <c r="S905" i="4"/>
  <c r="S937" i="4"/>
  <c r="S969" i="4"/>
  <c r="S1001" i="4"/>
  <c r="S1033" i="4"/>
  <c r="S1065" i="4"/>
  <c r="S1097" i="4"/>
  <c r="S1129" i="4"/>
  <c r="S1161" i="4"/>
  <c r="S1193" i="4"/>
  <c r="S1225" i="4"/>
  <c r="S1178" i="4"/>
  <c r="S1114" i="4"/>
  <c r="S1050" i="4"/>
  <c r="S975" i="4"/>
  <c r="S847" i="4"/>
  <c r="S1231" i="4"/>
  <c r="S1167" i="4"/>
  <c r="S1103" i="4"/>
  <c r="S1039" i="4"/>
  <c r="S955" i="4"/>
  <c r="S827" i="4"/>
  <c r="S1046" i="4"/>
  <c r="S322" i="4"/>
  <c r="S256" i="4"/>
  <c r="S376" i="4"/>
  <c r="S1115" i="4"/>
  <c r="S258" i="4"/>
  <c r="S379" i="4"/>
  <c r="S348" i="4"/>
  <c r="S460" i="4"/>
  <c r="S564" i="4"/>
  <c r="S434" i="4"/>
  <c r="S519" i="4"/>
  <c r="S597" i="4"/>
  <c r="S321" i="4"/>
  <c r="S462" i="4"/>
  <c r="S426" i="4"/>
  <c r="S511" i="4"/>
  <c r="S591" i="4"/>
  <c r="S655" i="4"/>
  <c r="S719" i="4"/>
  <c r="S377" i="4"/>
  <c r="S481" i="4"/>
  <c r="S566" i="4"/>
  <c r="S632" i="4"/>
  <c r="S696" i="4"/>
  <c r="S537" i="4"/>
  <c r="S657" i="4"/>
  <c r="S721" i="4"/>
  <c r="S766" i="4"/>
  <c r="S798" i="4"/>
  <c r="S830" i="4"/>
  <c r="S862" i="4"/>
  <c r="S894" i="4"/>
  <c r="S926" i="4"/>
  <c r="S958" i="4"/>
  <c r="S990" i="4"/>
  <c r="S598" i="4"/>
  <c r="S682" i="4"/>
  <c r="S602" i="4"/>
  <c r="S685" i="4"/>
  <c r="S748" i="4"/>
  <c r="S780" i="4"/>
  <c r="S812" i="4"/>
  <c r="S844" i="4"/>
  <c r="S876" i="4"/>
  <c r="S908" i="4"/>
  <c r="S940" i="4"/>
  <c r="S972" i="4"/>
  <c r="S1004" i="4"/>
  <c r="S1036" i="4"/>
  <c r="S1068" i="4"/>
  <c r="S1100" i="4"/>
  <c r="S1132" i="4"/>
  <c r="S1164" i="4"/>
  <c r="S1196" i="4"/>
  <c r="S1228" i="4"/>
  <c r="S606" i="4"/>
  <c r="S686" i="4"/>
  <c r="S749" i="4"/>
  <c r="S781" i="4"/>
  <c r="S813" i="4"/>
  <c r="S845" i="4"/>
  <c r="S877" i="4"/>
  <c r="S909" i="4"/>
  <c r="S941" i="4"/>
  <c r="S973" i="4"/>
  <c r="S1005" i="4"/>
  <c r="S1037" i="4"/>
  <c r="S1069" i="4"/>
  <c r="S1101" i="4"/>
  <c r="S1133" i="4"/>
  <c r="S1165" i="4"/>
  <c r="S1197" i="4"/>
  <c r="S1229" i="4"/>
  <c r="S1170" i="4"/>
  <c r="S1106" i="4"/>
  <c r="S1042" i="4"/>
  <c r="S959" i="4"/>
  <c r="S831" i="4"/>
  <c r="S1223" i="4"/>
  <c r="S1159" i="4"/>
  <c r="S1095" i="4"/>
  <c r="S1031" i="4"/>
  <c r="S939" i="4"/>
  <c r="S811" i="4"/>
  <c r="S891" i="4"/>
  <c r="S1071" i="4"/>
  <c r="S1199" i="4"/>
  <c r="S911" i="4"/>
  <c r="S1082" i="4"/>
  <c r="S1210" i="4"/>
  <c r="S1177" i="4"/>
  <c r="S1113" i="4"/>
  <c r="S1049" i="4"/>
  <c r="S921" i="4"/>
  <c r="S857" i="4"/>
  <c r="S793" i="4"/>
  <c r="S710" i="4"/>
  <c r="S510" i="4"/>
  <c r="S1176" i="4"/>
  <c r="S1112" i="4"/>
  <c r="S1048" i="4"/>
  <c r="S984" i="4"/>
  <c r="S920" i="4"/>
  <c r="S856" i="4"/>
  <c r="S792" i="4"/>
  <c r="S709" i="4"/>
  <c r="S505" i="4"/>
  <c r="S499" i="4"/>
  <c r="S938" i="4"/>
  <c r="S874" i="4"/>
  <c r="S810" i="4"/>
  <c r="S745" i="4"/>
  <c r="S594" i="4"/>
  <c r="S648" i="4"/>
  <c r="S502" i="4"/>
  <c r="S735" i="4"/>
  <c r="S607" i="4"/>
  <c r="S447" i="4"/>
  <c r="S385" i="4"/>
  <c r="S541" i="4"/>
  <c r="S285" i="4"/>
  <c r="S288" i="4"/>
  <c r="S763" i="4"/>
  <c r="S1007" i="4"/>
  <c r="S1135" i="4"/>
  <c r="S783" i="4"/>
  <c r="S1018" i="4"/>
  <c r="S1146" i="4"/>
  <c r="S1209" i="4"/>
  <c r="S1145" i="4"/>
  <c r="S1081" i="4"/>
  <c r="S1017" i="4"/>
  <c r="S953" i="4"/>
  <c r="S889" i="4"/>
  <c r="S825" i="4"/>
  <c r="S761" i="4"/>
  <c r="S646" i="4"/>
  <c r="S1208" i="4"/>
  <c r="S1144" i="4"/>
  <c r="S1080" i="4"/>
  <c r="S1016" i="4"/>
  <c r="S952" i="4"/>
  <c r="S888" i="4"/>
  <c r="S824" i="4"/>
  <c r="S760" i="4"/>
  <c r="S645" i="4"/>
  <c r="S642" i="4"/>
  <c r="S970" i="4"/>
  <c r="S906" i="4"/>
  <c r="S842" i="4"/>
  <c r="S778" i="4"/>
  <c r="S681" i="4"/>
  <c r="S712" i="4"/>
  <c r="S584" i="4"/>
  <c r="S417" i="4"/>
  <c r="S671" i="4"/>
  <c r="S533" i="4"/>
  <c r="S277" i="4"/>
  <c r="S613" i="4"/>
  <c r="S455" i="4"/>
  <c r="S488" i="4"/>
  <c r="S706" i="4"/>
  <c r="S779" i="4"/>
  <c r="S843" i="4"/>
  <c r="S907" i="4"/>
  <c r="S971" i="4"/>
  <c r="S1015" i="4"/>
  <c r="S1047" i="4"/>
  <c r="S1079" i="4"/>
  <c r="S1111" i="4"/>
  <c r="S1143" i="4"/>
  <c r="S1175" i="4"/>
  <c r="S1207" i="4"/>
  <c r="S722" i="4"/>
  <c r="S799" i="4"/>
  <c r="S863" i="4"/>
  <c r="S927" i="4"/>
  <c r="S991" i="4"/>
  <c r="S1026" i="4"/>
  <c r="S1058" i="4"/>
  <c r="S1090" i="4"/>
  <c r="S1122" i="4"/>
  <c r="S1154" i="4"/>
  <c r="S1186" i="4"/>
  <c r="S1218" i="4"/>
  <c r="S1221" i="4"/>
  <c r="S1205" i="4"/>
  <c r="S1189" i="4"/>
  <c r="S1173" i="4"/>
  <c r="S1157" i="4"/>
  <c r="S1141" i="4"/>
  <c r="S1125" i="4"/>
  <c r="S1109" i="4"/>
  <c r="S1093" i="4"/>
  <c r="S1077" i="4"/>
  <c r="S1061" i="4"/>
  <c r="S1045" i="4"/>
  <c r="S1029" i="4"/>
  <c r="S1013" i="4"/>
  <c r="S997" i="4"/>
  <c r="S981" i="4"/>
  <c r="S965" i="4"/>
  <c r="S949" i="4"/>
  <c r="S933" i="4"/>
  <c r="S917" i="4"/>
  <c r="S901" i="4"/>
  <c r="S885" i="4"/>
  <c r="S869" i="4"/>
  <c r="S853" i="4"/>
  <c r="S837" i="4"/>
  <c r="S821" i="4"/>
  <c r="S805" i="4"/>
  <c r="S789" i="4"/>
  <c r="S773" i="4"/>
  <c r="S757" i="4"/>
  <c r="S734" i="4"/>
  <c r="S702" i="4"/>
  <c r="S670" i="4"/>
  <c r="S638" i="4"/>
  <c r="S574" i="4"/>
  <c r="S489" i="4"/>
  <c r="S1220" i="4"/>
  <c r="S1204" i="4"/>
  <c r="S1188" i="4"/>
  <c r="S1172" i="4"/>
  <c r="S1156" i="4"/>
  <c r="S1140" i="4"/>
  <c r="S1124" i="4"/>
  <c r="S1108" i="4"/>
  <c r="S1092" i="4"/>
  <c r="S1076" i="4"/>
  <c r="S1060" i="4"/>
  <c r="S1044" i="4"/>
  <c r="S1028" i="4"/>
  <c r="S1012" i="4"/>
  <c r="S996" i="4"/>
  <c r="S980" i="4"/>
  <c r="S964" i="4"/>
  <c r="S948" i="4"/>
  <c r="S932" i="4"/>
  <c r="S916" i="4"/>
  <c r="S900" i="4"/>
  <c r="S884" i="4"/>
  <c r="S868" i="4"/>
  <c r="S852" i="4"/>
  <c r="S836" i="4"/>
  <c r="S820" i="4"/>
  <c r="S804" i="4"/>
  <c r="S788" i="4"/>
  <c r="S772" i="4"/>
  <c r="S756" i="4"/>
  <c r="S733" i="4"/>
  <c r="S701" i="4"/>
  <c r="S669" i="4"/>
  <c r="S634" i="4"/>
  <c r="S569" i="4"/>
  <c r="S483" i="4"/>
  <c r="S666" i="4"/>
  <c r="S630" i="4"/>
  <c r="S563" i="4"/>
  <c r="S478" i="4"/>
  <c r="S982" i="4"/>
  <c r="S966" i="4"/>
  <c r="S950" i="4"/>
  <c r="S934" i="4"/>
  <c r="S918" i="4"/>
  <c r="S902" i="4"/>
  <c r="S886" i="4"/>
  <c r="S870" i="4"/>
  <c r="S854" i="4"/>
  <c r="S838" i="4"/>
  <c r="S822" i="4"/>
  <c r="S806" i="4"/>
  <c r="S790" i="4"/>
  <c r="S774" i="4"/>
  <c r="S758" i="4"/>
  <c r="S737" i="4"/>
  <c r="S705" i="4"/>
  <c r="S673" i="4"/>
  <c r="S641" i="4"/>
  <c r="S578" i="4"/>
  <c r="S494" i="4"/>
  <c r="S736" i="4"/>
  <c r="S720" i="4"/>
  <c r="S704" i="4"/>
  <c r="S688" i="4"/>
  <c r="S672" i="4"/>
  <c r="S656" i="4"/>
  <c r="S640" i="4"/>
  <c r="S624" i="4"/>
  <c r="S608" i="4"/>
  <c r="S592" i="4"/>
  <c r="S576" i="4"/>
  <c r="S555" i="4"/>
  <c r="S534" i="4"/>
  <c r="S513" i="4"/>
  <c r="S491" i="4"/>
  <c r="S470" i="4"/>
  <c r="S449" i="4"/>
  <c r="S427" i="4"/>
  <c r="S406" i="4"/>
  <c r="S345" i="4"/>
  <c r="S281" i="4"/>
  <c r="S743" i="4"/>
  <c r="S727" i="4"/>
  <c r="S711" i="4"/>
  <c r="S695" i="4"/>
  <c r="S679" i="4"/>
  <c r="S663" i="4"/>
  <c r="S647" i="4"/>
  <c r="S631" i="4"/>
  <c r="S615" i="4"/>
  <c r="S599" i="4"/>
  <c r="S583" i="4"/>
  <c r="S565" i="4"/>
  <c r="S543" i="4"/>
  <c r="S522" i="4"/>
  <c r="S501" i="4"/>
  <c r="S479" i="4"/>
  <c r="S458" i="4"/>
  <c r="S437" i="4"/>
  <c r="S415" i="4"/>
  <c r="S373" i="4"/>
  <c r="S309" i="4"/>
  <c r="S245" i="4"/>
  <c r="S451" i="4"/>
  <c r="S430" i="4"/>
  <c r="S409" i="4"/>
  <c r="S353" i="4"/>
  <c r="S289" i="4"/>
  <c r="S637" i="4"/>
  <c r="S621" i="4"/>
  <c r="S605" i="4"/>
  <c r="S589" i="4"/>
  <c r="S573" i="4"/>
  <c r="S551" i="4"/>
  <c r="S530" i="4"/>
  <c r="S509" i="4"/>
  <c r="S487" i="4"/>
  <c r="S466" i="4"/>
  <c r="S445" i="4"/>
  <c r="S423" i="4"/>
  <c r="S397" i="4"/>
  <c r="S317" i="4"/>
  <c r="S237" i="4"/>
  <c r="S556" i="4"/>
  <c r="S528" i="4"/>
  <c r="S504" i="4"/>
  <c r="S476" i="4"/>
  <c r="S444" i="4"/>
  <c r="S416" i="4"/>
  <c r="S392" i="4"/>
  <c r="S360" i="4"/>
  <c r="S332" i="4"/>
  <c r="S304" i="4"/>
  <c r="S264" i="4"/>
  <c r="S399" i="4"/>
  <c r="S363" i="4"/>
  <c r="S279" i="4"/>
  <c r="S366" i="4"/>
  <c r="S302" i="4"/>
  <c r="S903" i="4"/>
  <c r="S1038" i="4"/>
  <c r="S1110" i="4"/>
  <c r="S807" i="4"/>
  <c r="S755" i="4"/>
  <c r="S515" i="4"/>
  <c r="S740" i="4"/>
  <c r="S724" i="4"/>
  <c r="S708" i="4"/>
  <c r="S692" i="4"/>
  <c r="S676" i="4"/>
  <c r="S660" i="4"/>
  <c r="S644" i="4"/>
  <c r="S628" i="4"/>
  <c r="S612" i="4"/>
  <c r="S596" i="4"/>
  <c r="S580" i="4"/>
  <c r="S561" i="4"/>
  <c r="S539" i="4"/>
  <c r="S518" i="4"/>
  <c r="S497" i="4"/>
  <c r="S475" i="4"/>
  <c r="S454" i="4"/>
  <c r="S433" i="4"/>
  <c r="S411" i="4"/>
  <c r="S361" i="4"/>
  <c r="S297" i="4"/>
  <c r="S747" i="4"/>
  <c r="S731" i="4"/>
  <c r="S715" i="4"/>
  <c r="S699" i="4"/>
  <c r="S683" i="4"/>
  <c r="S667" i="4"/>
  <c r="S651" i="4"/>
  <c r="S635" i="4"/>
  <c r="S619" i="4"/>
  <c r="S603" i="4"/>
  <c r="S587" i="4"/>
  <c r="S570" i="4"/>
  <c r="S549" i="4"/>
  <c r="S527" i="4"/>
  <c r="S506" i="4"/>
  <c r="S485" i="4"/>
  <c r="S463" i="4"/>
  <c r="S442" i="4"/>
  <c r="S421" i="4"/>
  <c r="S389" i="4"/>
  <c r="S325" i="4"/>
  <c r="S261" i="4"/>
  <c r="S457" i="4"/>
  <c r="S435" i="4"/>
  <c r="S414" i="4"/>
  <c r="S369" i="4"/>
  <c r="S305" i="4"/>
  <c r="S241" i="4"/>
  <c r="S625" i="4"/>
  <c r="S609" i="4"/>
  <c r="S593" i="4"/>
  <c r="S577" i="4"/>
  <c r="S557" i="4"/>
  <c r="S535" i="4"/>
  <c r="S514" i="4"/>
  <c r="S493" i="4"/>
  <c r="S471" i="4"/>
  <c r="S450" i="4"/>
  <c r="S429" i="4"/>
  <c r="S407" i="4"/>
  <c r="S349" i="4"/>
  <c r="S253" i="4"/>
  <c r="S560" i="4"/>
  <c r="S540" i="4"/>
  <c r="S508" i="4"/>
  <c r="S480" i="4"/>
  <c r="S456" i="4"/>
  <c r="S424" i="4"/>
  <c r="S396" i="4"/>
  <c r="S368" i="4"/>
  <c r="S336" i="4"/>
  <c r="S312" i="4"/>
  <c r="S280" i="4"/>
  <c r="S240" i="4"/>
  <c r="S367" i="4"/>
  <c r="S303" i="4"/>
  <c r="S386" i="4"/>
  <c r="S318" i="4"/>
  <c r="S238" i="4"/>
  <c r="S1054" i="4"/>
  <c r="S967" i="4"/>
  <c r="S1078" i="4"/>
  <c r="S1030" i="4"/>
  <c r="S714" i="4"/>
  <c r="S795" i="4"/>
  <c r="S859" i="4"/>
  <c r="S923" i="4"/>
  <c r="S987" i="4"/>
  <c r="S1023" i="4"/>
  <c r="S1055" i="4"/>
  <c r="S1087" i="4"/>
  <c r="S1119" i="4"/>
  <c r="S1151" i="4"/>
  <c r="S1183" i="4"/>
  <c r="S1215" i="4"/>
  <c r="S751" i="4"/>
  <c r="S815" i="4"/>
  <c r="S879" i="4"/>
  <c r="S943" i="4"/>
  <c r="S1002" i="4"/>
  <c r="S1034" i="4"/>
  <c r="S1066" i="4"/>
  <c r="S1098" i="4"/>
  <c r="S1130" i="4"/>
  <c r="S1162" i="4"/>
  <c r="S1194" i="4"/>
  <c r="S1226" i="4"/>
  <c r="S1217" i="4"/>
  <c r="S1201" i="4"/>
  <c r="S1185" i="4"/>
  <c r="S1169" i="4"/>
  <c r="S1153" i="4"/>
  <c r="S1137" i="4"/>
  <c r="S1121" i="4"/>
  <c r="S1105" i="4"/>
  <c r="S1089" i="4"/>
  <c r="S1073" i="4"/>
  <c r="S1057" i="4"/>
  <c r="S1041" i="4"/>
  <c r="S1025" i="4"/>
  <c r="S1009" i="4"/>
  <c r="S993" i="4"/>
  <c r="S977" i="4"/>
  <c r="S961" i="4"/>
  <c r="S945" i="4"/>
  <c r="S929" i="4"/>
  <c r="S913" i="4"/>
  <c r="S897" i="4"/>
  <c r="S881" i="4"/>
  <c r="S865" i="4"/>
  <c r="S849" i="4"/>
  <c r="S833" i="4"/>
  <c r="S817" i="4"/>
  <c r="S801" i="4"/>
  <c r="S785" i="4"/>
  <c r="S769" i="4"/>
  <c r="S753" i="4"/>
  <c r="S726" i="4"/>
  <c r="S694" i="4"/>
  <c r="S662" i="4"/>
  <c r="S622" i="4"/>
  <c r="S553" i="4"/>
  <c r="S1232" i="4"/>
  <c r="S1216" i="4"/>
  <c r="S1200" i="4"/>
  <c r="S1184" i="4"/>
  <c r="S1168" i="4"/>
  <c r="S1152" i="4"/>
  <c r="S1136" i="4"/>
  <c r="S1120" i="4"/>
  <c r="S1104" i="4"/>
  <c r="S1088" i="4"/>
  <c r="S1072" i="4"/>
  <c r="S1056" i="4"/>
  <c r="S1040" i="4"/>
  <c r="S1024" i="4"/>
  <c r="S1008" i="4"/>
  <c r="S992" i="4"/>
  <c r="S976" i="4"/>
  <c r="S960" i="4"/>
  <c r="S944" i="4"/>
  <c r="S928" i="4"/>
  <c r="S912" i="4"/>
  <c r="S896" i="4"/>
  <c r="S880" i="4"/>
  <c r="S864" i="4"/>
  <c r="S848" i="4"/>
  <c r="S832" i="4"/>
  <c r="S816" i="4"/>
  <c r="S800" i="4"/>
  <c r="S784" i="4"/>
  <c r="S768" i="4"/>
  <c r="S752" i="4"/>
  <c r="S725" i="4"/>
  <c r="S693" i="4"/>
  <c r="S661" i="4"/>
  <c r="S618" i="4"/>
  <c r="S547" i="4"/>
  <c r="S690" i="4"/>
  <c r="S658" i="4"/>
  <c r="S614" i="4"/>
  <c r="S542" i="4"/>
  <c r="S994" i="4"/>
  <c r="S978" i="4"/>
  <c r="S962" i="4"/>
  <c r="S946" i="4"/>
  <c r="S930" i="4"/>
  <c r="S914" i="4"/>
  <c r="S898" i="4"/>
  <c r="S882" i="4"/>
  <c r="S866" i="4"/>
  <c r="S850" i="4"/>
  <c r="S834" i="4"/>
  <c r="S818" i="4"/>
  <c r="S802" i="4"/>
  <c r="S786" i="4"/>
  <c r="S770" i="4"/>
  <c r="S754" i="4"/>
  <c r="S729" i="4"/>
  <c r="S697" i="4"/>
  <c r="S665" i="4"/>
  <c r="S626" i="4"/>
  <c r="S558" i="4"/>
  <c r="S473" i="4"/>
  <c r="S732" i="4"/>
  <c r="S716" i="4"/>
  <c r="S700" i="4"/>
  <c r="S684" i="4"/>
  <c r="S668" i="4"/>
  <c r="S652" i="4"/>
  <c r="S636" i="4"/>
  <c r="S620" i="4"/>
  <c r="S604" i="4"/>
  <c r="S588" i="4"/>
  <c r="S571" i="4"/>
  <c r="S550" i="4"/>
  <c r="S529" i="4"/>
  <c r="S507" i="4"/>
  <c r="S486" i="4"/>
  <c r="S465" i="4"/>
  <c r="S443" i="4"/>
  <c r="S422" i="4"/>
  <c r="S393" i="4"/>
  <c r="S329" i="4"/>
  <c r="S265" i="4"/>
  <c r="S739" i="4"/>
  <c r="S723" i="4"/>
  <c r="S707" i="4"/>
  <c r="S691" i="4"/>
  <c r="S675" i="4"/>
  <c r="S659" i="4"/>
  <c r="S643" i="4"/>
  <c r="S627" i="4"/>
  <c r="S611" i="4"/>
  <c r="S595" i="4"/>
  <c r="S579" i="4"/>
  <c r="S559" i="4"/>
  <c r="S538" i="4"/>
  <c r="S517" i="4"/>
  <c r="S495" i="4"/>
  <c r="S474" i="4"/>
  <c r="S453" i="4"/>
  <c r="S431" i="4"/>
  <c r="S410" i="4"/>
  <c r="S357" i="4"/>
  <c r="S293" i="4"/>
  <c r="S467" i="4"/>
  <c r="S446" i="4"/>
  <c r="S425" i="4"/>
  <c r="S401" i="4"/>
  <c r="S337" i="4"/>
  <c r="S273" i="4"/>
  <c r="S633" i="4"/>
  <c r="S617" i="4"/>
  <c r="S601" i="4"/>
  <c r="S585" i="4"/>
  <c r="S567" i="4"/>
  <c r="S546" i="4"/>
  <c r="S525" i="4"/>
  <c r="S503" i="4"/>
  <c r="S482" i="4"/>
  <c r="S461" i="4"/>
  <c r="S439" i="4"/>
  <c r="S418" i="4"/>
  <c r="S381" i="4"/>
  <c r="S301" i="4"/>
  <c r="S572" i="4"/>
  <c r="S548" i="4"/>
  <c r="S524" i="4"/>
  <c r="S496" i="4"/>
  <c r="S464" i="4"/>
  <c r="S440" i="4"/>
  <c r="S412" i="4"/>
  <c r="S380" i="4"/>
  <c r="S352" i="4"/>
  <c r="S328" i="4"/>
  <c r="S296" i="4"/>
  <c r="S260" i="4"/>
  <c r="S391" i="4"/>
  <c r="S327" i="4"/>
  <c r="S263" i="4"/>
  <c r="S358" i="4"/>
  <c r="S274" i="4"/>
  <c r="S1059" i="4"/>
  <c r="S951" i="4"/>
  <c r="S1214" i="4"/>
  <c r="S963" i="4"/>
  <c r="S1094" i="4"/>
  <c r="S333" i="4"/>
  <c r="S269" i="4"/>
  <c r="S568" i="4"/>
  <c r="S552" i="4"/>
  <c r="S536" i="4"/>
  <c r="S512" i="4"/>
  <c r="S492" i="4"/>
  <c r="S472" i="4"/>
  <c r="S448" i="4"/>
  <c r="S428" i="4"/>
  <c r="S408" i="4"/>
  <c r="S384" i="4"/>
  <c r="S364" i="4"/>
  <c r="S344" i="4"/>
  <c r="S320" i="4"/>
  <c r="S300" i="4"/>
  <c r="S276" i="4"/>
  <c r="S244" i="4"/>
  <c r="S383" i="4"/>
  <c r="S347" i="4"/>
  <c r="S283" i="4"/>
  <c r="S402" i="4"/>
  <c r="S342" i="4"/>
  <c r="S278" i="4"/>
  <c r="S730" i="4"/>
  <c r="S1139" i="4"/>
  <c r="S791" i="4"/>
  <c r="S1131" i="4"/>
  <c r="S1190" i="4"/>
  <c r="S839" i="4"/>
  <c r="S1118" i="4"/>
  <c r="S532" i="4"/>
  <c r="S516" i="4"/>
  <c r="S500" i="4"/>
  <c r="S484" i="4"/>
  <c r="S468" i="4"/>
  <c r="S452" i="4"/>
  <c r="S436" i="4"/>
  <c r="S420" i="4"/>
  <c r="S404" i="4"/>
  <c r="S388" i="4"/>
  <c r="S372" i="4"/>
  <c r="S356" i="4"/>
  <c r="S340" i="4"/>
  <c r="S324" i="4"/>
  <c r="S308" i="4"/>
  <c r="S292" i="4"/>
  <c r="S272" i="4"/>
  <c r="S248" i="4"/>
  <c r="S395" i="4"/>
  <c r="S375" i="4"/>
  <c r="S343" i="4"/>
  <c r="S299" i="4"/>
  <c r="S255" i="4"/>
  <c r="S382" i="4"/>
  <c r="S338" i="4"/>
  <c r="S294" i="4"/>
  <c r="S254" i="4"/>
  <c r="S947" i="4"/>
  <c r="S1171" i="4"/>
  <c r="S919" i="4"/>
  <c r="S1011" i="4"/>
  <c r="S787" i="4"/>
  <c r="S1222" i="4"/>
  <c r="S1142" i="4"/>
  <c r="S899" i="4"/>
  <c r="S771" i="4"/>
  <c r="S1158" i="4"/>
  <c r="S359" i="4"/>
  <c r="S335" i="4"/>
  <c r="S315" i="4"/>
  <c r="S295" i="4"/>
  <c r="S271" i="4"/>
  <c r="S251" i="4"/>
  <c r="S398" i="4"/>
  <c r="S374" i="4"/>
  <c r="S354" i="4"/>
  <c r="S334" i="4"/>
  <c r="S310" i="4"/>
  <c r="S290" i="4"/>
  <c r="S270" i="4"/>
  <c r="S246" i="4"/>
  <c r="S775" i="4"/>
  <c r="S995" i="4"/>
  <c r="S1107" i="4"/>
  <c r="S1187" i="4"/>
  <c r="S1022" i="4"/>
  <c r="S855" i="4"/>
  <c r="S803" i="4"/>
  <c r="S1043" i="4"/>
  <c r="S1174" i="4"/>
  <c r="S871" i="4"/>
  <c r="S1102" i="4"/>
  <c r="S236" i="4"/>
  <c r="S1019" i="4"/>
  <c r="S1166" i="4"/>
  <c r="S1182" i="4"/>
  <c r="S979" i="4"/>
  <c r="S1147" i="4"/>
  <c r="S998" i="4"/>
  <c r="S351" i="4"/>
  <c r="S331" i="4"/>
  <c r="S311" i="4"/>
  <c r="S287" i="4"/>
  <c r="S267" i="4"/>
  <c r="S247" i="4"/>
  <c r="S390" i="4"/>
  <c r="S370" i="4"/>
  <c r="S350" i="4"/>
  <c r="S326" i="4"/>
  <c r="S306" i="4"/>
  <c r="S286" i="4"/>
  <c r="S262" i="4"/>
  <c r="S242" i="4"/>
  <c r="S819" i="4"/>
  <c r="S1035" i="4"/>
  <c r="S1123" i="4"/>
  <c r="S1203" i="4"/>
  <c r="S983" i="4"/>
  <c r="S823" i="4"/>
  <c r="S851" i="4"/>
  <c r="S1086" i="4"/>
  <c r="S1195" i="4"/>
  <c r="S935" i="4"/>
  <c r="S1163" i="4"/>
  <c r="S698" i="4"/>
  <c r="S1051" i="4"/>
  <c r="S1227" i="4"/>
  <c r="S1027" i="4"/>
  <c r="S1206" i="4"/>
  <c r="S1070" i="4"/>
  <c r="S284" i="4"/>
  <c r="S268" i="4"/>
  <c r="S252" i="4"/>
  <c r="S403" i="4"/>
  <c r="S387" i="4"/>
  <c r="S371" i="4"/>
  <c r="S355" i="4"/>
  <c r="S339" i="4"/>
  <c r="S323" i="4"/>
  <c r="S307" i="4"/>
  <c r="S291" i="4"/>
  <c r="S275" i="4"/>
  <c r="S259" i="4"/>
  <c r="S243" i="4"/>
  <c r="S394" i="4"/>
  <c r="S378" i="4"/>
  <c r="S362" i="4"/>
  <c r="S346" i="4"/>
  <c r="S330" i="4"/>
  <c r="S314" i="4"/>
  <c r="S298" i="4"/>
  <c r="S282" i="4"/>
  <c r="S266" i="4"/>
  <c r="S250" i="4"/>
  <c r="S234" i="4"/>
  <c r="S867" i="4"/>
  <c r="S1014" i="4"/>
  <c r="S1091" i="4"/>
  <c r="S1155" i="4"/>
  <c r="S1219" i="4"/>
  <c r="S1006" i="4"/>
  <c r="S887" i="4"/>
  <c r="S759" i="4"/>
  <c r="S915" i="4"/>
  <c r="S1067" i="4"/>
  <c r="S1150" i="4"/>
  <c r="S239" i="4"/>
  <c r="S1003" i="4"/>
  <c r="S1134" i="4"/>
  <c r="S1099" i="4"/>
  <c r="S883" i="4"/>
  <c r="S1083" i="4"/>
  <c r="S1198" i="4"/>
  <c r="S1126" i="4"/>
  <c r="S835" i="4"/>
  <c r="S1062" i="4"/>
  <c r="S1179" i="4"/>
  <c r="S931" i="4"/>
  <c r="S1211" i="4"/>
  <c r="Y126" i="4"/>
  <c r="Y130" i="4"/>
  <c r="Y134" i="4"/>
  <c r="Y138" i="4"/>
  <c r="Y142" i="4"/>
  <c r="Y146" i="4"/>
  <c r="Y150" i="4"/>
  <c r="Y154" i="4"/>
  <c r="Y158" i="4"/>
  <c r="Y162" i="4"/>
  <c r="Y166" i="4"/>
  <c r="Y170" i="4"/>
  <c r="Y174" i="4"/>
  <c r="Y178" i="4"/>
  <c r="Y182" i="4"/>
  <c r="Y186" i="4"/>
  <c r="Y190" i="4"/>
  <c r="Y193" i="4"/>
  <c r="Y195" i="4"/>
  <c r="Y197" i="4"/>
  <c r="Y199" i="4"/>
  <c r="Y201" i="4"/>
  <c r="Y204" i="4"/>
  <c r="Y209" i="4"/>
  <c r="Y125" i="4"/>
  <c r="Y137" i="4"/>
  <c r="Y141" i="4"/>
  <c r="Y127" i="4"/>
  <c r="Y131" i="4"/>
  <c r="Y135" i="4"/>
  <c r="Y139" i="4"/>
  <c r="Y143" i="4"/>
  <c r="Y147" i="4"/>
  <c r="Y151" i="4"/>
  <c r="Y155" i="4"/>
  <c r="Y159" i="4"/>
  <c r="Y163" i="4"/>
  <c r="Y167" i="4"/>
  <c r="Y171" i="4"/>
  <c r="Y175" i="4"/>
  <c r="Y179" i="4"/>
  <c r="Y183" i="4"/>
  <c r="Y187" i="4"/>
  <c r="Y191" i="4"/>
  <c r="Y202" i="4"/>
  <c r="Y207" i="4"/>
  <c r="Y210" i="4"/>
  <c r="Y212" i="4"/>
  <c r="Y214" i="4"/>
  <c r="Y216" i="4"/>
  <c r="Y218" i="4"/>
  <c r="Y220" i="4"/>
  <c r="Y222" i="4"/>
  <c r="Y224" i="4"/>
  <c r="Y133" i="4"/>
  <c r="Y153" i="4"/>
  <c r="Y128" i="4"/>
  <c r="Y132" i="4"/>
  <c r="Y136" i="4"/>
  <c r="Y140" i="4"/>
  <c r="Y144" i="4"/>
  <c r="Y148" i="4"/>
  <c r="Y152" i="4"/>
  <c r="Y156" i="4"/>
  <c r="Y160" i="4"/>
  <c r="Y164" i="4"/>
  <c r="Y168" i="4"/>
  <c r="Y172" i="4"/>
  <c r="Y176" i="4"/>
  <c r="Y180" i="4"/>
  <c r="Y184" i="4"/>
  <c r="Y188" i="4"/>
  <c r="Y192" i="4"/>
  <c r="Y194" i="4"/>
  <c r="Y196" i="4"/>
  <c r="Y198" i="4"/>
  <c r="Y200" i="4"/>
  <c r="Y205" i="4"/>
  <c r="Y208" i="4"/>
  <c r="Y129" i="4"/>
  <c r="Y149" i="4"/>
  <c r="Y145" i="4"/>
  <c r="Y169" i="4"/>
  <c r="Y185" i="4"/>
  <c r="Y206" i="4"/>
  <c r="Y215" i="4"/>
  <c r="Y223" i="4"/>
  <c r="Y157" i="4"/>
  <c r="Y173" i="4"/>
  <c r="Y189" i="4"/>
  <c r="Y217" i="4"/>
  <c r="Y161" i="4"/>
  <c r="Y177" i="4"/>
  <c r="Y211" i="4"/>
  <c r="Y219" i="4"/>
  <c r="Y165" i="4"/>
  <c r="Y181" i="4"/>
  <c r="Y203" i="4"/>
  <c r="Y213" i="4"/>
  <c r="Y221" i="4"/>
  <c r="Y11" i="4"/>
  <c r="Y15" i="4"/>
  <c r="Y19" i="4"/>
  <c r="Y23" i="4"/>
  <c r="Y27" i="4"/>
  <c r="Y31" i="4"/>
  <c r="Y35" i="4"/>
  <c r="Y39" i="4"/>
  <c r="Y43" i="4"/>
  <c r="Y47" i="4"/>
  <c r="Y51" i="4"/>
  <c r="Y55" i="4"/>
  <c r="Y59" i="4"/>
  <c r="Y63" i="4"/>
  <c r="Y67" i="4"/>
  <c r="Y71" i="4"/>
  <c r="Y75" i="4"/>
  <c r="Y79" i="4"/>
  <c r="Y83" i="4"/>
  <c r="Y87" i="4"/>
  <c r="Y91" i="4"/>
  <c r="Y95" i="4"/>
  <c r="Y99" i="4"/>
  <c r="Y103" i="4"/>
  <c r="Y107" i="4"/>
  <c r="Y22" i="4"/>
  <c r="Y30" i="4"/>
  <c r="Y46" i="4"/>
  <c r="Y58" i="4"/>
  <c r="Y70" i="4"/>
  <c r="Y82" i="4"/>
  <c r="Y94" i="4"/>
  <c r="Y106" i="4"/>
  <c r="Y12" i="4"/>
  <c r="Y16" i="4"/>
  <c r="Y20" i="4"/>
  <c r="Y24" i="4"/>
  <c r="Y28" i="4"/>
  <c r="Y32" i="4"/>
  <c r="Y36" i="4"/>
  <c r="Y40" i="4"/>
  <c r="Y44" i="4"/>
  <c r="Y48" i="4"/>
  <c r="Y52" i="4"/>
  <c r="Y56" i="4"/>
  <c r="Y60" i="4"/>
  <c r="Y64" i="4"/>
  <c r="Y68" i="4"/>
  <c r="Y72" i="4"/>
  <c r="Y76" i="4"/>
  <c r="Y80" i="4"/>
  <c r="Y84" i="4"/>
  <c r="Y88" i="4"/>
  <c r="Y92" i="4"/>
  <c r="Y96" i="4"/>
  <c r="Y100" i="4"/>
  <c r="Y104" i="4"/>
  <c r="Y108" i="4"/>
  <c r="Y18" i="4"/>
  <c r="Y26" i="4"/>
  <c r="Y38" i="4"/>
  <c r="Y42" i="4"/>
  <c r="Y54" i="4"/>
  <c r="Y66" i="4"/>
  <c r="Y74" i="4"/>
  <c r="Y90" i="4"/>
  <c r="Y98" i="4"/>
  <c r="Y10" i="4"/>
  <c r="Y13" i="4"/>
  <c r="Y17" i="4"/>
  <c r="Y21" i="4"/>
  <c r="Y25" i="4"/>
  <c r="Y29" i="4"/>
  <c r="Y33" i="4"/>
  <c r="Y37" i="4"/>
  <c r="Y41" i="4"/>
  <c r="Y45" i="4"/>
  <c r="Y49" i="4"/>
  <c r="Y53" i="4"/>
  <c r="Y57" i="4"/>
  <c r="Y61" i="4"/>
  <c r="Y65" i="4"/>
  <c r="Y69" i="4"/>
  <c r="Y73" i="4"/>
  <c r="Y77" i="4"/>
  <c r="Y81" i="4"/>
  <c r="Y85" i="4"/>
  <c r="Y89" i="4"/>
  <c r="Y93" i="4"/>
  <c r="Y97" i="4"/>
  <c r="Y101" i="4"/>
  <c r="Y105" i="4"/>
  <c r="Y109" i="4"/>
  <c r="Y14" i="4"/>
  <c r="Y34" i="4"/>
  <c r="Y50" i="4"/>
  <c r="Y62" i="4"/>
  <c r="Y78" i="4"/>
  <c r="Y86" i="4"/>
  <c r="Y102" i="4"/>
  <c r="X181" i="4" l="1"/>
  <c r="V181" i="4"/>
  <c r="W181" i="4"/>
  <c r="W206" i="4"/>
  <c r="X206" i="4"/>
  <c r="V206" i="4"/>
  <c r="X192" i="4"/>
  <c r="V192" i="4"/>
  <c r="W192" i="4"/>
  <c r="X144" i="4"/>
  <c r="W144" i="4"/>
  <c r="V144" i="4"/>
  <c r="W165" i="4"/>
  <c r="V165" i="4"/>
  <c r="X165" i="4"/>
  <c r="W157" i="4"/>
  <c r="X157" i="4"/>
  <c r="V157" i="4"/>
  <c r="W185" i="4"/>
  <c r="X185" i="4"/>
  <c r="V185" i="4"/>
  <c r="V198" i="4"/>
  <c r="W198" i="4"/>
  <c r="X198" i="4"/>
  <c r="W172" i="4"/>
  <c r="V172" i="4"/>
  <c r="X172" i="4"/>
  <c r="W140" i="4"/>
  <c r="V140" i="4"/>
  <c r="X140" i="4"/>
  <c r="W220" i="4"/>
  <c r="V220" i="4"/>
  <c r="X220" i="4"/>
  <c r="X191" i="4"/>
  <c r="V191" i="4"/>
  <c r="W191" i="4"/>
  <c r="X159" i="4"/>
  <c r="V159" i="4"/>
  <c r="W159" i="4"/>
  <c r="X127" i="4"/>
  <c r="V127" i="4"/>
  <c r="W127" i="4"/>
  <c r="V197" i="4"/>
  <c r="W197" i="4"/>
  <c r="X197" i="4"/>
  <c r="W170" i="4"/>
  <c r="V170" i="4"/>
  <c r="X170" i="4"/>
  <c r="W138" i="4"/>
  <c r="V138" i="4"/>
  <c r="X138" i="4"/>
  <c r="W213" i="4"/>
  <c r="V213" i="4"/>
  <c r="X213" i="4"/>
  <c r="W219" i="4"/>
  <c r="V219" i="4"/>
  <c r="X219" i="4"/>
  <c r="W217" i="4"/>
  <c r="V217" i="4"/>
  <c r="X217" i="4"/>
  <c r="W223" i="4"/>
  <c r="V223" i="4"/>
  <c r="X223" i="4"/>
  <c r="V169" i="4"/>
  <c r="W169" i="4"/>
  <c r="X169" i="4"/>
  <c r="W208" i="4"/>
  <c r="X208" i="4"/>
  <c r="V208" i="4"/>
  <c r="V196" i="4"/>
  <c r="W196" i="4"/>
  <c r="X196" i="4"/>
  <c r="V184" i="4"/>
  <c r="X184" i="4"/>
  <c r="W184" i="4"/>
  <c r="V168" i="4"/>
  <c r="W168" i="4"/>
  <c r="X168" i="4"/>
  <c r="V152" i="4"/>
  <c r="X152" i="4"/>
  <c r="W152" i="4"/>
  <c r="V136" i="4"/>
  <c r="W136" i="4"/>
  <c r="X136" i="4"/>
  <c r="V133" i="4"/>
  <c r="X133" i="4"/>
  <c r="W133" i="4"/>
  <c r="W218" i="4"/>
  <c r="V218" i="4"/>
  <c r="X218" i="4"/>
  <c r="W210" i="4"/>
  <c r="X210" i="4"/>
  <c r="V210" i="4"/>
  <c r="V187" i="4"/>
  <c r="W187" i="4"/>
  <c r="X187" i="4"/>
  <c r="W171" i="4"/>
  <c r="X171" i="4"/>
  <c r="V171" i="4"/>
  <c r="V155" i="4"/>
  <c r="W155" i="4"/>
  <c r="X155" i="4"/>
  <c r="W139" i="4"/>
  <c r="X139" i="4"/>
  <c r="V139" i="4"/>
  <c r="X141" i="4"/>
  <c r="V141" i="4"/>
  <c r="W141" i="4"/>
  <c r="V204" i="4"/>
  <c r="W204" i="4"/>
  <c r="X204" i="4"/>
  <c r="V195" i="4"/>
  <c r="X195" i="4"/>
  <c r="W195" i="4"/>
  <c r="V182" i="4"/>
  <c r="X182" i="4"/>
  <c r="W182" i="4"/>
  <c r="V166" i="4"/>
  <c r="W166" i="4"/>
  <c r="X166" i="4"/>
  <c r="V150" i="4"/>
  <c r="X150" i="4"/>
  <c r="W150" i="4"/>
  <c r="V134" i="4"/>
  <c r="W134" i="4"/>
  <c r="X134" i="4"/>
  <c r="V177" i="4"/>
  <c r="X177" i="4"/>
  <c r="W177" i="4"/>
  <c r="X149" i="4"/>
  <c r="V149" i="4"/>
  <c r="W149" i="4"/>
  <c r="X160" i="4"/>
  <c r="V160" i="4"/>
  <c r="W160" i="4"/>
  <c r="W221" i="4"/>
  <c r="V221" i="4"/>
  <c r="X221" i="4"/>
  <c r="W161" i="4"/>
  <c r="X161" i="4"/>
  <c r="V161" i="4"/>
  <c r="V129" i="4"/>
  <c r="W129" i="4"/>
  <c r="X129" i="4"/>
  <c r="V188" i="4"/>
  <c r="W188" i="4"/>
  <c r="X188" i="4"/>
  <c r="X156" i="4"/>
  <c r="V156" i="4"/>
  <c r="W156" i="4"/>
  <c r="X153" i="4"/>
  <c r="V153" i="4"/>
  <c r="W153" i="4"/>
  <c r="W212" i="4"/>
  <c r="V212" i="4"/>
  <c r="X212" i="4"/>
  <c r="X175" i="4"/>
  <c r="V175" i="4"/>
  <c r="W175" i="4"/>
  <c r="X143" i="4"/>
  <c r="V143" i="4"/>
  <c r="W143" i="4"/>
  <c r="V209" i="4"/>
  <c r="W209" i="4"/>
  <c r="X209" i="4"/>
  <c r="X186" i="4"/>
  <c r="V186" i="4"/>
  <c r="W186" i="4"/>
  <c r="X154" i="4"/>
  <c r="V154" i="4"/>
  <c r="W154" i="4"/>
  <c r="V203" i="4"/>
  <c r="W203" i="4"/>
  <c r="X203" i="4"/>
  <c r="W211" i="4"/>
  <c r="V211" i="4"/>
  <c r="X211" i="4"/>
  <c r="V189" i="4"/>
  <c r="W189" i="4"/>
  <c r="X189" i="4"/>
  <c r="W215" i="4"/>
  <c r="V215" i="4"/>
  <c r="X215" i="4"/>
  <c r="X145" i="4"/>
  <c r="V145" i="4"/>
  <c r="W145" i="4"/>
  <c r="V205" i="4"/>
  <c r="W205" i="4"/>
  <c r="X205" i="4"/>
  <c r="V194" i="4"/>
  <c r="W194" i="4"/>
  <c r="X194" i="4"/>
  <c r="W180" i="4"/>
  <c r="V180" i="4"/>
  <c r="X180" i="4"/>
  <c r="W164" i="4"/>
  <c r="V164" i="4"/>
  <c r="X164" i="4"/>
  <c r="W148" i="4"/>
  <c r="X148" i="4"/>
  <c r="V148" i="4"/>
  <c r="W132" i="4"/>
  <c r="V132" i="4"/>
  <c r="X132" i="4"/>
  <c r="W224" i="4"/>
  <c r="V224" i="4"/>
  <c r="X224" i="4"/>
  <c r="W216" i="4"/>
  <c r="V216" i="4"/>
  <c r="X216" i="4"/>
  <c r="V207" i="4"/>
  <c r="W207" i="4"/>
  <c r="X207" i="4"/>
  <c r="V183" i="4"/>
  <c r="X183" i="4"/>
  <c r="W183" i="4"/>
  <c r="V167" i="4"/>
  <c r="W167" i="4"/>
  <c r="X167" i="4"/>
  <c r="V151" i="4"/>
  <c r="X151" i="4"/>
  <c r="W151" i="4"/>
  <c r="V135" i="4"/>
  <c r="W135" i="4"/>
  <c r="X135" i="4"/>
  <c r="V137" i="4"/>
  <c r="W137" i="4"/>
  <c r="X137" i="4"/>
  <c r="V201" i="4"/>
  <c r="W201" i="4"/>
  <c r="X201" i="4"/>
  <c r="V193" i="4"/>
  <c r="W193" i="4"/>
  <c r="X193" i="4"/>
  <c r="W178" i="4"/>
  <c r="X178" i="4"/>
  <c r="V178" i="4"/>
  <c r="W162" i="4"/>
  <c r="V162" i="4"/>
  <c r="X162" i="4"/>
  <c r="W146" i="4"/>
  <c r="X146" i="4"/>
  <c r="V146" i="4"/>
  <c r="W130" i="4"/>
  <c r="V130" i="4"/>
  <c r="X130" i="4"/>
  <c r="V173" i="4"/>
  <c r="X173" i="4"/>
  <c r="W173" i="4"/>
  <c r="V200" i="4"/>
  <c r="X200" i="4"/>
  <c r="W200" i="4"/>
  <c r="X176" i="4"/>
  <c r="W176" i="4"/>
  <c r="V176" i="4"/>
  <c r="X128" i="4"/>
  <c r="V128" i="4"/>
  <c r="W128" i="4"/>
  <c r="W222" i="4"/>
  <c r="V222" i="4"/>
  <c r="X222" i="4"/>
  <c r="W214" i="4"/>
  <c r="V214" i="4"/>
  <c r="X214" i="4"/>
  <c r="W202" i="4"/>
  <c r="X202" i="4"/>
  <c r="V202" i="4"/>
  <c r="W179" i="4"/>
  <c r="V179" i="4"/>
  <c r="X179" i="4"/>
  <c r="W163" i="4"/>
  <c r="X163" i="4"/>
  <c r="V163" i="4"/>
  <c r="W147" i="4"/>
  <c r="V147" i="4"/>
  <c r="X147" i="4"/>
  <c r="W131" i="4"/>
  <c r="X131" i="4"/>
  <c r="V131" i="4"/>
  <c r="X125" i="4"/>
  <c r="W125" i="4"/>
  <c r="V125" i="4"/>
  <c r="V199" i="4"/>
  <c r="W199" i="4"/>
  <c r="X199" i="4"/>
  <c r="X190" i="4"/>
  <c r="V190" i="4"/>
  <c r="W190" i="4"/>
  <c r="X174" i="4"/>
  <c r="W174" i="4"/>
  <c r="V174" i="4"/>
  <c r="X158" i="4"/>
  <c r="V158" i="4"/>
  <c r="W158" i="4"/>
  <c r="X142" i="4"/>
  <c r="W142" i="4"/>
  <c r="V142" i="4"/>
  <c r="X126" i="4"/>
  <c r="V126" i="4"/>
  <c r="W126" i="4"/>
  <c r="V10" i="4"/>
  <c r="W50" i="4"/>
  <c r="V50" i="4"/>
  <c r="X50" i="4"/>
  <c r="V73" i="4"/>
  <c r="W73" i="4"/>
  <c r="X73" i="4"/>
  <c r="V25" i="4"/>
  <c r="W25" i="4"/>
  <c r="X25" i="4"/>
  <c r="W10" i="4"/>
  <c r="X10" i="4"/>
  <c r="V100" i="4"/>
  <c r="W100" i="4"/>
  <c r="X100" i="4"/>
  <c r="V68" i="4"/>
  <c r="W68" i="4"/>
  <c r="X68" i="4"/>
  <c r="V20" i="4"/>
  <c r="W20" i="4"/>
  <c r="X20" i="4"/>
  <c r="W46" i="4"/>
  <c r="V46" i="4"/>
  <c r="X46" i="4"/>
  <c r="X71" i="4"/>
  <c r="V71" i="4"/>
  <c r="W71" i="4"/>
  <c r="X55" i="4"/>
  <c r="V55" i="4"/>
  <c r="W55" i="4"/>
  <c r="X39" i="4"/>
  <c r="V39" i="4"/>
  <c r="W39" i="4"/>
  <c r="X23" i="4"/>
  <c r="V23" i="4"/>
  <c r="W23" i="4"/>
  <c r="W86" i="4"/>
  <c r="V86" i="4"/>
  <c r="X86" i="4"/>
  <c r="W34" i="4"/>
  <c r="V34" i="4"/>
  <c r="X34" i="4"/>
  <c r="W101" i="4"/>
  <c r="X101" i="4"/>
  <c r="V101" i="4"/>
  <c r="V85" i="4"/>
  <c r="W85" i="4"/>
  <c r="X85" i="4"/>
  <c r="V69" i="4"/>
  <c r="W69" i="4"/>
  <c r="X69" i="4"/>
  <c r="V53" i="4"/>
  <c r="W53" i="4"/>
  <c r="X53" i="4"/>
  <c r="V37" i="4"/>
  <c r="W37" i="4"/>
  <c r="X37" i="4"/>
  <c r="V21" i="4"/>
  <c r="W21" i="4"/>
  <c r="X21" i="4"/>
  <c r="X98" i="4"/>
  <c r="V98" i="4"/>
  <c r="W98" i="4"/>
  <c r="W54" i="4"/>
  <c r="V54" i="4"/>
  <c r="X54" i="4"/>
  <c r="W18" i="4"/>
  <c r="V18" i="4"/>
  <c r="X18" i="4"/>
  <c r="V96" i="4"/>
  <c r="W96" i="4"/>
  <c r="X96" i="4"/>
  <c r="V80" i="4"/>
  <c r="W80" i="4"/>
  <c r="X80" i="4"/>
  <c r="V64" i="4"/>
  <c r="W64" i="4"/>
  <c r="X64" i="4"/>
  <c r="V48" i="4"/>
  <c r="W48" i="4"/>
  <c r="X48" i="4"/>
  <c r="V32" i="4"/>
  <c r="W32" i="4"/>
  <c r="X32" i="4"/>
  <c r="V16" i="4"/>
  <c r="W16" i="4"/>
  <c r="X16" i="4"/>
  <c r="W82" i="4"/>
  <c r="V82" i="4"/>
  <c r="X82" i="4"/>
  <c r="W30" i="4"/>
  <c r="V30" i="4"/>
  <c r="X30" i="4"/>
  <c r="V99" i="4"/>
  <c r="W99" i="4"/>
  <c r="X99" i="4"/>
  <c r="X83" i="4"/>
  <c r="W83" i="4"/>
  <c r="V83" i="4"/>
  <c r="X67" i="4"/>
  <c r="W67" i="4"/>
  <c r="V67" i="4"/>
  <c r="X51" i="4"/>
  <c r="W51" i="4"/>
  <c r="V51" i="4"/>
  <c r="X35" i="4"/>
  <c r="W35" i="4"/>
  <c r="V35" i="4"/>
  <c r="X19" i="4"/>
  <c r="W19" i="4"/>
  <c r="V19" i="4"/>
  <c r="W105" i="4"/>
  <c r="X105" i="4"/>
  <c r="V105" i="4"/>
  <c r="V57" i="4"/>
  <c r="W57" i="4"/>
  <c r="X57" i="4"/>
  <c r="W66" i="4"/>
  <c r="V66" i="4"/>
  <c r="X66" i="4"/>
  <c r="V84" i="4"/>
  <c r="W84" i="4"/>
  <c r="X84" i="4"/>
  <c r="V36" i="4"/>
  <c r="W36" i="4"/>
  <c r="X36" i="4"/>
  <c r="V103" i="4"/>
  <c r="W103" i="4"/>
  <c r="X103" i="4"/>
  <c r="W78" i="4"/>
  <c r="V78" i="4"/>
  <c r="X78" i="4"/>
  <c r="W97" i="4"/>
  <c r="X97" i="4"/>
  <c r="V97" i="4"/>
  <c r="V81" i="4"/>
  <c r="X81" i="4"/>
  <c r="W81" i="4"/>
  <c r="V65" i="4"/>
  <c r="X65" i="4"/>
  <c r="W65" i="4"/>
  <c r="V49" i="4"/>
  <c r="X49" i="4"/>
  <c r="W49" i="4"/>
  <c r="V33" i="4"/>
  <c r="X33" i="4"/>
  <c r="W33" i="4"/>
  <c r="V17" i="4"/>
  <c r="X17" i="4"/>
  <c r="W17" i="4"/>
  <c r="W90" i="4"/>
  <c r="X90" i="4"/>
  <c r="V90" i="4"/>
  <c r="W42" i="4"/>
  <c r="X42" i="4"/>
  <c r="V42" i="4"/>
  <c r="V108" i="4"/>
  <c r="W108" i="4"/>
  <c r="X108" i="4"/>
  <c r="V92" i="4"/>
  <c r="W92" i="4"/>
  <c r="X92" i="4"/>
  <c r="W76" i="4"/>
  <c r="X76" i="4"/>
  <c r="V76" i="4"/>
  <c r="W60" i="4"/>
  <c r="X60" i="4"/>
  <c r="V60" i="4"/>
  <c r="W44" i="4"/>
  <c r="X44" i="4"/>
  <c r="V44" i="4"/>
  <c r="W28" i="4"/>
  <c r="X28" i="4"/>
  <c r="V28" i="4"/>
  <c r="W12" i="4"/>
  <c r="X12" i="4"/>
  <c r="V12" i="4"/>
  <c r="W70" i="4"/>
  <c r="V70" i="4"/>
  <c r="X70" i="4"/>
  <c r="W22" i="4"/>
  <c r="V22" i="4"/>
  <c r="X22" i="4"/>
  <c r="V95" i="4"/>
  <c r="W95" i="4"/>
  <c r="X95" i="4"/>
  <c r="X79" i="4"/>
  <c r="V79" i="4"/>
  <c r="W79" i="4"/>
  <c r="X63" i="4"/>
  <c r="V63" i="4"/>
  <c r="W63" i="4"/>
  <c r="X47" i="4"/>
  <c r="V47" i="4"/>
  <c r="W47" i="4"/>
  <c r="X31" i="4"/>
  <c r="V31" i="4"/>
  <c r="W31" i="4"/>
  <c r="X15" i="4"/>
  <c r="V15" i="4"/>
  <c r="W15" i="4"/>
  <c r="X102" i="4"/>
  <c r="V102" i="4"/>
  <c r="W102" i="4"/>
  <c r="V89" i="4"/>
  <c r="W89" i="4"/>
  <c r="X89" i="4"/>
  <c r="V41" i="4"/>
  <c r="W41" i="4"/>
  <c r="X41" i="4"/>
  <c r="W26" i="4"/>
  <c r="X26" i="4"/>
  <c r="V26" i="4"/>
  <c r="V52" i="4"/>
  <c r="W52" i="4"/>
  <c r="X52" i="4"/>
  <c r="X94" i="4"/>
  <c r="V94" i="4"/>
  <c r="W94" i="4"/>
  <c r="X87" i="4"/>
  <c r="V87" i="4"/>
  <c r="W87" i="4"/>
  <c r="W14" i="4"/>
  <c r="V14" i="4"/>
  <c r="X14" i="4"/>
  <c r="W62" i="4"/>
  <c r="V62" i="4"/>
  <c r="X62" i="4"/>
  <c r="W109" i="4"/>
  <c r="X109" i="4"/>
  <c r="V109" i="4"/>
  <c r="W93" i="4"/>
  <c r="X93" i="4"/>
  <c r="V93" i="4"/>
  <c r="V77" i="4"/>
  <c r="W77" i="4"/>
  <c r="X77" i="4"/>
  <c r="V61" i="4"/>
  <c r="W61" i="4"/>
  <c r="X61" i="4"/>
  <c r="V45" i="4"/>
  <c r="W45" i="4"/>
  <c r="X45" i="4"/>
  <c r="V29" i="4"/>
  <c r="W29" i="4"/>
  <c r="X29" i="4"/>
  <c r="V13" i="4"/>
  <c r="W13" i="4"/>
  <c r="X13" i="4"/>
  <c r="W74" i="4"/>
  <c r="X74" i="4"/>
  <c r="V74" i="4"/>
  <c r="W38" i="4"/>
  <c r="V38" i="4"/>
  <c r="X38" i="4"/>
  <c r="V104" i="4"/>
  <c r="W104" i="4"/>
  <c r="X104" i="4"/>
  <c r="X88" i="4"/>
  <c r="V88" i="4"/>
  <c r="W88" i="4"/>
  <c r="X72" i="4"/>
  <c r="V72" i="4"/>
  <c r="W72" i="4"/>
  <c r="X56" i="4"/>
  <c r="V56" i="4"/>
  <c r="W56" i="4"/>
  <c r="X40" i="4"/>
  <c r="V40" i="4"/>
  <c r="W40" i="4"/>
  <c r="X24" i="4"/>
  <c r="V24" i="4"/>
  <c r="W24" i="4"/>
  <c r="X106" i="4"/>
  <c r="V106" i="4"/>
  <c r="W106" i="4"/>
  <c r="W58" i="4"/>
  <c r="X58" i="4"/>
  <c r="V58" i="4"/>
  <c r="V107" i="4"/>
  <c r="W107" i="4"/>
  <c r="X107" i="4"/>
  <c r="V91" i="4"/>
  <c r="W91" i="4"/>
  <c r="X91" i="4"/>
  <c r="X75" i="4"/>
  <c r="V75" i="4"/>
  <c r="W75" i="4"/>
  <c r="X59" i="4"/>
  <c r="V59" i="4"/>
  <c r="W59" i="4"/>
  <c r="X43" i="4"/>
  <c r="V43" i="4"/>
  <c r="W43" i="4"/>
  <c r="X27" i="4"/>
  <c r="V27" i="4"/>
  <c r="W27" i="4"/>
  <c r="X11" i="4"/>
  <c r="V11" i="4"/>
  <c r="W11" i="4"/>
  <c r="F43" i="1" l="1"/>
  <c r="T7" i="4" s="1"/>
  <c r="F18" i="1"/>
  <c r="F19" i="1" s="1"/>
  <c r="F34" i="1"/>
  <c r="F28" i="1"/>
  <c r="F29" i="1" s="1"/>
  <c r="F30" i="1" s="1"/>
  <c r="H18" i="1"/>
  <c r="F22" i="1" l="1"/>
  <c r="F21" i="1"/>
  <c r="F71" i="1" s="1"/>
  <c r="P13" i="2"/>
  <c r="C23" i="1"/>
  <c r="F235" i="4" s="1"/>
  <c r="J33" i="1" l="1"/>
  <c r="F31" i="1"/>
  <c r="F33" i="1" s="1"/>
  <c r="F35" i="1" s="1"/>
  <c r="F23" i="1"/>
  <c r="J32" i="1" l="1"/>
  <c r="J34" i="1" s="1"/>
  <c r="J35" i="1" s="1"/>
  <c r="F24" i="1"/>
  <c r="F70" i="1" l="1"/>
  <c r="F72" i="1" s="1"/>
  <c r="F41" i="1"/>
  <c r="F42" i="1" s="1"/>
  <c r="Q6" i="4" s="1"/>
  <c r="Q121" i="4" l="1"/>
  <c r="AA25" i="4"/>
  <c r="AA89" i="4"/>
  <c r="AA16" i="4"/>
  <c r="AA90" i="4"/>
  <c r="AA109" i="4"/>
  <c r="AA39" i="4"/>
  <c r="AA49" i="4"/>
  <c r="AA61" i="4"/>
  <c r="AA51" i="4"/>
  <c r="AA23" i="4"/>
  <c r="AA45" i="4"/>
  <c r="AA40" i="4"/>
  <c r="AA13" i="4"/>
  <c r="AA24" i="4"/>
  <c r="AA52" i="4"/>
  <c r="AA98" i="4"/>
  <c r="AA100" i="4"/>
  <c r="AA53" i="4"/>
  <c r="AA70" i="4"/>
  <c r="AA71" i="4"/>
  <c r="AA31" i="4"/>
  <c r="AA33" i="4"/>
  <c r="AA67" i="4"/>
  <c r="AA21" i="4"/>
  <c r="AA15" i="4"/>
  <c r="AA63" i="4"/>
  <c r="AA91" i="4"/>
  <c r="AA48" i="4"/>
  <c r="AA82" i="4"/>
  <c r="AA55" i="4"/>
  <c r="AA11" i="4"/>
  <c r="AA14" i="4"/>
  <c r="AA96" i="4"/>
  <c r="AA84" i="4"/>
  <c r="AA68" i="4"/>
  <c r="AA79" i="4"/>
  <c r="AA37" i="4"/>
  <c r="AA93" i="4"/>
  <c r="AA80" i="4"/>
  <c r="AA36" i="4"/>
  <c r="AA54" i="4"/>
  <c r="AA102" i="4"/>
  <c r="AA47" i="4"/>
  <c r="AA44" i="4"/>
  <c r="AA74" i="4"/>
  <c r="AA65" i="4"/>
  <c r="AA94" i="4"/>
  <c r="AA59" i="4"/>
  <c r="AA72" i="4"/>
  <c r="AA22" i="4"/>
  <c r="AA95" i="4"/>
  <c r="AA92" i="4"/>
  <c r="AA19" i="4"/>
  <c r="AA50" i="4"/>
  <c r="AA10" i="4"/>
  <c r="AA108" i="4"/>
  <c r="AA35" i="4"/>
  <c r="AA41" i="4"/>
  <c r="AA18" i="4"/>
  <c r="AA46" i="4"/>
  <c r="AA28" i="4"/>
  <c r="AA85" i="4"/>
  <c r="AA66" i="4"/>
  <c r="AA58" i="4"/>
  <c r="AA60" i="4"/>
  <c r="AA83" i="4"/>
  <c r="AA34" i="4"/>
  <c r="AA88" i="4"/>
  <c r="AA73" i="4"/>
  <c r="AA75" i="4"/>
  <c r="AA12" i="4"/>
  <c r="AA78" i="4"/>
  <c r="AA69" i="4"/>
  <c r="AA20" i="4"/>
  <c r="AA26" i="4"/>
  <c r="AA62" i="4"/>
  <c r="AA27" i="4"/>
  <c r="AA81" i="4"/>
  <c r="AA87" i="4"/>
  <c r="AA107" i="4"/>
  <c r="AA43" i="4"/>
  <c r="AA97" i="4"/>
  <c r="AA103" i="4"/>
  <c r="AA29" i="4"/>
  <c r="AA101" i="4"/>
  <c r="AA105" i="4"/>
  <c r="AA17" i="4"/>
  <c r="AA32" i="4"/>
  <c r="AA57" i="4"/>
  <c r="AA56" i="4"/>
  <c r="AA42" i="4"/>
  <c r="AA64" i="4"/>
  <c r="AA30" i="4"/>
  <c r="AA77" i="4"/>
  <c r="AA104" i="4"/>
  <c r="AA106" i="4"/>
  <c r="AA76" i="4"/>
  <c r="AA99" i="4"/>
  <c r="AA86" i="4"/>
  <c r="AA38" i="4"/>
  <c r="AA176" i="4" l="1"/>
  <c r="AA132" i="4"/>
  <c r="AA196" i="4"/>
  <c r="AA136" i="4"/>
  <c r="AA200" i="4"/>
  <c r="AA204" i="4"/>
  <c r="AA183" i="4"/>
  <c r="AA218" i="4"/>
  <c r="AA154" i="4"/>
  <c r="AA193" i="4"/>
  <c r="AA129" i="4"/>
  <c r="AA163" i="4"/>
  <c r="AA198" i="4"/>
  <c r="AA134" i="4"/>
  <c r="AA173" i="4"/>
  <c r="AA207" i="4"/>
  <c r="AA143" i="4"/>
  <c r="AA178" i="4"/>
  <c r="AA217" i="4"/>
  <c r="AA153" i="4"/>
  <c r="AA187" i="4"/>
  <c r="AA222" i="4"/>
  <c r="AA158" i="4"/>
  <c r="AA197" i="4"/>
  <c r="AA133" i="4"/>
  <c r="AA142" i="4"/>
  <c r="AA156" i="4"/>
  <c r="AA215" i="4"/>
  <c r="AA186" i="4"/>
  <c r="AA161" i="4"/>
  <c r="AA131" i="4"/>
  <c r="AA205" i="4"/>
  <c r="AA175" i="4"/>
  <c r="AA146" i="4"/>
  <c r="AA219" i="4"/>
  <c r="AA190" i="4"/>
  <c r="AA165" i="4"/>
  <c r="AA160" i="4"/>
  <c r="AA224" i="4"/>
  <c r="AA180" i="4"/>
  <c r="AA188" i="4"/>
  <c r="AA184" i="4"/>
  <c r="AA199" i="4"/>
  <c r="AA135" i="4"/>
  <c r="AA209" i="4"/>
  <c r="AA179" i="4"/>
  <c r="AA214" i="4"/>
  <c r="AA189" i="4"/>
  <c r="AA159" i="4"/>
  <c r="AA130" i="4"/>
  <c r="AA203" i="4"/>
  <c r="AA174" i="4"/>
  <c r="AA149" i="4"/>
  <c r="AA128" i="4"/>
  <c r="AA192" i="4"/>
  <c r="AA148" i="4"/>
  <c r="AA212" i="4"/>
  <c r="AA152" i="4"/>
  <c r="AA216" i="4"/>
  <c r="AA220" i="4"/>
  <c r="AA167" i="4"/>
  <c r="AA202" i="4"/>
  <c r="AA138" i="4"/>
  <c r="AA177" i="4"/>
  <c r="AA211" i="4"/>
  <c r="AA147" i="4"/>
  <c r="AA182" i="4"/>
  <c r="AA221" i="4"/>
  <c r="AA157" i="4"/>
  <c r="AA191" i="4"/>
  <c r="AA127" i="4"/>
  <c r="AA162" i="4"/>
  <c r="AA201" i="4"/>
  <c r="AA137" i="4"/>
  <c r="AA171" i="4"/>
  <c r="AA206" i="4"/>
  <c r="AA181" i="4"/>
  <c r="AA144" i="4"/>
  <c r="AA208" i="4"/>
  <c r="AA164" i="4"/>
  <c r="AA168" i="4"/>
  <c r="AA140" i="4"/>
  <c r="AA151" i="4"/>
  <c r="AA125" i="4"/>
  <c r="AA195" i="4"/>
  <c r="AA166" i="4"/>
  <c r="AA141" i="4"/>
  <c r="AA210" i="4"/>
  <c r="AA185" i="4"/>
  <c r="AA155" i="4"/>
  <c r="AA126" i="4"/>
  <c r="AA172" i="4"/>
  <c r="AA170" i="4"/>
  <c r="AA145" i="4"/>
  <c r="AA150" i="4"/>
  <c r="AA223" i="4"/>
  <c r="AA194" i="4"/>
  <c r="AA169" i="4"/>
  <c r="AA139" i="4"/>
  <c r="AA213" i="4"/>
  <c r="AC19" i="4"/>
  <c r="AF19" i="4" s="1" a="1"/>
  <c r="AF19" i="4" s="1"/>
  <c r="I59" i="1" s="1" a="1"/>
  <c r="I59" i="1" s="1"/>
  <c r="AC13" i="4"/>
  <c r="AE13" i="4" s="1" a="1"/>
  <c r="AE13" i="4" s="1"/>
  <c r="G53" i="1" s="1" a="1"/>
  <c r="G53" i="1" s="1"/>
  <c r="AC11" i="4"/>
  <c r="AD11" i="4" s="1" a="1"/>
  <c r="AD11" i="4" s="1"/>
  <c r="F51" i="1" s="1" a="1"/>
  <c r="F51" i="1" s="1"/>
  <c r="AC17" i="4"/>
  <c r="AF17" i="4" s="1" a="1"/>
  <c r="AF17" i="4" s="1"/>
  <c r="I57" i="1" s="1" a="1"/>
  <c r="I57" i="1" s="1"/>
  <c r="AC15" i="4"/>
  <c r="AE15" i="4" s="1" a="1"/>
  <c r="AE15" i="4" s="1"/>
  <c r="G55" i="1" s="1" a="1"/>
  <c r="G55" i="1" s="1"/>
  <c r="AC10" i="4"/>
  <c r="AD10" i="4" s="1" a="1"/>
  <c r="AD10" i="4" s="1"/>
  <c r="F50" i="1" s="1" a="1"/>
  <c r="F50" i="1" s="1"/>
  <c r="AC16" i="4"/>
  <c r="AF16" i="4" s="1" a="1"/>
  <c r="AF16" i="4" s="1"/>
  <c r="I56" i="1" s="1" a="1"/>
  <c r="I56" i="1" s="1"/>
  <c r="AC18" i="4"/>
  <c r="AE18" i="4" s="1" a="1"/>
  <c r="AE18" i="4" s="1"/>
  <c r="G58" i="1" s="1" a="1"/>
  <c r="G58" i="1" s="1"/>
  <c r="AC12" i="4"/>
  <c r="AD12" i="4" s="1" a="1"/>
  <c r="AD12" i="4" s="1"/>
  <c r="F52" i="1" s="1" a="1"/>
  <c r="F52" i="1" s="1"/>
  <c r="AC14" i="4"/>
  <c r="AF14" i="4" s="1" a="1"/>
  <c r="AF14" i="4" s="1"/>
  <c r="I54" i="1" s="1" a="1"/>
  <c r="I54" i="1" s="1"/>
  <c r="AF13" i="4" l="1" a="1"/>
  <c r="AF13" i="4" s="1"/>
  <c r="I53" i="1" s="1" a="1"/>
  <c r="I53" i="1" s="1"/>
  <c r="AF10" i="4" a="1"/>
  <c r="AF10" i="4" s="1"/>
  <c r="I50" i="1" s="1" a="1"/>
  <c r="I50" i="1" s="1"/>
  <c r="AD19" i="4" a="1"/>
  <c r="AD19" i="4" s="1"/>
  <c r="F59" i="1" s="1" a="1"/>
  <c r="F59" i="1" s="1"/>
  <c r="AE19" i="4" a="1"/>
  <c r="AE19" i="4" s="1"/>
  <c r="G59" i="1" s="1" a="1"/>
  <c r="G59" i="1" s="1"/>
  <c r="AD13" i="4" a="1"/>
  <c r="AD13" i="4" s="1"/>
  <c r="F53" i="1" s="1" a="1"/>
  <c r="F53" i="1" s="1"/>
  <c r="AC132" i="4"/>
  <c r="AF132" i="4" s="1" a="1"/>
  <c r="AF132" i="4" s="1"/>
  <c r="I87" i="1" s="1" a="1"/>
  <c r="I87" i="1" s="1"/>
  <c r="AE10" i="4" a="1"/>
  <c r="AE10" i="4" s="1"/>
  <c r="G50" i="1" s="1" a="1"/>
  <c r="G50" i="1" s="1"/>
  <c r="AC127" i="4"/>
  <c r="AE127" i="4" s="1" a="1"/>
  <c r="AE127" i="4" s="1"/>
  <c r="G82" i="1" s="1" a="1"/>
  <c r="G82" i="1" s="1"/>
  <c r="AC133" i="4"/>
  <c r="AE133" i="4" s="1" a="1"/>
  <c r="AE133" i="4" s="1"/>
  <c r="G88" i="1" s="1" a="1"/>
  <c r="G88" i="1" s="1"/>
  <c r="AF12" i="4" a="1"/>
  <c r="AF12" i="4" s="1"/>
  <c r="I52" i="1" s="1" a="1"/>
  <c r="I52" i="1" s="1"/>
  <c r="AC125" i="4"/>
  <c r="AE125" i="4" s="1" a="1"/>
  <c r="AE125" i="4" s="1"/>
  <c r="G80" i="1" s="1" a="1"/>
  <c r="G80" i="1" s="1"/>
  <c r="AC129" i="4"/>
  <c r="AF129" i="4" s="1" a="1"/>
  <c r="AF129" i="4" s="1"/>
  <c r="I84" i="1" s="1" a="1"/>
  <c r="I84" i="1" s="1"/>
  <c r="AC134" i="4"/>
  <c r="AE134" i="4" s="1" a="1"/>
  <c r="AE134" i="4" s="1"/>
  <c r="G89" i="1" s="1" a="1"/>
  <c r="G89" i="1" s="1"/>
  <c r="AC126" i="4"/>
  <c r="AE126" i="4" s="1" a="1"/>
  <c r="AE126" i="4" s="1"/>
  <c r="G81" i="1" s="1" a="1"/>
  <c r="G81" i="1" s="1"/>
  <c r="AC128" i="4"/>
  <c r="AE128" i="4" s="1" a="1"/>
  <c r="AE128" i="4" s="1"/>
  <c r="G83" i="1" s="1" a="1"/>
  <c r="G83" i="1" s="1"/>
  <c r="AC131" i="4"/>
  <c r="AE131" i="4" s="1" a="1"/>
  <c r="AE131" i="4" s="1"/>
  <c r="G86" i="1" s="1" a="1"/>
  <c r="G86" i="1" s="1"/>
  <c r="AC130" i="4"/>
  <c r="AD130" i="4" s="1" a="1"/>
  <c r="AD130" i="4" s="1"/>
  <c r="F85" i="1" s="1" a="1"/>
  <c r="F85" i="1" s="1"/>
  <c r="AE17" i="4" a="1"/>
  <c r="AE17" i="4" s="1"/>
  <c r="G57" i="1" s="1" a="1"/>
  <c r="G57" i="1" s="1"/>
  <c r="AD16" i="4" a="1"/>
  <c r="AD16" i="4" s="1"/>
  <c r="F56" i="1" s="1" a="1"/>
  <c r="F56" i="1" s="1"/>
  <c r="AF11" i="4" a="1"/>
  <c r="AF11" i="4" s="1"/>
  <c r="I51" i="1" s="1" a="1"/>
  <c r="I51" i="1" s="1"/>
  <c r="AE11" i="4" a="1"/>
  <c r="AE11" i="4" s="1"/>
  <c r="G51" i="1" s="1" a="1"/>
  <c r="G51" i="1" s="1"/>
  <c r="AE12" i="4" a="1"/>
  <c r="AE12" i="4" s="1"/>
  <c r="G52" i="1" s="1" a="1"/>
  <c r="G52" i="1" s="1"/>
  <c r="AD18" i="4" a="1"/>
  <c r="AD18" i="4" s="1"/>
  <c r="F58" i="1" s="1" a="1"/>
  <c r="F58" i="1" s="1"/>
  <c r="AF18" i="4" a="1"/>
  <c r="AF18" i="4" s="1"/>
  <c r="I58" i="1" s="1" a="1"/>
  <c r="I58" i="1" s="1"/>
  <c r="AD17" i="4" a="1"/>
  <c r="AD17" i="4" s="1"/>
  <c r="F57" i="1" s="1" a="1"/>
  <c r="F57" i="1" s="1"/>
  <c r="AF15" i="4" a="1"/>
  <c r="AF15" i="4" s="1"/>
  <c r="I55" i="1" s="1" a="1"/>
  <c r="I55" i="1" s="1"/>
  <c r="AD15" i="4" a="1"/>
  <c r="AD15" i="4" s="1"/>
  <c r="F55" i="1" s="1" a="1"/>
  <c r="F55" i="1" s="1"/>
  <c r="AE16" i="4" a="1"/>
  <c r="AE16" i="4" s="1"/>
  <c r="G56" i="1" s="1" a="1"/>
  <c r="G56" i="1" s="1"/>
  <c r="AE14" i="4" a="1"/>
  <c r="AE14" i="4" s="1"/>
  <c r="G54" i="1" s="1" a="1"/>
  <c r="G54" i="1" s="1"/>
  <c r="AD14" i="4" a="1"/>
  <c r="AD14" i="4" s="1"/>
  <c r="F54" i="1" s="1" a="1"/>
  <c r="F54" i="1" s="1"/>
  <c r="F63" i="1" l="1" a="1"/>
  <c r="F63" i="1" s="1"/>
  <c r="AE132" i="4" a="1"/>
  <c r="AE132" i="4" s="1"/>
  <c r="G87" i="1" s="1" a="1"/>
  <c r="G87" i="1" s="1"/>
  <c r="F64" i="1" a="1"/>
  <c r="F64" i="1" s="1"/>
  <c r="AD126" i="4" a="1"/>
  <c r="AD126" i="4" s="1"/>
  <c r="F81" i="1" s="1" a="1"/>
  <c r="F81" i="1" s="1"/>
  <c r="AF128" i="4" a="1"/>
  <c r="AF128" i="4" s="1"/>
  <c r="I83" i="1" s="1" a="1"/>
  <c r="I83" i="1" s="1"/>
  <c r="AD132" i="4" a="1"/>
  <c r="AD132" i="4" s="1"/>
  <c r="F87" i="1" s="1" a="1"/>
  <c r="F87" i="1" s="1"/>
  <c r="AD129" i="4" a="1"/>
  <c r="AD129" i="4" s="1"/>
  <c r="F84" i="1" s="1" a="1"/>
  <c r="F84" i="1" s="1"/>
  <c r="AE130" i="4" a="1"/>
  <c r="AE130" i="4" s="1"/>
  <c r="G85" i="1" s="1" a="1"/>
  <c r="G85" i="1" s="1"/>
  <c r="AF127" i="4" a="1"/>
  <c r="AF127" i="4" s="1"/>
  <c r="I82" i="1" s="1" a="1"/>
  <c r="I82" i="1" s="1"/>
  <c r="AD133" i="4" a="1"/>
  <c r="AD133" i="4" s="1"/>
  <c r="F88" i="1" s="1" a="1"/>
  <c r="F88" i="1" s="1"/>
  <c r="AD127" i="4" a="1"/>
  <c r="AD127" i="4" s="1"/>
  <c r="F82" i="1" s="1" a="1"/>
  <c r="F82" i="1" s="1"/>
  <c r="AF130" i="4" a="1"/>
  <c r="AF130" i="4" s="1"/>
  <c r="I85" i="1" s="1" a="1"/>
  <c r="I85" i="1" s="1"/>
  <c r="AD134" i="4" a="1"/>
  <c r="AD134" i="4" s="1"/>
  <c r="F89" i="1" s="1" a="1"/>
  <c r="F89" i="1" s="1"/>
  <c r="AF133" i="4" a="1"/>
  <c r="AF133" i="4" s="1"/>
  <c r="I88" i="1" s="1" a="1"/>
  <c r="I88" i="1" s="1"/>
  <c r="AF134" i="4" a="1"/>
  <c r="AF134" i="4" s="1"/>
  <c r="I89" i="1" s="1" a="1"/>
  <c r="I89" i="1" s="1"/>
  <c r="AF126" i="4" a="1"/>
  <c r="AF126" i="4" s="1"/>
  <c r="I81" i="1" s="1" a="1"/>
  <c r="I81" i="1" s="1"/>
  <c r="AF125" i="4" a="1"/>
  <c r="AF125" i="4" s="1"/>
  <c r="I80" i="1" s="1" a="1"/>
  <c r="I80" i="1" s="1"/>
  <c r="AD131" i="4" a="1"/>
  <c r="AD131" i="4" s="1"/>
  <c r="F86" i="1" s="1" a="1"/>
  <c r="F86" i="1" s="1"/>
  <c r="AE129" i="4" a="1"/>
  <c r="AE129" i="4" s="1"/>
  <c r="G84" i="1" s="1" a="1"/>
  <c r="G84" i="1" s="1"/>
  <c r="AD125" i="4" a="1"/>
  <c r="AD125" i="4" s="1"/>
  <c r="F80" i="1" s="1" a="1"/>
  <c r="F80" i="1" s="1"/>
  <c r="AF131" i="4" a="1"/>
  <c r="AF131" i="4" s="1"/>
  <c r="I86" i="1" s="1" a="1"/>
  <c r="I86" i="1" s="1"/>
  <c r="AD128" i="4" a="1"/>
  <c r="AD128" i="4" s="1"/>
  <c r="F83" i="1" s="1" a="1"/>
  <c r="F83" i="1" s="1"/>
  <c r="F94" i="1" a="1"/>
  <c r="F94" i="1" s="1"/>
  <c r="F93" i="1" l="1" a="1"/>
  <c r="F93" i="1" s="1"/>
  <c r="O10" i="1" s="1"/>
  <c r="O13" i="1" s="1"/>
  <c r="O16" i="1" l="1"/>
  <c r="O18" i="1" s="1"/>
  <c r="O41" i="1" s="1"/>
  <c r="F232" i="4" l="1"/>
  <c r="O25" i="1"/>
  <c r="F237" i="4" s="1"/>
  <c r="O21" i="1"/>
  <c r="O23" i="1" s="1"/>
  <c r="M430" i="4" l="1"/>
  <c r="N430" i="4" s="1"/>
  <c r="O430" i="4" s="1"/>
  <c r="M1147" i="4"/>
  <c r="N1147" i="4" s="1"/>
  <c r="O1147" i="4" s="1"/>
  <c r="M1227" i="4"/>
  <c r="N1227" i="4" s="1"/>
  <c r="O1227" i="4" s="1"/>
  <c r="M1139" i="4"/>
  <c r="N1139" i="4" s="1"/>
  <c r="O1139" i="4" s="1"/>
  <c r="M1117" i="4"/>
  <c r="N1117" i="4" s="1"/>
  <c r="O1117" i="4" s="1"/>
  <c r="M956" i="4"/>
  <c r="N956" i="4" s="1"/>
  <c r="O956" i="4" s="1"/>
  <c r="M1013" i="4"/>
  <c r="N1013" i="4" s="1"/>
  <c r="O1013" i="4" s="1"/>
  <c r="M526" i="4"/>
  <c r="N526" i="4" s="1"/>
  <c r="O526" i="4" s="1"/>
  <c r="M784" i="4"/>
  <c r="N784" i="4" s="1"/>
  <c r="O784" i="4" s="1"/>
  <c r="M969" i="4"/>
  <c r="N969" i="4" s="1"/>
  <c r="O969" i="4" s="1"/>
  <c r="M990" i="4"/>
  <c r="N990" i="4" s="1"/>
  <c r="O990" i="4" s="1"/>
  <c r="M655" i="4"/>
  <c r="N655" i="4" s="1"/>
  <c r="O655" i="4" s="1"/>
  <c r="M575" i="4"/>
  <c r="N575" i="4" s="1"/>
  <c r="O575" i="4" s="1"/>
  <c r="M493" i="4"/>
  <c r="N493" i="4" s="1"/>
  <c r="O493" i="4" s="1"/>
  <c r="M1228" i="4"/>
  <c r="N1228" i="4" s="1"/>
  <c r="O1228" i="4" s="1"/>
  <c r="M1213" i="4"/>
  <c r="N1213" i="4" s="1"/>
  <c r="O1213" i="4" s="1"/>
  <c r="M1186" i="4"/>
  <c r="N1186" i="4" s="1"/>
  <c r="O1186" i="4" s="1"/>
  <c r="M1144" i="4"/>
  <c r="N1144" i="4" s="1"/>
  <c r="O1144" i="4" s="1"/>
  <c r="M1113" i="4"/>
  <c r="N1113" i="4" s="1"/>
  <c r="O1113" i="4" s="1"/>
  <c r="M1078" i="4"/>
  <c r="N1078" i="4" s="1"/>
  <c r="O1078" i="4" s="1"/>
  <c r="M1000" i="4"/>
  <c r="N1000" i="4" s="1"/>
  <c r="O1000" i="4" s="1"/>
  <c r="M944" i="4"/>
  <c r="N944" i="4" s="1"/>
  <c r="O944" i="4" s="1"/>
  <c r="M912" i="4"/>
  <c r="N912" i="4" s="1"/>
  <c r="O912" i="4" s="1"/>
  <c r="M822" i="4"/>
  <c r="N822" i="4" s="1"/>
  <c r="O822" i="4" s="1"/>
  <c r="M761" i="4"/>
  <c r="N761" i="4" s="1"/>
  <c r="O761" i="4" s="1"/>
  <c r="M692" i="4"/>
  <c r="N692" i="4" s="1"/>
  <c r="O692" i="4" s="1"/>
  <c r="M561" i="4"/>
  <c r="N561" i="4" s="1"/>
  <c r="O561" i="4" s="1"/>
  <c r="M490" i="4"/>
  <c r="N490" i="4" s="1"/>
  <c r="O490" i="4" s="1"/>
  <c r="M420" i="4"/>
  <c r="N420" i="4" s="1"/>
  <c r="O420" i="4" s="1"/>
  <c r="M1195" i="4"/>
  <c r="N1195" i="4" s="1"/>
  <c r="O1195" i="4" s="1"/>
  <c r="M1155" i="4"/>
  <c r="N1155" i="4" s="1"/>
  <c r="O1155" i="4" s="1"/>
  <c r="M1094" i="4"/>
  <c r="N1094" i="4" s="1"/>
  <c r="O1094" i="4" s="1"/>
  <c r="M1030" i="4"/>
  <c r="N1030" i="4" s="1"/>
  <c r="O1030" i="4" s="1"/>
  <c r="M987" i="4"/>
  <c r="N987" i="4" s="1"/>
  <c r="O987" i="4" s="1"/>
  <c r="M934" i="4"/>
  <c r="N934" i="4" s="1"/>
  <c r="O934" i="4" s="1"/>
  <c r="M838" i="4"/>
  <c r="N838" i="4" s="1"/>
  <c r="O838" i="4" s="1"/>
  <c r="M779" i="4"/>
  <c r="N779" i="4" s="1"/>
  <c r="O779" i="4" s="1"/>
  <c r="M745" i="4"/>
  <c r="N745" i="4" s="1"/>
  <c r="O745" i="4" s="1"/>
  <c r="M665" i="4"/>
  <c r="N665" i="4" s="1"/>
  <c r="O665" i="4" s="1"/>
  <c r="M602" i="4"/>
  <c r="N602" i="4" s="1"/>
  <c r="O602" i="4" s="1"/>
  <c r="M543" i="4"/>
  <c r="N543" i="4" s="1"/>
  <c r="O543" i="4" s="1"/>
  <c r="M953" i="4"/>
  <c r="N953" i="4" s="1"/>
  <c r="O953" i="4" s="1"/>
  <c r="M659" i="4"/>
  <c r="N659" i="4" s="1"/>
  <c r="O659" i="4" s="1"/>
  <c r="M891" i="4"/>
  <c r="N891" i="4" s="1"/>
  <c r="O891" i="4" s="1"/>
  <c r="M450" i="4"/>
  <c r="N450" i="4" s="1"/>
  <c r="O450" i="4" s="1"/>
  <c r="M438" i="4"/>
  <c r="N438" i="4" s="1"/>
  <c r="O438" i="4" s="1"/>
  <c r="M459" i="4"/>
  <c r="N459" i="4" s="1"/>
  <c r="O459" i="4" s="1"/>
  <c r="M366" i="4"/>
  <c r="N366" i="4" s="1"/>
  <c r="O366" i="4" s="1"/>
  <c r="M901" i="4"/>
  <c r="N901" i="4" s="1"/>
  <c r="O901" i="4" s="1"/>
  <c r="M776" i="4"/>
  <c r="N776" i="4" s="1"/>
  <c r="O776" i="4" s="1"/>
  <c r="M264" i="4"/>
  <c r="N264" i="4" s="1"/>
  <c r="O264" i="4" s="1"/>
  <c r="M458" i="4"/>
  <c r="N458" i="4" s="1"/>
  <c r="O458" i="4" s="1"/>
  <c r="M590" i="4"/>
  <c r="N590" i="4" s="1"/>
  <c r="O590" i="4" s="1"/>
  <c r="M253" i="4"/>
  <c r="N253" i="4" s="1"/>
  <c r="O253" i="4" s="1"/>
  <c r="M275" i="4"/>
  <c r="N275" i="4" s="1"/>
  <c r="O275" i="4" s="1"/>
  <c r="M359" i="4"/>
  <c r="N359" i="4" s="1"/>
  <c r="O359" i="4" s="1"/>
  <c r="M419" i="4"/>
  <c r="N419" i="4" s="1"/>
  <c r="O419" i="4" s="1"/>
  <c r="M472" i="4"/>
  <c r="N472" i="4" s="1"/>
  <c r="O472" i="4" s="1"/>
  <c r="M562" i="4"/>
  <c r="N562" i="4" s="1"/>
  <c r="O562" i="4" s="1"/>
  <c r="M619" i="4"/>
  <c r="N619" i="4" s="1"/>
  <c r="O619" i="4" s="1"/>
  <c r="M713" i="4"/>
  <c r="N713" i="4" s="1"/>
  <c r="O713" i="4" s="1"/>
  <c r="M773" i="4"/>
  <c r="N773" i="4" s="1"/>
  <c r="O773" i="4" s="1"/>
  <c r="M255" i="4"/>
  <c r="N255" i="4" s="1"/>
  <c r="O255" i="4" s="1"/>
  <c r="M238" i="4"/>
  <c r="N238" i="4" s="1"/>
  <c r="O238" i="4" s="1"/>
  <c r="T238" i="4" s="1"/>
  <c r="M243" i="4"/>
  <c r="N243" i="4" s="1"/>
  <c r="O243" i="4" s="1"/>
  <c r="M376" i="4"/>
  <c r="N376" i="4" s="1"/>
  <c r="O376" i="4" s="1"/>
  <c r="M663" i="4"/>
  <c r="N663" i="4" s="1"/>
  <c r="O663" i="4" s="1"/>
  <c r="M428" i="4"/>
  <c r="N428" i="4" s="1"/>
  <c r="O428" i="4" s="1"/>
  <c r="M670" i="4"/>
  <c r="N670" i="4" s="1"/>
  <c r="O670" i="4" s="1"/>
  <c r="M454" i="4"/>
  <c r="N454" i="4" s="1"/>
  <c r="O454" i="4" s="1"/>
  <c r="M725" i="4"/>
  <c r="N725" i="4" s="1"/>
  <c r="O725" i="4" s="1"/>
  <c r="M336" i="4"/>
  <c r="N336" i="4" s="1"/>
  <c r="O336" i="4" s="1"/>
  <c r="M626" i="4"/>
  <c r="N626" i="4" s="1"/>
  <c r="O626" i="4" s="1"/>
  <c r="M664" i="4"/>
  <c r="N664" i="4" s="1"/>
  <c r="O664" i="4" s="1"/>
  <c r="M719" i="4"/>
  <c r="N719" i="4" s="1"/>
  <c r="O719" i="4" s="1"/>
  <c r="M814" i="4"/>
  <c r="N814" i="4" s="1"/>
  <c r="O814" i="4" s="1"/>
  <c r="M871" i="4"/>
  <c r="N871" i="4" s="1"/>
  <c r="O871" i="4" s="1"/>
  <c r="M808" i="4"/>
  <c r="N808" i="4" s="1"/>
  <c r="O808" i="4" s="1"/>
  <c r="M694" i="4"/>
  <c r="N694" i="4" s="1"/>
  <c r="O694" i="4" s="1"/>
  <c r="M515" i="4"/>
  <c r="N515" i="4" s="1"/>
  <c r="O515" i="4" s="1"/>
  <c r="M309" i="4"/>
  <c r="N309" i="4" s="1"/>
  <c r="O309" i="4" s="1"/>
  <c r="M1003" i="4"/>
  <c r="N1003" i="4" s="1"/>
  <c r="O1003" i="4" s="1"/>
  <c r="M867" i="4"/>
  <c r="N867" i="4" s="1"/>
  <c r="O867" i="4" s="1"/>
  <c r="M746" i="4"/>
  <c r="N746" i="4" s="1"/>
  <c r="O746" i="4" s="1"/>
  <c r="M554" i="4"/>
  <c r="N554" i="4" s="1"/>
  <c r="O554" i="4" s="1"/>
  <c r="M1116" i="4"/>
  <c r="N1116" i="4" s="1"/>
  <c r="O1116" i="4" s="1"/>
  <c r="M629" i="4"/>
  <c r="N629" i="4" s="1"/>
  <c r="O629" i="4" s="1"/>
  <c r="M1223" i="4"/>
  <c r="N1223" i="4" s="1"/>
  <c r="O1223" i="4" s="1"/>
  <c r="M1214" i="4"/>
  <c r="N1214" i="4" s="1"/>
  <c r="O1214" i="4" s="1"/>
  <c r="M899" i="4"/>
  <c r="N899" i="4" s="1"/>
  <c r="O899" i="4" s="1"/>
  <c r="M1118" i="4"/>
  <c r="N1118" i="4" s="1"/>
  <c r="O1118" i="4" s="1"/>
  <c r="M742" i="4"/>
  <c r="N742" i="4" s="1"/>
  <c r="O742" i="4" s="1"/>
  <c r="M1114" i="4"/>
  <c r="N1114" i="4" s="1"/>
  <c r="O1114" i="4" s="1"/>
  <c r="M576" i="4"/>
  <c r="N576" i="4" s="1"/>
  <c r="O576" i="4" s="1"/>
  <c r="M338" i="4"/>
  <c r="N338" i="4" s="1"/>
  <c r="O338" i="4" s="1"/>
  <c r="M1232" i="4"/>
  <c r="N1232" i="4" s="1"/>
  <c r="O1232" i="4" s="1"/>
  <c r="T1232" i="4" s="1"/>
  <c r="Y1232" i="4" s="1"/>
  <c r="M1220" i="4"/>
  <c r="N1220" i="4" s="1"/>
  <c r="O1220" i="4" s="1"/>
  <c r="M1197" i="4"/>
  <c r="N1197" i="4" s="1"/>
  <c r="O1197" i="4" s="1"/>
  <c r="M1163" i="4"/>
  <c r="N1163" i="4" s="1"/>
  <c r="O1163" i="4" s="1"/>
  <c r="M1135" i="4"/>
  <c r="N1135" i="4" s="1"/>
  <c r="O1135" i="4" s="1"/>
  <c r="M1100" i="4"/>
  <c r="N1100" i="4" s="1"/>
  <c r="O1100" i="4" s="1"/>
  <c r="M1026" i="4"/>
  <c r="N1026" i="4" s="1"/>
  <c r="O1026" i="4" s="1"/>
  <c r="M978" i="4"/>
  <c r="N978" i="4" s="1"/>
  <c r="O978" i="4" s="1"/>
  <c r="M942" i="4"/>
  <c r="N942" i="4" s="1"/>
  <c r="O942" i="4" s="1"/>
  <c r="M855" i="4"/>
  <c r="N855" i="4" s="1"/>
  <c r="O855" i="4" s="1"/>
  <c r="M790" i="4"/>
  <c r="N790" i="4" s="1"/>
  <c r="O790" i="4" s="1"/>
  <c r="M723" i="4"/>
  <c r="N723" i="4" s="1"/>
  <c r="O723" i="4" s="1"/>
  <c r="M587" i="4"/>
  <c r="N587" i="4" s="1"/>
  <c r="O587" i="4" s="1"/>
  <c r="M514" i="4"/>
  <c r="N514" i="4" s="1"/>
  <c r="O514" i="4" s="1"/>
  <c r="M440" i="4"/>
  <c r="N440" i="4" s="1"/>
  <c r="O440" i="4" s="1"/>
  <c r="M1207" i="4"/>
  <c r="N1207" i="4" s="1"/>
  <c r="O1207" i="4" s="1"/>
  <c r="T912" i="4" s="1"/>
  <c r="Y912" i="4" s="1"/>
  <c r="M1178" i="4"/>
  <c r="N1178" i="4" s="1"/>
  <c r="O1178" i="4" s="1"/>
  <c r="M1126" i="4"/>
  <c r="N1126" i="4" s="1"/>
  <c r="O1126" i="4" s="1"/>
  <c r="M1067" i="4"/>
  <c r="N1067" i="4" s="1"/>
  <c r="O1067" i="4" s="1"/>
  <c r="M1028" i="4"/>
  <c r="N1028" i="4" s="1"/>
  <c r="O1028" i="4" s="1"/>
  <c r="M980" i="4"/>
  <c r="N980" i="4" s="1"/>
  <c r="O980" i="4" s="1"/>
  <c r="M885" i="4"/>
  <c r="N885" i="4" s="1"/>
  <c r="O885" i="4" s="1"/>
  <c r="T784" i="4" s="1"/>
  <c r="Y784" i="4" s="1"/>
  <c r="M829" i="4"/>
  <c r="N829" i="4" s="1"/>
  <c r="O829" i="4" s="1"/>
  <c r="M797" i="4"/>
  <c r="N797" i="4" s="1"/>
  <c r="O797" i="4" s="1"/>
  <c r="M710" i="4"/>
  <c r="N710" i="4" s="1"/>
  <c r="O710" i="4" s="1"/>
  <c r="M649" i="4"/>
  <c r="N649" i="4" s="1"/>
  <c r="O649" i="4" s="1"/>
  <c r="M588" i="4"/>
  <c r="N588" i="4" s="1"/>
  <c r="O588" i="4" s="1"/>
  <c r="M468" i="4"/>
  <c r="N468" i="4" s="1"/>
  <c r="O468" i="4" s="1"/>
  <c r="M408" i="4"/>
  <c r="N408" i="4" s="1"/>
  <c r="O408" i="4" s="1"/>
  <c r="M345" i="4"/>
  <c r="N345" i="4" s="1"/>
  <c r="O345" i="4" s="1"/>
  <c r="M1041" i="4"/>
  <c r="N1041" i="4" s="1"/>
  <c r="O1041" i="4" s="1"/>
  <c r="M693" i="4"/>
  <c r="N693" i="4" s="1"/>
  <c r="O693" i="4" s="1"/>
  <c r="M362" i="4"/>
  <c r="N362" i="4" s="1"/>
  <c r="O362" i="4" s="1"/>
  <c r="M522" i="4"/>
  <c r="N522" i="4" s="1"/>
  <c r="O522" i="4" s="1"/>
  <c r="M586" i="4"/>
  <c r="N586" i="4" s="1"/>
  <c r="O586" i="4" s="1"/>
  <c r="M611" i="4"/>
  <c r="N611" i="4" s="1"/>
  <c r="O611" i="4" s="1"/>
  <c r="M530" i="4"/>
  <c r="N530" i="4" s="1"/>
  <c r="O530" i="4" s="1"/>
  <c r="M418" i="4"/>
  <c r="N418" i="4" s="1"/>
  <c r="O418" i="4" s="1"/>
  <c r="M529" i="4"/>
  <c r="N529" i="4" s="1"/>
  <c r="O529" i="4" s="1"/>
  <c r="M261" i="4"/>
  <c r="N261" i="4" s="1"/>
  <c r="O261" i="4" s="1"/>
  <c r="M347" i="4"/>
  <c r="N347" i="4" s="1"/>
  <c r="O347" i="4" s="1"/>
  <c r="M259" i="4"/>
  <c r="N259" i="4" s="1"/>
  <c r="O259" i="4" s="1"/>
  <c r="M303" i="4"/>
  <c r="N303" i="4" s="1"/>
  <c r="O303" i="4" s="1"/>
  <c r="M344" i="4"/>
  <c r="N344" i="4" s="1"/>
  <c r="O344" i="4" s="1"/>
  <c r="M444" i="4"/>
  <c r="N444" i="4" s="1"/>
  <c r="O444" i="4" s="1"/>
  <c r="M489" i="4"/>
  <c r="N489" i="4" s="1"/>
  <c r="O489" i="4" s="1"/>
  <c r="M546" i="4"/>
  <c r="N546" i="4" s="1"/>
  <c r="O546" i="4" s="1"/>
  <c r="M639" i="4"/>
  <c r="N639" i="4" s="1"/>
  <c r="O639" i="4" s="1"/>
  <c r="M730" i="4"/>
  <c r="N730" i="4" s="1"/>
  <c r="O730" i="4" s="1"/>
  <c r="T428" i="4" s="1"/>
  <c r="Y428" i="4" s="1"/>
  <c r="M819" i="4"/>
  <c r="N819" i="4" s="1"/>
  <c r="O819" i="4" s="1"/>
  <c r="M917" i="4"/>
  <c r="N917" i="4" s="1"/>
  <c r="O917" i="4" s="1"/>
  <c r="M486" i="4"/>
  <c r="N486" i="4" s="1"/>
  <c r="O486" i="4" s="1"/>
  <c r="M992" i="4"/>
  <c r="N992" i="4" s="1"/>
  <c r="O992" i="4" s="1"/>
  <c r="M555" i="4"/>
  <c r="N555" i="4" s="1"/>
  <c r="O555" i="4" s="1"/>
  <c r="M616" i="4"/>
  <c r="N616" i="4" s="1"/>
  <c r="O616" i="4" s="1"/>
  <c r="M865" i="4"/>
  <c r="N865" i="4" s="1"/>
  <c r="O865" i="4" s="1"/>
  <c r="M1153" i="4"/>
  <c r="N1153" i="4" s="1"/>
  <c r="O1153" i="4" s="1"/>
  <c r="M1050" i="4"/>
  <c r="N1050" i="4" s="1"/>
  <c r="O1050" i="4" s="1"/>
  <c r="M971" i="4"/>
  <c r="N971" i="4" s="1"/>
  <c r="O971" i="4" s="1"/>
  <c r="M820" i="4"/>
  <c r="N820" i="4" s="1"/>
  <c r="O820" i="4" s="1"/>
  <c r="M614" i="4"/>
  <c r="N614" i="4" s="1"/>
  <c r="O614" i="4" s="1"/>
  <c r="M455" i="4"/>
  <c r="N455" i="4" s="1"/>
  <c r="O455" i="4" s="1"/>
  <c r="M1194" i="4"/>
  <c r="N1194" i="4" s="1"/>
  <c r="O1194" i="4" s="1"/>
  <c r="M1099" i="4"/>
  <c r="N1099" i="4" s="1"/>
  <c r="O1099" i="4" s="1"/>
  <c r="M1022" i="4"/>
  <c r="N1022" i="4" s="1"/>
  <c r="O1022" i="4" s="1"/>
  <c r="M873" i="4"/>
  <c r="N873" i="4" s="1"/>
  <c r="O873" i="4" s="1"/>
  <c r="M750" i="4"/>
  <c r="N750" i="4" s="1"/>
  <c r="O750" i="4" s="1"/>
  <c r="M625" i="4"/>
  <c r="N625" i="4" s="1"/>
  <c r="O625" i="4" s="1"/>
  <c r="M439" i="4"/>
  <c r="N439" i="4" s="1"/>
  <c r="O439" i="4" s="1"/>
  <c r="M1142" i="4"/>
  <c r="N1142" i="4" s="1"/>
  <c r="O1142" i="4" s="1"/>
  <c r="M1005" i="4"/>
  <c r="N1005" i="4" s="1"/>
  <c r="O1005" i="4" s="1"/>
  <c r="M751" i="4"/>
  <c r="N751" i="4" s="1"/>
  <c r="O751" i="4" s="1"/>
  <c r="M813" i="4"/>
  <c r="N813" i="4" s="1"/>
  <c r="O813" i="4" s="1"/>
  <c r="M789" i="4"/>
  <c r="N789" i="4" s="1"/>
  <c r="O789" i="4" s="1"/>
  <c r="T430" i="4" s="1"/>
  <c r="Y430" i="4" s="1"/>
  <c r="M658" i="4"/>
  <c r="N658" i="4" s="1"/>
  <c r="O658" i="4" s="1"/>
  <c r="M607" i="4"/>
  <c r="N607" i="4" s="1"/>
  <c r="O607" i="4" s="1"/>
  <c r="M272" i="4"/>
  <c r="N272" i="4" s="1"/>
  <c r="O272" i="4" s="1"/>
  <c r="M389" i="4"/>
  <c r="N389" i="4" s="1"/>
  <c r="O389" i="4" s="1"/>
  <c r="M572" i="4"/>
  <c r="N572" i="4" s="1"/>
  <c r="O572" i="4" s="1"/>
  <c r="M726" i="4"/>
  <c r="N726" i="4" s="1"/>
  <c r="O726" i="4" s="1"/>
  <c r="M289" i="4"/>
  <c r="N289" i="4" s="1"/>
  <c r="O289" i="4" s="1"/>
  <c r="M378" i="4"/>
  <c r="N378" i="4" s="1"/>
  <c r="O378" i="4" s="1"/>
  <c r="M268" i="4"/>
  <c r="N268" i="4" s="1"/>
  <c r="O268" i="4" s="1"/>
  <c r="M293" i="4"/>
  <c r="N293" i="4" s="1"/>
  <c r="O293" i="4" s="1"/>
  <c r="M449" i="4"/>
  <c r="N449" i="4" s="1"/>
  <c r="O449" i="4" s="1"/>
  <c r="M427" i="4"/>
  <c r="N427" i="4" s="1"/>
  <c r="O427" i="4" s="1"/>
  <c r="M605" i="4"/>
  <c r="N605" i="4" s="1"/>
  <c r="O605" i="4" s="1"/>
  <c r="M540" i="4"/>
  <c r="N540" i="4" s="1"/>
  <c r="O540" i="4" s="1"/>
  <c r="M513" i="4"/>
  <c r="N513" i="4" s="1"/>
  <c r="O513" i="4" s="1"/>
  <c r="M627" i="4"/>
  <c r="N627" i="4" s="1"/>
  <c r="O627" i="4" s="1"/>
  <c r="M1031" i="4"/>
  <c r="N1031" i="4" s="1"/>
  <c r="O1031" i="4" s="1"/>
  <c r="M553" i="4"/>
  <c r="N553" i="4" s="1"/>
  <c r="O553" i="4" s="1"/>
  <c r="M1025" i="4"/>
  <c r="N1025" i="4" s="1"/>
  <c r="O1025" i="4" s="1"/>
  <c r="M496" i="4"/>
  <c r="N496" i="4" s="1"/>
  <c r="O496" i="4" s="1"/>
  <c r="M506" i="4"/>
  <c r="N506" i="4" s="1"/>
  <c r="O506" i="4" s="1"/>
  <c r="M709" i="4"/>
  <c r="N709" i="4" s="1"/>
  <c r="O709" i="4" s="1"/>
  <c r="M724" i="4"/>
  <c r="N724" i="4" s="1"/>
  <c r="O724" i="4" s="1"/>
  <c r="M736" i="4"/>
  <c r="N736" i="4" s="1"/>
  <c r="O736" i="4" s="1"/>
  <c r="M879" i="4"/>
  <c r="N879" i="4" s="1"/>
  <c r="O879" i="4" s="1"/>
  <c r="M894" i="4"/>
  <c r="N894" i="4" s="1"/>
  <c r="O894" i="4" s="1"/>
  <c r="M769" i="4"/>
  <c r="N769" i="4" s="1"/>
  <c r="O769" i="4" s="1"/>
  <c r="M571" i="4"/>
  <c r="N571" i="4" s="1"/>
  <c r="O571" i="4" s="1"/>
  <c r="M332" i="4"/>
  <c r="N332" i="4" s="1"/>
  <c r="O332" i="4" s="1"/>
  <c r="T773" i="4" s="1"/>
  <c r="Y773" i="4" s="1"/>
  <c r="M1068" i="4"/>
  <c r="N1068" i="4" s="1"/>
  <c r="O1068" i="4" s="1"/>
  <c r="M941" i="4"/>
  <c r="N941" i="4" s="1"/>
  <c r="O941" i="4" s="1"/>
  <c r="M811" i="4"/>
  <c r="N811" i="4" s="1"/>
  <c r="O811" i="4" s="1"/>
  <c r="M600" i="4"/>
  <c r="N600" i="4" s="1"/>
  <c r="O600" i="4" s="1"/>
  <c r="M351" i="4"/>
  <c r="N351" i="4" s="1"/>
  <c r="O351" i="4" s="1"/>
  <c r="M1101" i="4"/>
  <c r="N1101" i="4" s="1"/>
  <c r="O1101" i="4" s="1"/>
  <c r="M981" i="4"/>
  <c r="N981" i="4" s="1"/>
  <c r="O981" i="4" s="1"/>
  <c r="M849" i="4"/>
  <c r="N849" i="4" s="1"/>
  <c r="O849" i="4" s="1"/>
  <c r="M630" i="4"/>
  <c r="N630" i="4" s="1"/>
  <c r="O630" i="4" s="1"/>
  <c r="M364" i="4"/>
  <c r="N364" i="4" s="1"/>
  <c r="O364" i="4" s="1"/>
  <c r="M1129" i="4"/>
  <c r="N1129" i="4" s="1"/>
  <c r="O1129" i="4" s="1"/>
  <c r="M1017" i="4"/>
  <c r="N1017" i="4" s="1"/>
  <c r="O1017" i="4" s="1"/>
  <c r="M884" i="4"/>
  <c r="N884" i="4" s="1"/>
  <c r="O884" i="4" s="1"/>
  <c r="M657" i="4"/>
  <c r="N657" i="4" s="1"/>
  <c r="O657" i="4" s="1"/>
  <c r="M380" i="4"/>
  <c r="N380" i="4" s="1"/>
  <c r="O380" i="4" s="1"/>
  <c r="M1152" i="4"/>
  <c r="N1152" i="4" s="1"/>
  <c r="O1152" i="4" s="1"/>
  <c r="M1045" i="4"/>
  <c r="N1045" i="4" s="1"/>
  <c r="O1045" i="4" s="1"/>
  <c r="T1045" i="4" s="1"/>
  <c r="Y1045" i="4" s="1"/>
  <c r="M914" i="4"/>
  <c r="N914" i="4" s="1"/>
  <c r="O914" i="4" s="1"/>
  <c r="M684" i="4"/>
  <c r="N684" i="4" s="1"/>
  <c r="O684" i="4" s="1"/>
  <c r="M396" i="4"/>
  <c r="N396" i="4" s="1"/>
  <c r="O396" i="4" s="1"/>
  <c r="M1170" i="4"/>
  <c r="N1170" i="4" s="1"/>
  <c r="O1170" i="4" s="1"/>
  <c r="M1071" i="4"/>
  <c r="N1071" i="4" s="1"/>
  <c r="O1071" i="4" s="1"/>
  <c r="M945" i="4"/>
  <c r="N945" i="4" s="1"/>
  <c r="O945" i="4" s="1"/>
  <c r="M708" i="4"/>
  <c r="N708" i="4" s="1"/>
  <c r="O708" i="4" s="1"/>
  <c r="M411" i="4"/>
  <c r="N411" i="4" s="1"/>
  <c r="O411" i="4" s="1"/>
  <c r="M1184" i="4"/>
  <c r="N1184" i="4" s="1"/>
  <c r="O1184" i="4" s="1"/>
  <c r="M1091" i="4"/>
  <c r="N1091" i="4" s="1"/>
  <c r="O1091" i="4" s="1"/>
  <c r="M974" i="4"/>
  <c r="N974" i="4" s="1"/>
  <c r="O974" i="4" s="1"/>
  <c r="M241" i="4"/>
  <c r="N241" i="4" s="1"/>
  <c r="O241" i="4" s="1"/>
  <c r="T293" i="4" s="1"/>
  <c r="Y293" i="4" s="1"/>
  <c r="M263" i="4"/>
  <c r="N263" i="4" s="1"/>
  <c r="O263" i="4" s="1"/>
  <c r="M382" i="4"/>
  <c r="N382" i="4" s="1"/>
  <c r="O382" i="4" s="1"/>
  <c r="M271" i="4"/>
  <c r="N271" i="4" s="1"/>
  <c r="O271" i="4" s="1"/>
  <c r="M505" i="4"/>
  <c r="N505" i="4" s="1"/>
  <c r="O505" i="4" s="1"/>
  <c r="M284" i="4"/>
  <c r="N284" i="4" s="1"/>
  <c r="O284" i="4" s="1"/>
  <c r="M517" i="4"/>
  <c r="N517" i="4" s="1"/>
  <c r="O517" i="4" s="1"/>
  <c r="M893" i="4"/>
  <c r="N893" i="4" s="1"/>
  <c r="O893" i="4" s="1"/>
  <c r="M568" i="4"/>
  <c r="N568" i="4" s="1"/>
  <c r="O568" i="4" s="1"/>
  <c r="M843" i="4"/>
  <c r="N843" i="4" s="1"/>
  <c r="O843" i="4" s="1"/>
  <c r="M480" i="4"/>
  <c r="N480" i="4" s="1"/>
  <c r="O480" i="4" s="1"/>
  <c r="M536" i="4"/>
  <c r="N536" i="4" s="1"/>
  <c r="O536" i="4" s="1"/>
  <c r="M904" i="4"/>
  <c r="N904" i="4" s="1"/>
  <c r="O904" i="4" s="1"/>
  <c r="M964" i="4"/>
  <c r="N964" i="4" s="1"/>
  <c r="O964" i="4" s="1"/>
  <c r="M744" i="4"/>
  <c r="N744" i="4" s="1"/>
  <c r="O744" i="4" s="1"/>
  <c r="M783" i="4"/>
  <c r="N783" i="4" s="1"/>
  <c r="O783" i="4" s="1"/>
  <c r="M508" i="4"/>
  <c r="N508" i="4" s="1"/>
  <c r="O508" i="4" s="1"/>
  <c r="M1172" i="4"/>
  <c r="N1172" i="4" s="1"/>
  <c r="O1172" i="4" s="1"/>
  <c r="M1018" i="4"/>
  <c r="N1018" i="4" s="1"/>
  <c r="O1018" i="4" s="1"/>
  <c r="M1020" i="4"/>
  <c r="N1020" i="4" s="1"/>
  <c r="O1020" i="4" s="1"/>
  <c r="M360" i="4"/>
  <c r="N360" i="4" s="1"/>
  <c r="O360" i="4" s="1"/>
  <c r="M592" i="4"/>
  <c r="N592" i="4" s="1"/>
  <c r="O592" i="4" s="1"/>
  <c r="M415" i="4"/>
  <c r="N415" i="4" s="1"/>
  <c r="O415" i="4" s="1"/>
  <c r="M342" i="4"/>
  <c r="N342" i="4" s="1"/>
  <c r="O342" i="4" s="1"/>
  <c r="M915" i="4"/>
  <c r="N915" i="4" s="1"/>
  <c r="O915" i="4" s="1"/>
  <c r="M851" i="4"/>
  <c r="N851" i="4" s="1"/>
  <c r="O851" i="4" s="1"/>
  <c r="M782" i="4"/>
  <c r="N782" i="4" s="1"/>
  <c r="O782" i="4" s="1"/>
  <c r="M637" i="4"/>
  <c r="N637" i="4" s="1"/>
  <c r="O637" i="4" s="1"/>
  <c r="M551" i="4"/>
  <c r="N551" i="4" s="1"/>
  <c r="O551" i="4" s="1"/>
  <c r="M583" i="4"/>
  <c r="N583" i="4" s="1"/>
  <c r="O583" i="4" s="1"/>
  <c r="M412" i="4"/>
  <c r="N412" i="4" s="1"/>
  <c r="O412" i="4" s="1"/>
  <c r="M699" i="4"/>
  <c r="N699" i="4" s="1"/>
  <c r="O699" i="4" s="1"/>
  <c r="M681" i="4"/>
  <c r="N681" i="4" s="1"/>
  <c r="O681" i="4" s="1"/>
  <c r="M999" i="4"/>
  <c r="N999" i="4" s="1"/>
  <c r="O999" i="4" s="1"/>
  <c r="M844" i="4"/>
  <c r="N844" i="4" s="1"/>
  <c r="O844" i="4" s="1"/>
  <c r="M632" i="4"/>
  <c r="N632" i="4" s="1"/>
  <c r="O632" i="4" s="1"/>
  <c r="M475" i="4"/>
  <c r="N475" i="4" s="1"/>
  <c r="O475" i="4" s="1"/>
  <c r="M1206" i="4"/>
  <c r="N1206" i="4" s="1"/>
  <c r="O1206" i="4" s="1"/>
  <c r="M1123" i="4"/>
  <c r="N1123" i="4" s="1"/>
  <c r="O1123" i="4" s="1"/>
  <c r="M1052" i="4"/>
  <c r="N1052" i="4" s="1"/>
  <c r="O1052" i="4" s="1"/>
  <c r="M910" i="4"/>
  <c r="N910" i="4" s="1"/>
  <c r="O910" i="4" s="1"/>
  <c r="M788" i="4"/>
  <c r="N788" i="4" s="1"/>
  <c r="O788" i="4" s="1"/>
  <c r="M661" i="4"/>
  <c r="N661" i="4" s="1"/>
  <c r="O661" i="4" s="1"/>
  <c r="M464" i="4"/>
  <c r="N464" i="4" s="1"/>
  <c r="O464" i="4" s="1"/>
  <c r="M1175" i="4"/>
  <c r="N1175" i="4" s="1"/>
  <c r="O1175" i="4" s="1"/>
  <c r="M1054" i="4"/>
  <c r="N1054" i="4" s="1"/>
  <c r="O1054" i="4" s="1"/>
  <c r="T710" i="4" s="1"/>
  <c r="Y710" i="4" s="1"/>
  <c r="M932" i="4"/>
  <c r="N932" i="4" s="1"/>
  <c r="O932" i="4" s="1"/>
  <c r="M785" i="4"/>
  <c r="N785" i="4" s="1"/>
  <c r="O785" i="4" s="1"/>
  <c r="M532" i="4"/>
  <c r="N532" i="4" s="1"/>
  <c r="O532" i="4" s="1"/>
  <c r="M584" i="4"/>
  <c r="N584" i="4" s="1"/>
  <c r="O584" i="4" s="1"/>
  <c r="M283" i="4"/>
  <c r="N283" i="4" s="1"/>
  <c r="O283" i="4" s="1"/>
  <c r="M321" i="4"/>
  <c r="N321" i="4" s="1"/>
  <c r="O321" i="4" s="1"/>
  <c r="M702" i="4"/>
  <c r="N702" i="4" s="1"/>
  <c r="O702" i="4" s="1"/>
  <c r="M349" i="4"/>
  <c r="N349" i="4" s="1"/>
  <c r="O349" i="4" s="1"/>
  <c r="M509" i="4"/>
  <c r="N509" i="4" s="1"/>
  <c r="O509" i="4" s="1"/>
  <c r="M770" i="4"/>
  <c r="N770" i="4" s="1"/>
  <c r="O770" i="4" s="1"/>
  <c r="M301" i="4"/>
  <c r="N301" i="4" s="1"/>
  <c r="O301" i="4" s="1"/>
  <c r="M474" i="4"/>
  <c r="N474" i="4" s="1"/>
  <c r="O474" i="4" s="1"/>
  <c r="T439" i="4" s="1"/>
  <c r="Y439" i="4" s="1"/>
  <c r="M610" i="4"/>
  <c r="N610" i="4" s="1"/>
  <c r="O610" i="4" s="1"/>
  <c r="M604" i="4"/>
  <c r="N604" i="4" s="1"/>
  <c r="O604" i="4" s="1"/>
  <c r="M247" i="4"/>
  <c r="N247" i="4" s="1"/>
  <c r="O247" i="4" s="1"/>
  <c r="M257" i="4"/>
  <c r="N257" i="4" s="1"/>
  <c r="O257" i="4" s="1"/>
  <c r="M341" i="4"/>
  <c r="N341" i="4" s="1"/>
  <c r="O341" i="4" s="1"/>
  <c r="M291" i="4"/>
  <c r="N291" i="4" s="1"/>
  <c r="O291" i="4" s="1"/>
  <c r="M758" i="4"/>
  <c r="N758" i="4" s="1"/>
  <c r="O758" i="4" s="1"/>
  <c r="M296" i="4"/>
  <c r="N296" i="4" s="1"/>
  <c r="O296" i="4" s="1"/>
  <c r="M870" i="4"/>
  <c r="N870" i="4" s="1"/>
  <c r="O870" i="4" s="1"/>
  <c r="M495" i="4"/>
  <c r="N495" i="4" s="1"/>
  <c r="O495" i="4" s="1"/>
  <c r="M933" i="4"/>
  <c r="N933" i="4" s="1"/>
  <c r="O933" i="4" s="1"/>
  <c r="M434" i="4"/>
  <c r="N434" i="4" s="1"/>
  <c r="O434" i="4" s="1"/>
  <c r="M682" i="4"/>
  <c r="N682" i="4" s="1"/>
  <c r="O682" i="4" s="1"/>
  <c r="M823" i="4"/>
  <c r="N823" i="4" s="1"/>
  <c r="O823" i="4" s="1"/>
  <c r="M840" i="4"/>
  <c r="N840" i="4" s="1"/>
  <c r="O840" i="4" s="1"/>
  <c r="M854" i="4"/>
  <c r="N854" i="4" s="1"/>
  <c r="O854" i="4" s="1"/>
  <c r="M1016" i="4"/>
  <c r="N1016" i="4" s="1"/>
  <c r="O1016" i="4" s="1"/>
  <c r="M1027" i="4"/>
  <c r="N1027" i="4" s="1"/>
  <c r="O1027" i="4" s="1"/>
  <c r="M1039" i="4"/>
  <c r="N1039" i="4" s="1"/>
  <c r="O1039" i="4" s="1"/>
  <c r="M906" i="4"/>
  <c r="N906" i="4" s="1"/>
  <c r="O906" i="4" s="1"/>
  <c r="M780" i="4"/>
  <c r="N780" i="4" s="1"/>
  <c r="O780" i="4" s="1"/>
  <c r="T761" i="4" s="1"/>
  <c r="Y761" i="4" s="1"/>
  <c r="M578" i="4"/>
  <c r="N578" i="4" s="1"/>
  <c r="O578" i="4" s="1"/>
  <c r="M335" i="4"/>
  <c r="N335" i="4" s="1"/>
  <c r="O335" i="4" s="1"/>
  <c r="M1077" i="4"/>
  <c r="N1077" i="4" s="1"/>
  <c r="O1077" i="4" s="1"/>
  <c r="M950" i="4"/>
  <c r="N950" i="4" s="1"/>
  <c r="O950" i="4" s="1"/>
  <c r="M821" i="4"/>
  <c r="N821" i="4" s="1"/>
  <c r="O821" i="4" s="1"/>
  <c r="M612" i="4"/>
  <c r="N612" i="4" s="1"/>
  <c r="O612" i="4" s="1"/>
  <c r="M353" i="4"/>
  <c r="N353" i="4" s="1"/>
  <c r="O353" i="4" s="1"/>
  <c r="M1109" i="4"/>
  <c r="N1109" i="4" s="1"/>
  <c r="O1109" i="4" s="1"/>
  <c r="M993" i="4"/>
  <c r="N993" i="4" s="1"/>
  <c r="O993" i="4" s="1"/>
  <c r="M859" i="4"/>
  <c r="N859" i="4" s="1"/>
  <c r="O859" i="4" s="1"/>
  <c r="M640" i="4"/>
  <c r="N640" i="4" s="1"/>
  <c r="O640" i="4" s="1"/>
  <c r="M368" i="4"/>
  <c r="N368" i="4" s="1"/>
  <c r="O368" i="4" s="1"/>
  <c r="M1136" i="4"/>
  <c r="N1136" i="4" s="1"/>
  <c r="O1136" i="4" s="1"/>
  <c r="T969" i="4" s="1"/>
  <c r="Y969" i="4" s="1"/>
  <c r="M1024" i="4"/>
  <c r="N1024" i="4" s="1"/>
  <c r="O1024" i="4" s="1"/>
  <c r="M892" i="4"/>
  <c r="N892" i="4" s="1"/>
  <c r="O892" i="4" s="1"/>
  <c r="M668" i="4"/>
  <c r="N668" i="4" s="1"/>
  <c r="O668" i="4" s="1"/>
  <c r="M385" i="4"/>
  <c r="N385" i="4" s="1"/>
  <c r="O385" i="4" s="1"/>
  <c r="M1157" i="4"/>
  <c r="N1157" i="4" s="1"/>
  <c r="O1157" i="4" s="1"/>
  <c r="M1051" i="4"/>
  <c r="N1051" i="4" s="1"/>
  <c r="O1051" i="4" s="1"/>
  <c r="M925" i="4"/>
  <c r="N925" i="4" s="1"/>
  <c r="O925" i="4" s="1"/>
  <c r="M691" i="4"/>
  <c r="N691" i="4" s="1"/>
  <c r="O691" i="4" s="1"/>
  <c r="M399" i="4"/>
  <c r="N399" i="4" s="1"/>
  <c r="O399" i="4" s="1"/>
  <c r="T1113" i="4" s="1"/>
  <c r="Y1113" i="4" s="1"/>
  <c r="M1174" i="4"/>
  <c r="N1174" i="4" s="1"/>
  <c r="O1174" i="4" s="1"/>
  <c r="M1073" i="4"/>
  <c r="N1073" i="4" s="1"/>
  <c r="O1073" i="4" s="1"/>
  <c r="M952" i="4"/>
  <c r="N952" i="4" s="1"/>
  <c r="O952" i="4" s="1"/>
  <c r="M714" i="4"/>
  <c r="N714" i="4" s="1"/>
  <c r="O714" i="4" s="1"/>
  <c r="M416" i="4"/>
  <c r="N416" i="4" s="1"/>
  <c r="O416" i="4" s="1"/>
  <c r="M1187" i="4"/>
  <c r="N1187" i="4" s="1"/>
  <c r="O1187" i="4" s="1"/>
  <c r="M1096" i="4"/>
  <c r="N1096" i="4" s="1"/>
  <c r="O1096" i="4" s="1"/>
  <c r="M527" i="4"/>
  <c r="N527" i="4" s="1"/>
  <c r="O527" i="4" s="1"/>
  <c r="M248" i="4"/>
  <c r="N248" i="4" s="1"/>
  <c r="O248" i="4" s="1"/>
  <c r="M250" i="4"/>
  <c r="N250" i="4" s="1"/>
  <c r="O250" i="4" s="1"/>
  <c r="M414" i="4"/>
  <c r="N414" i="4" s="1"/>
  <c r="O414" i="4" s="1"/>
  <c r="M717" i="4"/>
  <c r="N717" i="4" s="1"/>
  <c r="O717" i="4" s="1"/>
  <c r="M1021" i="4"/>
  <c r="N1021" i="4" s="1"/>
  <c r="O1021" i="4" s="1"/>
  <c r="M652" i="4"/>
  <c r="N652" i="4" s="1"/>
  <c r="O652" i="4" s="1"/>
  <c r="M641" i="4"/>
  <c r="N641" i="4" s="1"/>
  <c r="O641" i="4" s="1"/>
  <c r="M1004" i="4"/>
  <c r="N1004" i="4" s="1"/>
  <c r="O1004" i="4" s="1"/>
  <c r="T1163" i="4" s="1"/>
  <c r="Y1163" i="4" s="1"/>
  <c r="M748" i="4"/>
  <c r="N748" i="4" s="1"/>
  <c r="O748" i="4" s="1"/>
  <c r="T1078" i="4" s="1"/>
  <c r="Y1078" i="4" s="1"/>
  <c r="M1216" i="4"/>
  <c r="N1216" i="4" s="1"/>
  <c r="O1216" i="4" s="1"/>
  <c r="M1062" i="4"/>
  <c r="N1062" i="4" s="1"/>
  <c r="O1062" i="4" s="1"/>
  <c r="M835" i="4"/>
  <c r="N835" i="4" s="1"/>
  <c r="O835" i="4" s="1"/>
  <c r="M504" i="4"/>
  <c r="N504" i="4" s="1"/>
  <c r="O504" i="4" s="1"/>
  <c r="M1081" i="4"/>
  <c r="N1081" i="4" s="1"/>
  <c r="O1081" i="4" s="1"/>
  <c r="M426" i="4"/>
  <c r="N426" i="4" s="1"/>
  <c r="O426" i="4" s="1"/>
  <c r="M752" i="4"/>
  <c r="N752" i="4" s="1"/>
  <c r="O752" i="4" s="1"/>
  <c r="M239" i="4"/>
  <c r="N239" i="4" s="1"/>
  <c r="O239" i="4" s="1"/>
  <c r="T239" i="4" s="1"/>
  <c r="M452" i="4"/>
  <c r="N452" i="4" s="1"/>
  <c r="O452" i="4" s="1"/>
  <c r="M828" i="4"/>
  <c r="N828" i="4" s="1"/>
  <c r="O828" i="4" s="1"/>
  <c r="M1012" i="4"/>
  <c r="N1012" i="4" s="1"/>
  <c r="O1012" i="4" s="1"/>
  <c r="M365" i="4"/>
  <c r="N365" i="4" s="1"/>
  <c r="O365" i="4" s="1"/>
  <c r="M541" i="4"/>
  <c r="N541" i="4" s="1"/>
  <c r="O541" i="4" s="1"/>
  <c r="M667" i="4"/>
  <c r="N667" i="4" s="1"/>
  <c r="O667" i="4" s="1"/>
  <c r="T426" i="4" s="1"/>
  <c r="Y426" i="4" s="1"/>
  <c r="M391" i="4"/>
  <c r="N391" i="4" s="1"/>
  <c r="O391" i="4" s="1"/>
  <c r="M373" i="4"/>
  <c r="N373" i="4" s="1"/>
  <c r="O373" i="4" s="1"/>
  <c r="M955" i="4"/>
  <c r="N955" i="4" s="1"/>
  <c r="O955" i="4" s="1"/>
  <c r="M988" i="4"/>
  <c r="N988" i="4" s="1"/>
  <c r="O988" i="4" s="1"/>
  <c r="M316" i="4"/>
  <c r="N316" i="4" s="1"/>
  <c r="O316" i="4" s="1"/>
  <c r="M325" i="4"/>
  <c r="N325" i="4" s="1"/>
  <c r="O325" i="4" s="1"/>
  <c r="M918" i="4"/>
  <c r="N918" i="4" s="1"/>
  <c r="O918" i="4" s="1"/>
  <c r="M585" i="4"/>
  <c r="N585" i="4" s="1"/>
  <c r="O585" i="4" s="1"/>
  <c r="M1087" i="4"/>
  <c r="N1087" i="4" s="1"/>
  <c r="O1087" i="4" s="1"/>
  <c r="M832" i="4"/>
  <c r="N832" i="4" s="1"/>
  <c r="O832" i="4" s="1"/>
  <c r="M356" i="4"/>
  <c r="N356" i="4" s="1"/>
  <c r="O356" i="4" s="1"/>
  <c r="M1001" i="4"/>
  <c r="N1001" i="4" s="1"/>
  <c r="O1001" i="4" s="1"/>
  <c r="M647" i="4"/>
  <c r="N647" i="4" s="1"/>
  <c r="O647" i="4" s="1"/>
  <c r="M1141" i="4"/>
  <c r="N1141" i="4" s="1"/>
  <c r="O1141" i="4" s="1"/>
  <c r="M900" i="4"/>
  <c r="N900" i="4" s="1"/>
  <c r="O900" i="4" s="1"/>
  <c r="M386" i="4"/>
  <c r="N386" i="4" s="1"/>
  <c r="O386" i="4" s="1"/>
  <c r="M1057" i="4"/>
  <c r="N1057" i="4" s="1"/>
  <c r="O1057" i="4" s="1"/>
  <c r="M695" i="4"/>
  <c r="N695" i="4" s="1"/>
  <c r="O695" i="4" s="1"/>
  <c r="M1177" i="4"/>
  <c r="N1177" i="4" s="1"/>
  <c r="O1177" i="4" s="1"/>
  <c r="M959" i="4"/>
  <c r="N959" i="4" s="1"/>
  <c r="O959" i="4" s="1"/>
  <c r="M421" i="4"/>
  <c r="N421" i="4" s="1"/>
  <c r="O421" i="4" s="1"/>
  <c r="M287" i="4"/>
  <c r="N287" i="4" s="1"/>
  <c r="O287" i="4" s="1"/>
  <c r="M348" i="4"/>
  <c r="N348" i="4" s="1"/>
  <c r="O348" i="4" s="1"/>
  <c r="T283" i="4" s="1"/>
  <c r="Y283" i="4" s="1"/>
  <c r="M402" i="4"/>
  <c r="N402" i="4" s="1"/>
  <c r="O402" i="4" s="1"/>
  <c r="M318" i="4"/>
  <c r="N318" i="4" s="1"/>
  <c r="O318" i="4" s="1"/>
  <c r="M494" i="4"/>
  <c r="N494" i="4" s="1"/>
  <c r="O494" i="4" s="1"/>
  <c r="M367" i="4"/>
  <c r="N367" i="4" s="1"/>
  <c r="O367" i="4" s="1"/>
  <c r="M943" i="4"/>
  <c r="N943" i="4" s="1"/>
  <c r="O943" i="4" s="1"/>
  <c r="M795" i="4"/>
  <c r="N795" i="4" s="1"/>
  <c r="O795" i="4" s="1"/>
  <c r="M1158" i="4"/>
  <c r="N1158" i="4" s="1"/>
  <c r="O1158" i="4" s="1"/>
  <c r="M467" i="4"/>
  <c r="N467" i="4" s="1"/>
  <c r="O467" i="4" s="1"/>
  <c r="M936" i="4"/>
  <c r="N936" i="4" s="1"/>
  <c r="O936" i="4" s="1"/>
  <c r="M1090" i="4"/>
  <c r="N1090" i="4" s="1"/>
  <c r="O1090" i="4" s="1"/>
  <c r="M862" i="4"/>
  <c r="N862" i="4" s="1"/>
  <c r="O862" i="4" s="1"/>
  <c r="M1167" i="4"/>
  <c r="N1167" i="4" s="1"/>
  <c r="O1167" i="4" s="1"/>
  <c r="M1070" i="4"/>
  <c r="N1070" i="4" s="1"/>
  <c r="O1070" i="4" s="1"/>
  <c r="M521" i="4"/>
  <c r="N521" i="4" s="1"/>
  <c r="O521" i="4" s="1"/>
  <c r="M267" i="4"/>
  <c r="N267" i="4" s="1"/>
  <c r="O267" i="4" s="1"/>
  <c r="M1200" i="4"/>
  <c r="N1200" i="4" s="1"/>
  <c r="O1200" i="4" s="1"/>
  <c r="M1011" i="4"/>
  <c r="N1011" i="4" s="1"/>
  <c r="O1011" i="4" s="1"/>
  <c r="M1215" i="4"/>
  <c r="N1215" i="4" s="1"/>
  <c r="O1215" i="4" s="1"/>
  <c r="M1189" i="4"/>
  <c r="N1189" i="4" s="1"/>
  <c r="O1189" i="4" s="1"/>
  <c r="M1149" i="4"/>
  <c r="N1149" i="4" s="1"/>
  <c r="O1149" i="4" s="1"/>
  <c r="M1119" i="4"/>
  <c r="N1119" i="4" s="1"/>
  <c r="O1119" i="4" s="1"/>
  <c r="M1084" i="4"/>
  <c r="N1084" i="4" s="1"/>
  <c r="O1084" i="4" s="1"/>
  <c r="M1006" i="4"/>
  <c r="N1006" i="4" s="1"/>
  <c r="O1006" i="4" s="1"/>
  <c r="M951" i="4"/>
  <c r="N951" i="4" s="1"/>
  <c r="O951" i="4" s="1"/>
  <c r="M921" i="4"/>
  <c r="N921" i="4" s="1"/>
  <c r="O921" i="4" s="1"/>
  <c r="M830" i="4"/>
  <c r="N830" i="4" s="1"/>
  <c r="O830" i="4" s="1"/>
  <c r="M765" i="4"/>
  <c r="N765" i="4" s="1"/>
  <c r="O765" i="4" s="1"/>
  <c r="M701" i="4"/>
  <c r="N701" i="4" s="1"/>
  <c r="O701" i="4" s="1"/>
  <c r="M567" i="4"/>
  <c r="N567" i="4" s="1"/>
  <c r="O567" i="4" s="1"/>
  <c r="M497" i="4"/>
  <c r="N497" i="4" s="1"/>
  <c r="O497" i="4" s="1"/>
  <c r="M423" i="4"/>
  <c r="N423" i="4" s="1"/>
  <c r="O423" i="4" s="1"/>
  <c r="M1199" i="4"/>
  <c r="N1199" i="4" s="1"/>
  <c r="O1199" i="4" s="1"/>
  <c r="M1161" i="4"/>
  <c r="N1161" i="4" s="1"/>
  <c r="O1161" i="4" s="1"/>
  <c r="M1103" i="4"/>
  <c r="N1103" i="4" s="1"/>
  <c r="O1103" i="4" s="1"/>
  <c r="M1040" i="4"/>
  <c r="N1040" i="4" s="1"/>
  <c r="O1040" i="4" s="1"/>
  <c r="T788" i="4" s="1"/>
  <c r="Y788" i="4" s="1"/>
  <c r="M998" i="4"/>
  <c r="N998" i="4" s="1"/>
  <c r="O998" i="4" s="1"/>
  <c r="M947" i="4"/>
  <c r="N947" i="4" s="1"/>
  <c r="O947" i="4" s="1"/>
  <c r="M850" i="4"/>
  <c r="N850" i="4" s="1"/>
  <c r="O850" i="4" s="1"/>
  <c r="M796" i="4"/>
  <c r="N796" i="4" s="1"/>
  <c r="O796" i="4" s="1"/>
  <c r="M757" i="4"/>
  <c r="N757" i="4" s="1"/>
  <c r="O757" i="4" s="1"/>
  <c r="T682" i="4" s="1"/>
  <c r="Y682" i="4" s="1"/>
  <c r="M676" i="4"/>
  <c r="N676" i="4" s="1"/>
  <c r="O676" i="4" s="1"/>
  <c r="M615" i="4"/>
  <c r="N615" i="4" s="1"/>
  <c r="O615" i="4" s="1"/>
  <c r="T639" i="4" s="1"/>
  <c r="Y639" i="4" s="1"/>
  <c r="M558" i="4"/>
  <c r="N558" i="4" s="1"/>
  <c r="O558" i="4" s="1"/>
  <c r="M442" i="4"/>
  <c r="N442" i="4" s="1"/>
  <c r="O442" i="4" s="1"/>
  <c r="M887" i="4"/>
  <c r="N887" i="4" s="1"/>
  <c r="O887" i="4" s="1"/>
  <c r="M595" i="4"/>
  <c r="N595" i="4" s="1"/>
  <c r="O595" i="4" s="1"/>
  <c r="M756" i="4"/>
  <c r="N756" i="4" s="1"/>
  <c r="O756" i="4" s="1"/>
  <c r="M957" i="4"/>
  <c r="N957" i="4" s="1"/>
  <c r="O957" i="4" s="1"/>
  <c r="M278" i="4"/>
  <c r="N278" i="4" s="1"/>
  <c r="O278" i="4" s="1"/>
  <c r="M294" i="4"/>
  <c r="N294" i="4" s="1"/>
  <c r="O294" i="4" s="1"/>
  <c r="M295" i="4"/>
  <c r="N295" i="4" s="1"/>
  <c r="O295" i="4" s="1"/>
  <c r="M812" i="4"/>
  <c r="N812" i="4" s="1"/>
  <c r="O812" i="4" s="1"/>
  <c r="M794" i="4"/>
  <c r="N794" i="4" s="1"/>
  <c r="O794" i="4" s="1"/>
  <c r="M654" i="4"/>
  <c r="N654" i="4" s="1"/>
  <c r="O654" i="4" s="1"/>
  <c r="T561" i="4" s="1"/>
  <c r="Y561" i="4" s="1"/>
  <c r="M638" i="4"/>
  <c r="N638" i="4" s="1"/>
  <c r="O638" i="4" s="1"/>
  <c r="M621" i="4"/>
  <c r="N621" i="4" s="1"/>
  <c r="O621" i="4" s="1"/>
  <c r="M436" i="4"/>
  <c r="N436" i="4" s="1"/>
  <c r="O436" i="4" s="1"/>
  <c r="M425" i="4"/>
  <c r="N425" i="4" s="1"/>
  <c r="O425" i="4" s="1"/>
  <c r="M410" i="4"/>
  <c r="N410" i="4" s="1"/>
  <c r="O410" i="4" s="1"/>
  <c r="M570" i="4"/>
  <c r="N570" i="4" s="1"/>
  <c r="O570" i="4" s="1"/>
  <c r="M1211" i="4"/>
  <c r="N1211" i="4" s="1"/>
  <c r="O1211" i="4" s="1"/>
  <c r="M1107" i="4"/>
  <c r="N1107" i="4" s="1"/>
  <c r="O1107" i="4" s="1"/>
  <c r="M451" i="4"/>
  <c r="N451" i="4" s="1"/>
  <c r="O451" i="4" s="1"/>
  <c r="M1145" i="4"/>
  <c r="N1145" i="4" s="1"/>
  <c r="O1145" i="4" s="1"/>
  <c r="M778" i="4"/>
  <c r="N778" i="4" s="1"/>
  <c r="O778" i="4" s="1"/>
  <c r="M826" i="4"/>
  <c r="N826" i="4" s="1"/>
  <c r="O826" i="4" s="1"/>
  <c r="M818" i="4"/>
  <c r="N818" i="4" s="1"/>
  <c r="O818" i="4" s="1"/>
  <c r="M636" i="4"/>
  <c r="N636" i="4" s="1"/>
  <c r="O636" i="4" s="1"/>
  <c r="M651" i="4"/>
  <c r="N651" i="4" s="1"/>
  <c r="O651" i="4" s="1"/>
  <c r="M1008" i="4"/>
  <c r="N1008" i="4" s="1"/>
  <c r="O1008" i="4" s="1"/>
  <c r="M492" i="4"/>
  <c r="N492" i="4" s="1"/>
  <c r="O492" i="4" s="1"/>
  <c r="M816" i="4"/>
  <c r="N816" i="4" s="1"/>
  <c r="O816" i="4" s="1"/>
  <c r="M340" i="4"/>
  <c r="N340" i="4" s="1"/>
  <c r="O340" i="4" s="1"/>
  <c r="M669" i="4"/>
  <c r="N669" i="4" s="1"/>
  <c r="O669" i="4" s="1"/>
  <c r="M858" i="4"/>
  <c r="N858" i="4" s="1"/>
  <c r="O858" i="4" s="1"/>
  <c r="M786" i="4"/>
  <c r="N786" i="4" s="1"/>
  <c r="O786" i="4" s="1"/>
  <c r="M645" i="4"/>
  <c r="N645" i="4" s="1"/>
  <c r="O645" i="4" s="1"/>
  <c r="M563" i="4"/>
  <c r="N563" i="4" s="1"/>
  <c r="O563" i="4" s="1"/>
  <c r="M481" i="4"/>
  <c r="N481" i="4" s="1"/>
  <c r="O481" i="4" s="1"/>
  <c r="M1226" i="4"/>
  <c r="N1226" i="4" s="1"/>
  <c r="O1226" i="4" s="1"/>
  <c r="M1209" i="4"/>
  <c r="N1209" i="4" s="1"/>
  <c r="O1209" i="4" s="1"/>
  <c r="M1179" i="4"/>
  <c r="N1179" i="4" s="1"/>
  <c r="O1179" i="4" s="1"/>
  <c r="M1134" i="4"/>
  <c r="N1134" i="4" s="1"/>
  <c r="O1134" i="4" s="1"/>
  <c r="M1102" i="4"/>
  <c r="N1102" i="4" s="1"/>
  <c r="O1102" i="4" s="1"/>
  <c r="M1064" i="4"/>
  <c r="N1064" i="4" s="1"/>
  <c r="O1064" i="4" s="1"/>
  <c r="M983" i="4"/>
  <c r="N983" i="4" s="1"/>
  <c r="O983" i="4" s="1"/>
  <c r="M928" i="4"/>
  <c r="N928" i="4" s="1"/>
  <c r="O928" i="4" s="1"/>
  <c r="M895" i="4"/>
  <c r="N895" i="4" s="1"/>
  <c r="O895" i="4" s="1"/>
  <c r="M807" i="4"/>
  <c r="N807" i="4" s="1"/>
  <c r="O807" i="4" s="1"/>
  <c r="M743" i="4"/>
  <c r="N743" i="4" s="1"/>
  <c r="O743" i="4" s="1"/>
  <c r="M677" i="4"/>
  <c r="N677" i="4" s="1"/>
  <c r="O677" i="4" s="1"/>
  <c r="M547" i="4"/>
  <c r="N547" i="4" s="1"/>
  <c r="O547" i="4" s="1"/>
  <c r="M476" i="4"/>
  <c r="N476" i="4" s="1"/>
  <c r="O476" i="4" s="1"/>
  <c r="M406" i="4"/>
  <c r="N406" i="4" s="1"/>
  <c r="O406" i="4" s="1"/>
  <c r="M1185" i="4"/>
  <c r="N1185" i="4" s="1"/>
  <c r="O1185" i="4" s="1"/>
  <c r="M1140" i="4"/>
  <c r="N1140" i="4" s="1"/>
  <c r="O1140" i="4" s="1"/>
  <c r="M1075" i="4"/>
  <c r="N1075" i="4" s="1"/>
  <c r="O1075" i="4" s="1"/>
  <c r="T750" i="4" s="1"/>
  <c r="Y750" i="4" s="1"/>
  <c r="M1010" i="4"/>
  <c r="N1010" i="4" s="1"/>
  <c r="O1010" i="4" s="1"/>
  <c r="M962" i="4"/>
  <c r="N962" i="4" s="1"/>
  <c r="O962" i="4" s="1"/>
  <c r="M908" i="4"/>
  <c r="N908" i="4" s="1"/>
  <c r="O908" i="4" s="1"/>
  <c r="M810" i="4"/>
  <c r="N810" i="4" s="1"/>
  <c r="O810" i="4" s="1"/>
  <c r="T664" i="4" s="1"/>
  <c r="Y664" i="4" s="1"/>
  <c r="M753" i="4"/>
  <c r="N753" i="4" s="1"/>
  <c r="O753" i="4" s="1"/>
  <c r="M718" i="4"/>
  <c r="N718" i="4" s="1"/>
  <c r="O718" i="4" s="1"/>
  <c r="M635" i="4"/>
  <c r="N635" i="4" s="1"/>
  <c r="O635" i="4" s="1"/>
  <c r="M334" i="4"/>
  <c r="N334" i="4" s="1"/>
  <c r="O334" i="4" s="1"/>
  <c r="M798" i="4"/>
  <c r="N798" i="4" s="1"/>
  <c r="O798" i="4" s="1"/>
  <c r="M355" i="4"/>
  <c r="N355" i="4" s="1"/>
  <c r="O355" i="4" s="1"/>
  <c r="T515" i="4" s="1"/>
  <c r="Y515" i="4" s="1"/>
  <c r="M644" i="4"/>
  <c r="N644" i="4" s="1"/>
  <c r="O644" i="4" s="1"/>
  <c r="M673" i="4"/>
  <c r="N673" i="4" s="1"/>
  <c r="O673" i="4" s="1"/>
  <c r="M648" i="4"/>
  <c r="N648" i="4" s="1"/>
  <c r="O648" i="4" s="1"/>
  <c r="M538" i="4"/>
  <c r="N538" i="4" s="1"/>
  <c r="O538" i="4" s="1"/>
  <c r="M277" i="4"/>
  <c r="N277" i="4" s="1"/>
  <c r="O277" i="4" s="1"/>
  <c r="M550" i="4"/>
  <c r="N550" i="4" s="1"/>
  <c r="O550" i="4" s="1"/>
  <c r="M379" i="4"/>
  <c r="N379" i="4" s="1"/>
  <c r="O379" i="4" s="1"/>
  <c r="M1204" i="4"/>
  <c r="N1204" i="4" s="1"/>
  <c r="O1204" i="4" s="1"/>
  <c r="M388" i="4"/>
  <c r="N388" i="4" s="1"/>
  <c r="O388" i="4" s="1"/>
  <c r="M775" i="4"/>
  <c r="N775" i="4" s="1"/>
  <c r="O775" i="4" s="1"/>
  <c r="M1224" i="4"/>
  <c r="N1224" i="4" s="1"/>
  <c r="O1224" i="4" s="1"/>
  <c r="M1088" i="4"/>
  <c r="N1088" i="4" s="1"/>
  <c r="O1088" i="4" s="1"/>
  <c r="M875" i="4"/>
  <c r="N875" i="4" s="1"/>
  <c r="O875" i="4" s="1"/>
  <c r="M533" i="4"/>
  <c r="N533" i="4" s="1"/>
  <c r="O533" i="4" s="1"/>
  <c r="M1124" i="4"/>
  <c r="N1124" i="4" s="1"/>
  <c r="O1124" i="4" s="1"/>
  <c r="M878" i="4"/>
  <c r="N878" i="4" s="1"/>
  <c r="O878" i="4" s="1"/>
  <c r="M869" i="4"/>
  <c r="N869" i="4" s="1"/>
  <c r="O869" i="4" s="1"/>
  <c r="M307" i="4"/>
  <c r="N307" i="4" s="1"/>
  <c r="O307" i="4" s="1"/>
  <c r="M236" i="4"/>
  <c r="N236" i="4" s="1"/>
  <c r="O236" i="4" s="1"/>
  <c r="T236" i="4" s="1"/>
  <c r="M601" i="4"/>
  <c r="N601" i="4" s="1"/>
  <c r="O601" i="4" s="1"/>
  <c r="M422" i="4"/>
  <c r="N422" i="4" s="1"/>
  <c r="O422" i="4" s="1"/>
  <c r="M369" i="4"/>
  <c r="N369" i="4" s="1"/>
  <c r="O369" i="4" s="1"/>
  <c r="M312" i="4"/>
  <c r="N312" i="4" s="1"/>
  <c r="O312" i="4" s="1"/>
  <c r="M265" i="4"/>
  <c r="N265" i="4" s="1"/>
  <c r="O265" i="4" s="1"/>
  <c r="M926" i="4"/>
  <c r="N926" i="4" s="1"/>
  <c r="O926" i="4" s="1"/>
  <c r="M792" i="4"/>
  <c r="N792" i="4" s="1"/>
  <c r="O792" i="4" s="1"/>
  <c r="M613" i="4"/>
  <c r="N613" i="4" s="1"/>
  <c r="O613" i="4" s="1"/>
  <c r="M300" i="4"/>
  <c r="N300" i="4" s="1"/>
  <c r="O300" i="4" s="1"/>
  <c r="M525" i="4"/>
  <c r="N525" i="4" s="1"/>
  <c r="O525" i="4" s="1"/>
  <c r="M542" i="4"/>
  <c r="N542" i="4" s="1"/>
  <c r="O542" i="4" s="1"/>
  <c r="M560" i="4"/>
  <c r="N560" i="4" s="1"/>
  <c r="O560" i="4" s="1"/>
  <c r="M1060" i="4"/>
  <c r="N1060" i="4" s="1"/>
  <c r="O1060" i="4" s="1"/>
  <c r="T769" i="4" s="1"/>
  <c r="Y769" i="4" s="1"/>
  <c r="M802" i="4"/>
  <c r="N802" i="4" s="1"/>
  <c r="O802" i="4" s="1"/>
  <c r="M343" i="4"/>
  <c r="N343" i="4" s="1"/>
  <c r="O343" i="4" s="1"/>
  <c r="M973" i="4"/>
  <c r="N973" i="4" s="1"/>
  <c r="O973" i="4" s="1"/>
  <c r="M623" i="4"/>
  <c r="N623" i="4" s="1"/>
  <c r="O623" i="4" s="1"/>
  <c r="M1122" i="4"/>
  <c r="N1122" i="4" s="1"/>
  <c r="O1122" i="4" s="1"/>
  <c r="M877" i="4"/>
  <c r="N877" i="4" s="1"/>
  <c r="O877" i="4" s="1"/>
  <c r="M374" i="4"/>
  <c r="N374" i="4" s="1"/>
  <c r="O374" i="4" s="1"/>
  <c r="M1037" i="4"/>
  <c r="N1037" i="4" s="1"/>
  <c r="O1037" i="4" s="1"/>
  <c r="T1025" i="4" s="1"/>
  <c r="Y1025" i="4" s="1"/>
  <c r="M678" i="4"/>
  <c r="N678" i="4" s="1"/>
  <c r="O678" i="4" s="1"/>
  <c r="M1164" i="4"/>
  <c r="N1164" i="4" s="1"/>
  <c r="O1164" i="4" s="1"/>
  <c r="M938" i="4"/>
  <c r="N938" i="4" s="1"/>
  <c r="O938" i="4" s="1"/>
  <c r="M407" i="4"/>
  <c r="N407" i="4" s="1"/>
  <c r="O407" i="4" s="1"/>
  <c r="M1086" i="4"/>
  <c r="N1086" i="4" s="1"/>
  <c r="O1086" i="4" s="1"/>
  <c r="M728" i="4"/>
  <c r="N728" i="4" s="1"/>
  <c r="O728" i="4" s="1"/>
  <c r="M245" i="4"/>
  <c r="N245" i="4" s="1"/>
  <c r="O245" i="4" s="1"/>
  <c r="M491" i="4"/>
  <c r="N491" i="4" s="1"/>
  <c r="O491" i="4" s="1"/>
  <c r="M596" i="4"/>
  <c r="N596" i="4" s="1"/>
  <c r="O596" i="4" s="1"/>
  <c r="M793" i="4"/>
  <c r="N793" i="4" s="1"/>
  <c r="O793" i="4" s="1"/>
  <c r="M697" i="4"/>
  <c r="N697" i="4" s="1"/>
  <c r="O697" i="4" s="1"/>
  <c r="M609" i="4"/>
  <c r="N609" i="4" s="1"/>
  <c r="O609" i="4" s="1"/>
  <c r="M646" i="4"/>
  <c r="N646" i="4" s="1"/>
  <c r="O646" i="4" s="1"/>
  <c r="M994" i="4"/>
  <c r="N994" i="4" s="1"/>
  <c r="O994" i="4" s="1"/>
  <c r="M768" i="4"/>
  <c r="N768" i="4" s="1"/>
  <c r="O768" i="4" s="1"/>
  <c r="M935" i="4"/>
  <c r="N935" i="4" s="1"/>
  <c r="O935" i="4" s="1"/>
  <c r="M1083" i="4"/>
  <c r="N1083" i="4" s="1"/>
  <c r="O1083" i="4" s="1"/>
  <c r="M1205" i="4"/>
  <c r="N1205" i="4" s="1"/>
  <c r="O1205" i="4" s="1"/>
  <c r="M1148" i="4"/>
  <c r="N1148" i="4" s="1"/>
  <c r="O1148" i="4" s="1"/>
  <c r="M923" i="4"/>
  <c r="N923" i="4" s="1"/>
  <c r="O923" i="4" s="1"/>
  <c r="M398" i="4"/>
  <c r="N398" i="4" s="1"/>
  <c r="O398" i="4" s="1"/>
  <c r="M642" i="4"/>
  <c r="N642" i="4" s="1"/>
  <c r="O642" i="4" s="1"/>
  <c r="M1222" i="4"/>
  <c r="N1222" i="4" s="1"/>
  <c r="O1222" i="4" s="1"/>
  <c r="M1055" i="4"/>
  <c r="N1055" i="4" s="1"/>
  <c r="O1055" i="4" s="1"/>
  <c r="T1204" i="4" s="1"/>
  <c r="Y1204" i="4" s="1"/>
  <c r="M1229" i="4"/>
  <c r="N1229" i="4" s="1"/>
  <c r="O1229" i="4" s="1"/>
  <c r="M1106" i="4"/>
  <c r="N1106" i="4" s="1"/>
  <c r="O1106" i="4" s="1"/>
  <c r="M1034" i="4"/>
  <c r="N1034" i="4" s="1"/>
  <c r="O1034" i="4" s="1"/>
  <c r="M982" i="4"/>
  <c r="N982" i="4" s="1"/>
  <c r="O982" i="4" s="1"/>
  <c r="M949" i="4"/>
  <c r="N949" i="4" s="1"/>
  <c r="O949" i="4" s="1"/>
  <c r="M863" i="4"/>
  <c r="N863" i="4" s="1"/>
  <c r="O863" i="4" s="1"/>
  <c r="M799" i="4"/>
  <c r="N799" i="4" s="1"/>
  <c r="O799" i="4" s="1"/>
  <c r="T1039" i="4" s="1"/>
  <c r="Y1039" i="4" s="1"/>
  <c r="M731" i="4"/>
  <c r="N731" i="4" s="1"/>
  <c r="O731" i="4" s="1"/>
  <c r="M593" i="4"/>
  <c r="N593" i="4" s="1"/>
  <c r="O593" i="4" s="1"/>
  <c r="M518" i="4"/>
  <c r="N518" i="4" s="1"/>
  <c r="O518" i="4" s="1"/>
  <c r="M441" i="4"/>
  <c r="N441" i="4" s="1"/>
  <c r="O441" i="4" s="1"/>
  <c r="M1210" i="4"/>
  <c r="N1210" i="4" s="1"/>
  <c r="O1210" i="4" s="1"/>
  <c r="M1183" i="4"/>
  <c r="N1183" i="4" s="1"/>
  <c r="O1183" i="4" s="1"/>
  <c r="M1133" i="4"/>
  <c r="N1133" i="4" s="1"/>
  <c r="O1133" i="4" s="1"/>
  <c r="M1074" i="4"/>
  <c r="N1074" i="4" s="1"/>
  <c r="O1074" i="4" s="1"/>
  <c r="M1035" i="4"/>
  <c r="N1035" i="4" s="1"/>
  <c r="O1035" i="4" s="1"/>
  <c r="M995" i="4"/>
  <c r="N995" i="4" s="1"/>
  <c r="O995" i="4" s="1"/>
  <c r="M897" i="4"/>
  <c r="N897" i="4" s="1"/>
  <c r="O897" i="4" s="1"/>
  <c r="M841" i="4"/>
  <c r="N841" i="4" s="1"/>
  <c r="O841" i="4" s="1"/>
  <c r="M805" i="4"/>
  <c r="N805" i="4" s="1"/>
  <c r="O805" i="4" s="1"/>
  <c r="M721" i="4"/>
  <c r="N721" i="4" s="1"/>
  <c r="O721" i="4" s="1"/>
  <c r="M660" i="4"/>
  <c r="N660" i="4" s="1"/>
  <c r="O660" i="4" s="1"/>
  <c r="M597" i="4"/>
  <c r="N597" i="4" s="1"/>
  <c r="O597" i="4" s="1"/>
  <c r="M479" i="4"/>
  <c r="N479" i="4" s="1"/>
  <c r="O479" i="4" s="1"/>
  <c r="M417" i="4"/>
  <c r="N417" i="4" s="1"/>
  <c r="O417" i="4" s="1"/>
  <c r="M352" i="4"/>
  <c r="N352" i="4" s="1"/>
  <c r="O352" i="4" s="1"/>
  <c r="M1108" i="4"/>
  <c r="N1108" i="4" s="1"/>
  <c r="O1108" i="4" s="1"/>
  <c r="M972" i="4"/>
  <c r="N972" i="4" s="1"/>
  <c r="O972" i="4" s="1"/>
  <c r="M675" i="4"/>
  <c r="N675" i="4" s="1"/>
  <c r="O675" i="4" s="1"/>
  <c r="M1047" i="4"/>
  <c r="N1047" i="4" s="1"/>
  <c r="O1047" i="4" s="1"/>
  <c r="M346" i="4"/>
  <c r="N346" i="4" s="1"/>
  <c r="O346" i="4" s="1"/>
  <c r="M435" i="4"/>
  <c r="N435" i="4" s="1"/>
  <c r="O435" i="4" s="1"/>
  <c r="M447" i="4"/>
  <c r="N447" i="4" s="1"/>
  <c r="O447" i="4" s="1"/>
  <c r="M413" i="4"/>
  <c r="N413" i="4" s="1"/>
  <c r="O413" i="4" s="1"/>
  <c r="M317" i="4"/>
  <c r="N317" i="4" s="1"/>
  <c r="O317" i="4" s="1"/>
  <c r="T264" i="4" s="1"/>
  <c r="Y264" i="4" s="1"/>
  <c r="M310" i="4"/>
  <c r="N310" i="4" s="1"/>
  <c r="O310" i="4" s="1"/>
  <c r="M484" i="4"/>
  <c r="N484" i="4" s="1"/>
  <c r="O484" i="4" s="1"/>
  <c r="M471" i="4"/>
  <c r="N471" i="4" s="1"/>
  <c r="O471" i="4" s="1"/>
  <c r="M461" i="4"/>
  <c r="N461" i="4" s="1"/>
  <c r="O461" i="4" s="1"/>
  <c r="M279" i="4"/>
  <c r="N279" i="4" s="1"/>
  <c r="O279" i="4" s="1"/>
  <c r="T513" i="4" s="1"/>
  <c r="Y513" i="4" s="1"/>
  <c r="M276" i="4"/>
  <c r="N276" i="4" s="1"/>
  <c r="O276" i="4" s="1"/>
  <c r="M274" i="4"/>
  <c r="N274" i="4" s="1"/>
  <c r="O274" i="4" s="1"/>
  <c r="M1173" i="4"/>
  <c r="N1173" i="4" s="1"/>
  <c r="O1173" i="4" s="1"/>
  <c r="M837" i="4"/>
  <c r="N837" i="4" s="1"/>
  <c r="O837" i="4" s="1"/>
  <c r="M876" i="4"/>
  <c r="N876" i="4" s="1"/>
  <c r="O876" i="4" s="1"/>
  <c r="T1100" i="4" s="1"/>
  <c r="Y1100" i="4" s="1"/>
  <c r="M603" i="4"/>
  <c r="N603" i="4" s="1"/>
  <c r="O603" i="4" s="1"/>
  <c r="M715" i="4"/>
  <c r="N715" i="4" s="1"/>
  <c r="O715" i="4" s="1"/>
  <c r="T978" i="4" s="1"/>
  <c r="Y978" i="4" s="1"/>
  <c r="M433" i="4"/>
  <c r="N433" i="4" s="1"/>
  <c r="O433" i="4" s="1"/>
  <c r="T914" i="4" s="1"/>
  <c r="Y914" i="4" s="1"/>
  <c r="M919" i="4"/>
  <c r="N919" i="4" s="1"/>
  <c r="O919" i="4" s="1"/>
  <c r="M970" i="4"/>
  <c r="N970" i="4" s="1"/>
  <c r="O970" i="4" s="1"/>
  <c r="M976" i="4"/>
  <c r="N976" i="4" s="1"/>
  <c r="O976" i="4" s="1"/>
  <c r="M766" i="4"/>
  <c r="N766" i="4" s="1"/>
  <c r="O766" i="4" s="1"/>
  <c r="M767" i="4"/>
  <c r="N767" i="4" s="1"/>
  <c r="O767" i="4" s="1"/>
  <c r="M913" i="4"/>
  <c r="N913" i="4" s="1"/>
  <c r="O913" i="4" s="1"/>
  <c r="M690" i="4"/>
  <c r="N690" i="4" s="1"/>
  <c r="O690" i="4" s="1"/>
  <c r="M393" i="4"/>
  <c r="N393" i="4" s="1"/>
  <c r="O393" i="4" s="1"/>
  <c r="T359" i="4" s="1"/>
  <c r="Y359" i="4" s="1"/>
  <c r="M409" i="4"/>
  <c r="N409" i="4" s="1"/>
  <c r="O409" i="4" s="1"/>
  <c r="M331" i="4"/>
  <c r="N331" i="4" s="1"/>
  <c r="O331" i="4" s="1"/>
  <c r="M502" i="4"/>
  <c r="N502" i="4" s="1"/>
  <c r="O502" i="4" s="1"/>
  <c r="M1230" i="4"/>
  <c r="N1230" i="4" s="1"/>
  <c r="O1230" i="4" s="1"/>
  <c r="M1217" i="4"/>
  <c r="N1217" i="4" s="1"/>
  <c r="O1217" i="4" s="1"/>
  <c r="M1193" i="4"/>
  <c r="N1193" i="4" s="1"/>
  <c r="O1193" i="4" s="1"/>
  <c r="M1154" i="4"/>
  <c r="N1154" i="4" s="1"/>
  <c r="O1154" i="4" s="1"/>
  <c r="M1125" i="4"/>
  <c r="N1125" i="4" s="1"/>
  <c r="O1125" i="4" s="1"/>
  <c r="M1089" i="4"/>
  <c r="N1089" i="4" s="1"/>
  <c r="O1089" i="4" s="1"/>
  <c r="M1014" i="4"/>
  <c r="N1014" i="4" s="1"/>
  <c r="O1014" i="4" s="1"/>
  <c r="T1064" i="4" s="1"/>
  <c r="Y1064" i="4" s="1"/>
  <c r="M961" i="4"/>
  <c r="N961" i="4" s="1"/>
  <c r="O961" i="4" s="1"/>
  <c r="M927" i="4"/>
  <c r="N927" i="4" s="1"/>
  <c r="O927" i="4" s="1"/>
  <c r="M839" i="4"/>
  <c r="N839" i="4" s="1"/>
  <c r="O839" i="4" s="1"/>
  <c r="T1000" i="4" s="1"/>
  <c r="Y1000" i="4" s="1"/>
  <c r="M774" i="4"/>
  <c r="N774" i="4" s="1"/>
  <c r="O774" i="4" s="1"/>
  <c r="M706" i="4"/>
  <c r="N706" i="4" s="1"/>
  <c r="O706" i="4" s="1"/>
  <c r="M574" i="4"/>
  <c r="N574" i="4" s="1"/>
  <c r="O574" i="4" s="1"/>
  <c r="M503" i="4"/>
  <c r="N503" i="4" s="1"/>
  <c r="O503" i="4" s="1"/>
  <c r="M429" i="4"/>
  <c r="N429" i="4" s="1"/>
  <c r="O429" i="4" s="1"/>
  <c r="M1202" i="4"/>
  <c r="N1202" i="4" s="1"/>
  <c r="O1202" i="4" s="1"/>
  <c r="M1168" i="4"/>
  <c r="N1168" i="4" s="1"/>
  <c r="O1168" i="4" s="1"/>
  <c r="T851" i="4" s="1"/>
  <c r="Y851" i="4" s="1"/>
  <c r="M1111" i="4"/>
  <c r="N1111" i="4" s="1"/>
  <c r="O1111" i="4" s="1"/>
  <c r="M1049" i="4"/>
  <c r="N1049" i="4" s="1"/>
  <c r="O1049" i="4" s="1"/>
  <c r="T808" i="4" s="1"/>
  <c r="Y808" i="4" s="1"/>
  <c r="M1007" i="4"/>
  <c r="N1007" i="4" s="1"/>
  <c r="O1007" i="4" s="1"/>
  <c r="M960" i="4"/>
  <c r="N960" i="4" s="1"/>
  <c r="O960" i="4" s="1"/>
  <c r="T766" i="4" s="1"/>
  <c r="Y766" i="4" s="1"/>
  <c r="M864" i="4"/>
  <c r="N864" i="4" s="1"/>
  <c r="O864" i="4" s="1"/>
  <c r="T744" i="4" s="1"/>
  <c r="Y744" i="4" s="1"/>
  <c r="M806" i="4"/>
  <c r="N806" i="4" s="1"/>
  <c r="O806" i="4" s="1"/>
  <c r="M771" i="4"/>
  <c r="N771" i="4" s="1"/>
  <c r="O771" i="4" s="1"/>
  <c r="M686" i="4"/>
  <c r="N686" i="4" s="1"/>
  <c r="O686" i="4" s="1"/>
  <c r="M628" i="4"/>
  <c r="N628" i="4" s="1"/>
  <c r="O628" i="4" s="1"/>
  <c r="M566" i="4"/>
  <c r="N566" i="4" s="1"/>
  <c r="O566" i="4" s="1"/>
  <c r="M453" i="4"/>
  <c r="N453" i="4" s="1"/>
  <c r="O453" i="4" s="1"/>
  <c r="M390" i="4"/>
  <c r="N390" i="4" s="1"/>
  <c r="O390" i="4" s="1"/>
  <c r="M853" i="4"/>
  <c r="N853" i="4" s="1"/>
  <c r="O853" i="4" s="1"/>
  <c r="M510" i="4"/>
  <c r="N510" i="4" s="1"/>
  <c r="O510" i="4" s="1"/>
  <c r="M683" i="4"/>
  <c r="N683" i="4" s="1"/>
  <c r="O683" i="4" s="1"/>
  <c r="M889" i="4"/>
  <c r="N889" i="4" s="1"/>
  <c r="O889" i="4" s="1"/>
  <c r="T451" i="4" s="1"/>
  <c r="Y451" i="4" s="1"/>
  <c r="M856" i="4"/>
  <c r="N856" i="4" s="1"/>
  <c r="O856" i="4" s="1"/>
  <c r="M260" i="4"/>
  <c r="N260" i="4" s="1"/>
  <c r="O260" i="4" s="1"/>
  <c r="T334" i="4" s="1"/>
  <c r="Y334" i="4" s="1"/>
  <c r="M281" i="4"/>
  <c r="N281" i="4" s="1"/>
  <c r="O281" i="4" s="1"/>
  <c r="M395" i="4"/>
  <c r="N395" i="4" s="1"/>
  <c r="O395" i="4" s="1"/>
  <c r="M266" i="4"/>
  <c r="N266" i="4" s="1"/>
  <c r="O266" i="4" s="1"/>
  <c r="M262" i="4"/>
  <c r="N262" i="4" s="1"/>
  <c r="O262" i="4" s="1"/>
  <c r="M815" i="4"/>
  <c r="N815" i="4" s="1"/>
  <c r="O815" i="4" s="1"/>
  <c r="M556" i="4"/>
  <c r="N556" i="4" s="1"/>
  <c r="O556" i="4" s="1"/>
  <c r="M965" i="4"/>
  <c r="N965" i="4" s="1"/>
  <c r="O965" i="4" s="1"/>
  <c r="M394" i="4"/>
  <c r="N394" i="4" s="1"/>
  <c r="O394" i="4" s="1"/>
  <c r="M729" i="4"/>
  <c r="N729" i="4" s="1"/>
  <c r="O729" i="4" s="1"/>
  <c r="M298" i="4"/>
  <c r="N298" i="4" s="1"/>
  <c r="O298" i="4" s="1"/>
  <c r="M273" i="4"/>
  <c r="N273" i="4" s="1"/>
  <c r="O273" i="4" s="1"/>
  <c r="M320" i="4"/>
  <c r="N320" i="4" s="1"/>
  <c r="M330" i="4"/>
  <c r="N330" i="4" s="1"/>
  <c r="O330" i="4" s="1"/>
  <c r="M322" i="4"/>
  <c r="N322" i="4" s="1"/>
  <c r="O322" i="4" s="1"/>
  <c r="M305" i="4"/>
  <c r="N305" i="4" s="1"/>
  <c r="O305" i="4" s="1"/>
  <c r="M760" i="4"/>
  <c r="N760" i="4" s="1"/>
  <c r="O760" i="4" s="1"/>
  <c r="M930" i="4"/>
  <c r="N930" i="4" s="1"/>
  <c r="O930" i="4" s="1"/>
  <c r="M1093" i="4"/>
  <c r="N1093" i="4" s="1"/>
  <c r="O1093" i="4" s="1"/>
  <c r="M358" i="4"/>
  <c r="N358" i="4" s="1"/>
  <c r="O358" i="4" s="1"/>
  <c r="M653" i="4"/>
  <c r="N653" i="4" s="1"/>
  <c r="O653" i="4" s="1"/>
  <c r="M909" i="4"/>
  <c r="N909" i="4" s="1"/>
  <c r="O909" i="4" s="1"/>
  <c r="M1063" i="4"/>
  <c r="N1063" i="4" s="1"/>
  <c r="O1063" i="4" s="1"/>
  <c r="M1181" i="4"/>
  <c r="N1181" i="4" s="1"/>
  <c r="O1181" i="4" s="1"/>
  <c r="M233" i="4"/>
  <c r="N233" i="4" s="1"/>
  <c r="O233" i="4" s="1"/>
  <c r="T233" i="4" s="1"/>
  <c r="M324" i="4"/>
  <c r="N324" i="4" s="1"/>
  <c r="O324" i="4" s="1"/>
  <c r="T318" i="4" s="1"/>
  <c r="Y318" i="4" s="1"/>
  <c r="M573" i="4"/>
  <c r="N573" i="4" s="1"/>
  <c r="O573" i="4" s="1"/>
  <c r="M666" i="4"/>
  <c r="N666" i="4" s="1"/>
  <c r="O666" i="4" s="1"/>
  <c r="M1043" i="4"/>
  <c r="N1043" i="4" s="1"/>
  <c r="O1043" i="4" s="1"/>
  <c r="T1164" i="4" s="1"/>
  <c r="Y1164" i="4" s="1"/>
  <c r="M528" i="4"/>
  <c r="N528" i="4" s="1"/>
  <c r="O528" i="4" s="1"/>
  <c r="M716" i="4"/>
  <c r="N716" i="4" s="1"/>
  <c r="O716" i="4" s="1"/>
  <c r="M1131" i="4"/>
  <c r="N1131" i="4" s="1"/>
  <c r="O1131" i="4" s="1"/>
  <c r="M304" i="4"/>
  <c r="N304" i="4" s="1"/>
  <c r="O304" i="4" s="1"/>
  <c r="M1165" i="4"/>
  <c r="N1165" i="4" s="1"/>
  <c r="O1165" i="4" s="1"/>
  <c r="M559" i="4"/>
  <c r="N559" i="4" s="1"/>
  <c r="O559" i="4" s="1"/>
  <c r="T1135" i="4" s="1"/>
  <c r="Y1135" i="4" s="1"/>
  <c r="M1225" i="4"/>
  <c r="N1225" i="4" s="1"/>
  <c r="O1225" i="4" s="1"/>
  <c r="M1176" i="4"/>
  <c r="N1176" i="4" s="1"/>
  <c r="O1176" i="4" s="1"/>
  <c r="M1098" i="4"/>
  <c r="N1098" i="4" s="1"/>
  <c r="O1098" i="4" s="1"/>
  <c r="M977" i="4"/>
  <c r="N977" i="4" s="1"/>
  <c r="O977" i="4" s="1"/>
  <c r="M883" i="4"/>
  <c r="N883" i="4" s="1"/>
  <c r="O883" i="4" s="1"/>
  <c r="M735" i="4"/>
  <c r="N735" i="4" s="1"/>
  <c r="O735" i="4" s="1"/>
  <c r="T879" i="4" s="1"/>
  <c r="Y879" i="4" s="1"/>
  <c r="M539" i="4"/>
  <c r="N539" i="4" s="1"/>
  <c r="O539" i="4" s="1"/>
  <c r="M401" i="4"/>
  <c r="N401" i="4" s="1"/>
  <c r="O401" i="4" s="1"/>
  <c r="M1132" i="4"/>
  <c r="N1132" i="4" s="1"/>
  <c r="O1132" i="4" s="1"/>
  <c r="M997" i="4"/>
  <c r="N997" i="4" s="1"/>
  <c r="O997" i="4" s="1"/>
  <c r="M896" i="4"/>
  <c r="N896" i="4" s="1"/>
  <c r="O896" i="4" s="1"/>
  <c r="M741" i="4"/>
  <c r="N741" i="4" s="1"/>
  <c r="O741" i="4" s="1"/>
  <c r="T623" i="4" s="1"/>
  <c r="Y623" i="4" s="1"/>
  <c r="M381" i="4"/>
  <c r="N381" i="4" s="1"/>
  <c r="O381" i="4" s="1"/>
  <c r="T575" i="4" s="1"/>
  <c r="Y575" i="4" s="1"/>
  <c r="M404" i="4"/>
  <c r="N404" i="4" s="1"/>
  <c r="O404" i="4" s="1"/>
  <c r="M700" i="4"/>
  <c r="N700" i="4" s="1"/>
  <c r="O700" i="4" s="1"/>
  <c r="M249" i="4"/>
  <c r="N249" i="4" s="1"/>
  <c r="O249" i="4" s="1"/>
  <c r="M940" i="4"/>
  <c r="N940" i="4" s="1"/>
  <c r="O940" i="4" s="1"/>
  <c r="M759" i="4"/>
  <c r="N759" i="4" s="1"/>
  <c r="O759" i="4" s="1"/>
  <c r="M722" i="4"/>
  <c r="N722" i="4" s="1"/>
  <c r="O722" i="4" s="1"/>
  <c r="M569" i="4"/>
  <c r="N569" i="4" s="1"/>
  <c r="O569" i="4" s="1"/>
  <c r="M1130" i="4"/>
  <c r="N1130" i="4" s="1"/>
  <c r="O1130" i="4" s="1"/>
  <c r="M1166" i="4"/>
  <c r="N1166" i="4" s="1"/>
  <c r="O1166" i="4" s="1"/>
  <c r="M866" i="4"/>
  <c r="N866" i="4" s="1"/>
  <c r="O866" i="4" s="1"/>
  <c r="M680" i="4"/>
  <c r="N680" i="4" s="1"/>
  <c r="O680" i="4" s="1"/>
  <c r="M463" i="4"/>
  <c r="N463" i="4" s="1"/>
  <c r="O463" i="4" s="1"/>
  <c r="T636" i="4" s="1"/>
  <c r="Y636" i="4" s="1"/>
  <c r="M804" i="4"/>
  <c r="N804" i="4" s="1"/>
  <c r="O804" i="4" s="1"/>
  <c r="M557" i="4"/>
  <c r="N557" i="4" s="1"/>
  <c r="O557" i="4" s="1"/>
  <c r="M1061" i="4"/>
  <c r="N1061" i="4" s="1"/>
  <c r="O1061" i="4" s="1"/>
  <c r="M986" i="4"/>
  <c r="N986" i="4" s="1"/>
  <c r="O986" i="4" s="1"/>
  <c r="M831" i="4"/>
  <c r="N831" i="4" s="1"/>
  <c r="O831" i="4" s="1"/>
  <c r="M620" i="4"/>
  <c r="N620" i="4" s="1"/>
  <c r="O620" i="4" s="1"/>
  <c r="M465" i="4"/>
  <c r="N465" i="4" s="1"/>
  <c r="O465" i="4" s="1"/>
  <c r="T1054" i="4" s="1"/>
  <c r="Y1054" i="4" s="1"/>
  <c r="M1201" i="4"/>
  <c r="N1201" i="4" s="1"/>
  <c r="O1201" i="4" s="1"/>
  <c r="M1110" i="4"/>
  <c r="N1110" i="4" s="1"/>
  <c r="O1110" i="4" s="1"/>
  <c r="M1036" i="4"/>
  <c r="N1036" i="4" s="1"/>
  <c r="O1036" i="4" s="1"/>
  <c r="M890" i="4"/>
  <c r="N890" i="4" s="1"/>
  <c r="O890" i="4" s="1"/>
  <c r="M772" i="4"/>
  <c r="N772" i="4" s="1"/>
  <c r="O772" i="4" s="1"/>
  <c r="M643" i="4"/>
  <c r="N643" i="4" s="1"/>
  <c r="O643" i="4" s="1"/>
  <c r="M448" i="4"/>
  <c r="N448" i="4" s="1"/>
  <c r="O448" i="4" s="1"/>
  <c r="M1159" i="4"/>
  <c r="N1159" i="4" s="1"/>
  <c r="O1159" i="4" s="1"/>
  <c r="M1033" i="4"/>
  <c r="N1033" i="4" s="1"/>
  <c r="O1033" i="4" s="1"/>
  <c r="M902" i="4"/>
  <c r="N902" i="4" s="1"/>
  <c r="O902" i="4" s="1"/>
  <c r="M624" i="4"/>
  <c r="N624" i="4" s="1"/>
  <c r="O624" i="4" s="1"/>
  <c r="M703" i="4"/>
  <c r="N703" i="4" s="1"/>
  <c r="O703" i="4" s="1"/>
  <c r="M545" i="4"/>
  <c r="N545" i="4" s="1"/>
  <c r="O545" i="4" s="1"/>
  <c r="M460" i="4"/>
  <c r="N460" i="4" s="1"/>
  <c r="O460" i="4" s="1"/>
  <c r="M656" i="4"/>
  <c r="N656" i="4" s="1"/>
  <c r="O656" i="4" s="1"/>
  <c r="M507" i="4"/>
  <c r="N507" i="4" s="1"/>
  <c r="O507" i="4" s="1"/>
  <c r="T401" i="4" s="1"/>
  <c r="Y401" i="4" s="1"/>
  <c r="M1053" i="4"/>
  <c r="N1053" i="4" s="1"/>
  <c r="O1053" i="4" s="1"/>
  <c r="M1121" i="4"/>
  <c r="N1121" i="4" s="1"/>
  <c r="O1121" i="4" s="1"/>
  <c r="M535" i="4"/>
  <c r="N535" i="4" s="1"/>
  <c r="O535" i="4" s="1"/>
  <c r="M929" i="4"/>
  <c r="N929" i="4" s="1"/>
  <c r="O929" i="4" s="1"/>
  <c r="M370" i="4"/>
  <c r="N370" i="4" s="1"/>
  <c r="O370" i="4" s="1"/>
  <c r="M738" i="4"/>
  <c r="N738" i="4" s="1"/>
  <c r="O738" i="4" s="1"/>
  <c r="M337" i="4"/>
  <c r="N337" i="4" s="1"/>
  <c r="O337" i="4" s="1"/>
  <c r="M328" i="4"/>
  <c r="N328" i="4" s="1"/>
  <c r="O328" i="4" s="1"/>
  <c r="M552" i="4"/>
  <c r="N552" i="4" s="1"/>
  <c r="O552" i="4" s="1"/>
  <c r="M591" i="4"/>
  <c r="N591" i="4" s="1"/>
  <c r="O591" i="4" s="1"/>
  <c r="M689" i="4"/>
  <c r="N689" i="4" s="1"/>
  <c r="O689" i="4" s="1"/>
  <c r="M313" i="4"/>
  <c r="N313" i="4" s="1"/>
  <c r="O313" i="4" s="1"/>
  <c r="M1048" i="4"/>
  <c r="N1048" i="4" s="1"/>
  <c r="O1048" i="4" s="1"/>
  <c r="M339" i="4"/>
  <c r="N339" i="4" s="1"/>
  <c r="O339" i="4" s="1"/>
  <c r="M618" i="4"/>
  <c r="N618" i="4" s="1"/>
  <c r="O618" i="4" s="1"/>
  <c r="M868" i="4"/>
  <c r="N868" i="4" s="1"/>
  <c r="O868" i="4" s="1"/>
  <c r="T941" i="4" s="1"/>
  <c r="Y941" i="4" s="1"/>
  <c r="M1032" i="4"/>
  <c r="N1032" i="4" s="1"/>
  <c r="O1032" i="4" s="1"/>
  <c r="M1160" i="4"/>
  <c r="N1160" i="4" s="1"/>
  <c r="O1160" i="4" s="1"/>
  <c r="M405" i="4"/>
  <c r="N405" i="4" s="1"/>
  <c r="O405" i="4" s="1"/>
  <c r="M720" i="4"/>
  <c r="N720" i="4" s="1"/>
  <c r="O720" i="4" s="1"/>
  <c r="M302" i="4"/>
  <c r="N302" i="4" s="1"/>
  <c r="O302" i="4" s="1"/>
  <c r="M473" i="4"/>
  <c r="N473" i="4" s="1"/>
  <c r="O473" i="4" s="1"/>
  <c r="M319" i="4"/>
  <c r="N319" i="4" s="1"/>
  <c r="O319" i="4" s="1"/>
  <c r="M827" i="4"/>
  <c r="N827" i="4" s="1"/>
  <c r="O827" i="4" s="1"/>
  <c r="M1097" i="4"/>
  <c r="N1097" i="4" s="1"/>
  <c r="O1097" i="4" s="1"/>
  <c r="M1192" i="4"/>
  <c r="N1192" i="4" s="1"/>
  <c r="O1192" i="4" s="1"/>
  <c r="M457" i="4"/>
  <c r="N457" i="4" s="1"/>
  <c r="O457" i="4" s="1"/>
  <c r="M833" i="4"/>
  <c r="N833" i="4" s="1"/>
  <c r="O833" i="4" s="1"/>
  <c r="M1127" i="4"/>
  <c r="N1127" i="4" s="1"/>
  <c r="O1127" i="4" s="1"/>
  <c r="T1226" i="4" s="1"/>
  <c r="Y1226" i="4" s="1"/>
  <c r="M1137" i="4"/>
  <c r="N1137" i="4" s="1"/>
  <c r="O1137" i="4" s="1"/>
  <c r="M824" i="4"/>
  <c r="N824" i="4" s="1"/>
  <c r="O824" i="4" s="1"/>
  <c r="M617" i="4"/>
  <c r="N617" i="4" s="1"/>
  <c r="O617" i="4" s="1"/>
  <c r="M462" i="4"/>
  <c r="N462" i="4" s="1"/>
  <c r="O462" i="4" s="1"/>
  <c r="M1198" i="4"/>
  <c r="N1198" i="4" s="1"/>
  <c r="O1198" i="4" s="1"/>
  <c r="M1105" i="4"/>
  <c r="N1105" i="4" s="1"/>
  <c r="O1105" i="4" s="1"/>
  <c r="M1029" i="4"/>
  <c r="N1029" i="4" s="1"/>
  <c r="O1029" i="4" s="1"/>
  <c r="M880" i="4"/>
  <c r="N880" i="4" s="1"/>
  <c r="O880" i="4" s="1"/>
  <c r="M763" i="4"/>
  <c r="N763" i="4" s="1"/>
  <c r="O763" i="4" s="1"/>
  <c r="M634" i="4"/>
  <c r="N634" i="4" s="1"/>
  <c r="O634" i="4" s="1"/>
  <c r="M443" i="4"/>
  <c r="N443" i="4" s="1"/>
  <c r="O443" i="4" s="1"/>
  <c r="M1150" i="4"/>
  <c r="N1150" i="4" s="1"/>
  <c r="O1150" i="4" s="1"/>
  <c r="M1019" i="4"/>
  <c r="N1019" i="4" s="1"/>
  <c r="O1019" i="4" s="1"/>
  <c r="M886" i="4"/>
  <c r="N886" i="4" s="1"/>
  <c r="O886" i="4" s="1"/>
  <c r="T607" i="4" s="1"/>
  <c r="Y607" i="4" s="1"/>
  <c r="M326" i="4"/>
  <c r="N326" i="4" s="1"/>
  <c r="O326" i="4" s="1"/>
  <c r="M548" i="4"/>
  <c r="N548" i="4" s="1"/>
  <c r="O548" i="4" s="1"/>
  <c r="T480" i="4" s="1"/>
  <c r="Y480" i="4" s="1"/>
  <c r="M577" i="4"/>
  <c r="N577" i="4" s="1"/>
  <c r="O577" i="4" s="1"/>
  <c r="M270" i="4"/>
  <c r="N270" i="4" s="1"/>
  <c r="O270" i="4" s="1"/>
  <c r="M292" i="4"/>
  <c r="N292" i="4" s="1"/>
  <c r="O292" i="4" s="1"/>
  <c r="T573" i="4" s="1"/>
  <c r="Y573" i="4" s="1"/>
  <c r="M881" i="4"/>
  <c r="N881" i="4" s="1"/>
  <c r="O881" i="4" s="1"/>
  <c r="M836" i="4"/>
  <c r="N836" i="4" s="1"/>
  <c r="O836" i="4" s="1"/>
  <c r="M1231" i="4"/>
  <c r="N1231" i="4" s="1"/>
  <c r="O1231" i="4" s="1"/>
  <c r="M809" i="4"/>
  <c r="N809" i="4" s="1"/>
  <c r="O809" i="4" s="1"/>
  <c r="M903" i="4"/>
  <c r="N903" i="4" s="1"/>
  <c r="O903" i="4" s="1"/>
  <c r="M1058" i="4"/>
  <c r="N1058" i="4" s="1"/>
  <c r="O1058" i="4" s="1"/>
  <c r="T828" i="4" s="1"/>
  <c r="Y828" i="4" s="1"/>
  <c r="M498" i="4"/>
  <c r="N498" i="4" s="1"/>
  <c r="O498" i="4" s="1"/>
  <c r="M580" i="4"/>
  <c r="N580" i="4" s="1"/>
  <c r="O580" i="4" s="1"/>
  <c r="M861" i="4"/>
  <c r="N861" i="4" s="1"/>
  <c r="O861" i="4" s="1"/>
  <c r="M500" i="4"/>
  <c r="N500" i="4" s="1"/>
  <c r="O500" i="4" s="1"/>
  <c r="M1169" i="4"/>
  <c r="N1169" i="4" s="1"/>
  <c r="O1169" i="4" s="1"/>
  <c r="M1112" i="4"/>
  <c r="N1112" i="4" s="1"/>
  <c r="O1112" i="4" s="1"/>
  <c r="M991" i="4"/>
  <c r="N991" i="4" s="1"/>
  <c r="O991" i="4" s="1"/>
  <c r="M872" i="4"/>
  <c r="N872" i="4" s="1"/>
  <c r="O872" i="4" s="1"/>
  <c r="M737" i="4"/>
  <c r="N737" i="4" s="1"/>
  <c r="O737" i="4" s="1"/>
  <c r="M523" i="4"/>
  <c r="N523" i="4" s="1"/>
  <c r="O523" i="4" s="1"/>
  <c r="M1212" i="4"/>
  <c r="N1212" i="4" s="1"/>
  <c r="O1212" i="4" s="1"/>
  <c r="M1138" i="4"/>
  <c r="N1138" i="4" s="1"/>
  <c r="O1138" i="4" s="1"/>
  <c r="M1046" i="4"/>
  <c r="N1046" i="4" s="1"/>
  <c r="O1046" i="4" s="1"/>
  <c r="T867" i="4" s="1"/>
  <c r="Y867" i="4" s="1"/>
  <c r="M907" i="4"/>
  <c r="N907" i="4" s="1"/>
  <c r="O907" i="4" s="1"/>
  <c r="M817" i="4"/>
  <c r="N817" i="4" s="1"/>
  <c r="O817" i="4" s="1"/>
  <c r="T782" i="4" s="1"/>
  <c r="Y782" i="4" s="1"/>
  <c r="M672" i="4"/>
  <c r="N672" i="4" s="1"/>
  <c r="O672" i="4" s="1"/>
  <c r="M488" i="4"/>
  <c r="N488" i="4" s="1"/>
  <c r="O488" i="4" s="1"/>
  <c r="M357" i="4"/>
  <c r="N357" i="4" s="1"/>
  <c r="O357" i="4" s="1"/>
  <c r="M1056" i="4"/>
  <c r="N1056" i="4" s="1"/>
  <c r="O1056" i="4" s="1"/>
  <c r="M565" i="4"/>
  <c r="N565" i="4" s="1"/>
  <c r="O565" i="4" s="1"/>
  <c r="M308" i="4"/>
  <c r="N308" i="4" s="1"/>
  <c r="O308" i="4" s="1"/>
  <c r="M383" i="4"/>
  <c r="N383" i="4" s="1"/>
  <c r="O383" i="4" s="1"/>
  <c r="M306" i="4"/>
  <c r="N306" i="4" s="1"/>
  <c r="O306" i="4" s="1"/>
  <c r="M762" i="4"/>
  <c r="N762" i="4" s="1"/>
  <c r="O762" i="4" s="1"/>
  <c r="T429" i="4" s="1"/>
  <c r="Y429" i="4" s="1"/>
  <c r="M1023" i="4"/>
  <c r="N1023" i="4" s="1"/>
  <c r="O1023" i="4" s="1"/>
  <c r="M825" i="4"/>
  <c r="N825" i="4" s="1"/>
  <c r="O825" i="4" s="1"/>
  <c r="M911" i="4"/>
  <c r="N911" i="4" s="1"/>
  <c r="O911" i="4" s="1"/>
  <c r="M1171" i="4"/>
  <c r="N1171" i="4" s="1"/>
  <c r="O1171" i="4" s="1"/>
  <c r="M727" i="4"/>
  <c r="N727" i="4" s="1"/>
  <c r="O727" i="4" s="1"/>
  <c r="T859" i="4" s="1"/>
  <c r="Y859" i="4" s="1"/>
  <c r="M984" i="4"/>
  <c r="N984" i="4" s="1"/>
  <c r="O984" i="4" s="1"/>
  <c r="M985" i="4"/>
  <c r="N985" i="4" s="1"/>
  <c r="O985" i="4" s="1"/>
  <c r="M432" i="4"/>
  <c r="N432" i="4" s="1"/>
  <c r="O432" i="4" s="1"/>
  <c r="M531" i="4"/>
  <c r="N531" i="4" s="1"/>
  <c r="O531" i="4" s="1"/>
  <c r="M282" i="4"/>
  <c r="N282" i="4" s="1"/>
  <c r="O282" i="4" s="1"/>
  <c r="M781" i="4"/>
  <c r="N781" i="4" s="1"/>
  <c r="O781" i="4" s="1"/>
  <c r="M1095" i="4"/>
  <c r="N1095" i="4" s="1"/>
  <c r="O1095" i="4" s="1"/>
  <c r="M534" i="4"/>
  <c r="N534" i="4" s="1"/>
  <c r="O534" i="4" s="1"/>
  <c r="M329" i="4"/>
  <c r="N329" i="4" s="1"/>
  <c r="O329" i="4" s="1"/>
  <c r="M594" i="4"/>
  <c r="N594" i="4" s="1"/>
  <c r="O594" i="4" s="1"/>
  <c r="T817" i="4" s="1"/>
  <c r="Y817" i="4" s="1"/>
  <c r="M842" i="4"/>
  <c r="N842" i="4" s="1"/>
  <c r="O842" i="4" s="1"/>
  <c r="M1009" i="4"/>
  <c r="N1009" i="4" s="1"/>
  <c r="O1009" i="4" s="1"/>
  <c r="M1146" i="4"/>
  <c r="N1146" i="4" s="1"/>
  <c r="O1146" i="4" s="1"/>
  <c r="M392" i="4"/>
  <c r="N392" i="4" s="1"/>
  <c r="O392" i="4" s="1"/>
  <c r="T1073" i="4" s="1"/>
  <c r="Y1073" i="4" s="1"/>
  <c r="M704" i="4"/>
  <c r="N704" i="4" s="1"/>
  <c r="O704" i="4" s="1"/>
  <c r="M966" i="4"/>
  <c r="N966" i="4" s="1"/>
  <c r="O966" i="4" s="1"/>
  <c r="M280" i="4"/>
  <c r="N280" i="4" s="1"/>
  <c r="O280" i="4" s="1"/>
  <c r="M687" i="4"/>
  <c r="N687" i="4" s="1"/>
  <c r="O687" i="4" s="1"/>
  <c r="T370" i="4" s="1"/>
  <c r="Y370" i="4" s="1"/>
  <c r="M754" i="4"/>
  <c r="N754" i="4" s="1"/>
  <c r="O754" i="4" s="1"/>
  <c r="M314" i="4"/>
  <c r="N314" i="4" s="1"/>
  <c r="O314" i="4" s="1"/>
  <c r="M1182" i="4"/>
  <c r="N1182" i="4" s="1"/>
  <c r="O1182" i="4" s="1"/>
  <c r="M749" i="4"/>
  <c r="N749" i="4" s="1"/>
  <c r="O749" i="4" s="1"/>
  <c r="T919" i="4" s="1"/>
  <c r="Y919" i="4" s="1"/>
  <c r="M874" i="4"/>
  <c r="N874" i="4" s="1"/>
  <c r="O874" i="4" s="1"/>
  <c r="M1080" i="4"/>
  <c r="N1080" i="4" s="1"/>
  <c r="O1080" i="4" s="1"/>
  <c r="M581" i="4"/>
  <c r="N581" i="4" s="1"/>
  <c r="O581" i="4" s="1"/>
  <c r="M979" i="4"/>
  <c r="N979" i="4" s="1"/>
  <c r="O979" i="4" s="1"/>
  <c r="M478" i="4"/>
  <c r="N478" i="4" s="1"/>
  <c r="O478" i="4" s="1"/>
  <c r="M1208" i="4"/>
  <c r="N1208" i="4" s="1"/>
  <c r="O1208" i="4" s="1"/>
  <c r="M1128" i="4"/>
  <c r="N1128" i="4" s="1"/>
  <c r="O1128" i="4" s="1"/>
  <c r="M1059" i="4"/>
  <c r="N1059" i="4" s="1"/>
  <c r="O1059" i="4" s="1"/>
  <c r="M920" i="4"/>
  <c r="N920" i="4" s="1"/>
  <c r="O920" i="4" s="1"/>
  <c r="T943" i="4" s="1"/>
  <c r="Y943" i="4" s="1"/>
  <c r="M800" i="4"/>
  <c r="N800" i="4" s="1"/>
  <c r="O800" i="4" s="1"/>
  <c r="M671" i="4"/>
  <c r="N671" i="4" s="1"/>
  <c r="O671" i="4" s="1"/>
  <c r="M469" i="4"/>
  <c r="N469" i="4" s="1"/>
  <c r="O469" i="4" s="1"/>
  <c r="M1180" i="4"/>
  <c r="N1180" i="4" s="1"/>
  <c r="O1180" i="4" s="1"/>
  <c r="M1066" i="4"/>
  <c r="N1066" i="4" s="1"/>
  <c r="O1066" i="4" s="1"/>
  <c r="M946" i="4"/>
  <c r="N946" i="4" s="1"/>
  <c r="O946" i="4" s="1"/>
  <c r="M801" i="4"/>
  <c r="N801" i="4" s="1"/>
  <c r="O801" i="4" s="1"/>
  <c r="T644" i="4" s="1"/>
  <c r="Y644" i="4" s="1"/>
  <c r="M705" i="4"/>
  <c r="N705" i="4" s="1"/>
  <c r="O705" i="4" s="1"/>
  <c r="M834" i="4"/>
  <c r="N834" i="4" s="1"/>
  <c r="O834" i="4" s="1"/>
  <c r="M747" i="4"/>
  <c r="N747" i="4" s="1"/>
  <c r="O747" i="4" s="1"/>
  <c r="M711" i="4"/>
  <c r="N711" i="4" s="1"/>
  <c r="O711" i="4" s="1"/>
  <c r="M285" i="4"/>
  <c r="N285" i="4" s="1"/>
  <c r="O285" i="4" s="1"/>
  <c r="M922" i="4"/>
  <c r="N922" i="4" s="1"/>
  <c r="O922" i="4" s="1"/>
  <c r="M740" i="4"/>
  <c r="N740" i="4" s="1"/>
  <c r="O740" i="4" s="1"/>
  <c r="M589" i="4"/>
  <c r="N589" i="4" s="1"/>
  <c r="O589" i="4" s="1"/>
  <c r="M650" i="4"/>
  <c r="N650" i="4" s="1"/>
  <c r="O650" i="4" s="1"/>
  <c r="M968" i="4"/>
  <c r="N968" i="4" s="1"/>
  <c r="O968" i="4" s="1"/>
  <c r="M1044" i="4"/>
  <c r="N1044" i="4" s="1"/>
  <c r="O1044" i="4" s="1"/>
  <c r="M1191" i="4"/>
  <c r="N1191" i="4" s="1"/>
  <c r="O1191" i="4" s="1"/>
  <c r="T812" i="4" s="1"/>
  <c r="Y812" i="4" s="1"/>
  <c r="M431" i="4"/>
  <c r="N431" i="4" s="1"/>
  <c r="O431" i="4" s="1"/>
  <c r="M739" i="4"/>
  <c r="N739" i="4" s="1"/>
  <c r="O739" i="4" s="1"/>
  <c r="M524" i="4"/>
  <c r="N524" i="4" s="1"/>
  <c r="O524" i="4" s="1"/>
  <c r="M242" i="4"/>
  <c r="N242" i="4" s="1"/>
  <c r="O242" i="4" s="1"/>
  <c r="M1015" i="4"/>
  <c r="N1015" i="4" s="1"/>
  <c r="O1015" i="4" s="1"/>
  <c r="M898" i="4"/>
  <c r="N898" i="4" s="1"/>
  <c r="O898" i="4" s="1"/>
  <c r="M764" i="4"/>
  <c r="N764" i="4" s="1"/>
  <c r="O764" i="4" s="1"/>
  <c r="M544" i="4"/>
  <c r="N544" i="4" s="1"/>
  <c r="O544" i="4" s="1"/>
  <c r="M1221" i="4"/>
  <c r="N1221" i="4" s="1"/>
  <c r="O1221" i="4" s="1"/>
  <c r="M1162" i="4"/>
  <c r="N1162" i="4" s="1"/>
  <c r="O1162" i="4" s="1"/>
  <c r="T990" i="4" s="1"/>
  <c r="Y990" i="4" s="1"/>
  <c r="M1076" i="4"/>
  <c r="N1076" i="4" s="1"/>
  <c r="O1076" i="4" s="1"/>
  <c r="M948" i="4"/>
  <c r="N948" i="4" s="1"/>
  <c r="O948" i="4" s="1"/>
  <c r="M857" i="4"/>
  <c r="N857" i="4" s="1"/>
  <c r="O857" i="4" s="1"/>
  <c r="M707" i="4"/>
  <c r="N707" i="4" s="1"/>
  <c r="O707" i="4" s="1"/>
  <c r="M520" i="4"/>
  <c r="N520" i="4" s="1"/>
  <c r="O520" i="4" s="1"/>
  <c r="M384" i="4"/>
  <c r="N384" i="4" s="1"/>
  <c r="O384" i="4" s="1"/>
  <c r="M1104" i="4"/>
  <c r="N1104" i="4" s="1"/>
  <c r="O1104" i="4" s="1"/>
  <c r="T691" i="4" s="1"/>
  <c r="Y691" i="4" s="1"/>
  <c r="M954" i="4"/>
  <c r="N954" i="4" s="1"/>
  <c r="O954" i="4" s="1"/>
  <c r="T648" i="4" s="1"/>
  <c r="Y648" i="4" s="1"/>
  <c r="M848" i="4"/>
  <c r="N848" i="4" s="1"/>
  <c r="O848" i="4" s="1"/>
  <c r="M924" i="4"/>
  <c r="N924" i="4" s="1"/>
  <c r="O924" i="4" s="1"/>
  <c r="M501" i="4"/>
  <c r="N501" i="4" s="1"/>
  <c r="O501" i="4" s="1"/>
  <c r="M791" i="4"/>
  <c r="N791" i="4" s="1"/>
  <c r="O791" i="4" s="1"/>
  <c r="M674" i="4"/>
  <c r="N674" i="4" s="1"/>
  <c r="O674" i="4" s="1"/>
  <c r="M606" i="4"/>
  <c r="N606" i="4" s="1"/>
  <c r="O606" i="4" s="1"/>
  <c r="M1072" i="4"/>
  <c r="N1072" i="4" s="1"/>
  <c r="O1072" i="4" s="1"/>
  <c r="T1026" i="4" s="1"/>
  <c r="Y1026" i="4" s="1"/>
  <c r="M499" i="4"/>
  <c r="N499" i="4" s="1"/>
  <c r="O499" i="4" s="1"/>
  <c r="M1219" i="4"/>
  <c r="N1219" i="4" s="1"/>
  <c r="O1219" i="4" s="1"/>
  <c r="M846" i="4"/>
  <c r="N846" i="4" s="1"/>
  <c r="O846" i="4" s="1"/>
  <c r="M1092" i="4"/>
  <c r="N1092" i="4" s="1"/>
  <c r="O1092" i="4" s="1"/>
  <c r="M598" i="4"/>
  <c r="N598" i="4" s="1"/>
  <c r="O598" i="4" s="1"/>
  <c r="M860" i="4"/>
  <c r="N860" i="4" s="1"/>
  <c r="O860" i="4" s="1"/>
  <c r="M685" i="4"/>
  <c r="N685" i="4" s="1"/>
  <c r="O685" i="4" s="1"/>
  <c r="M487" i="4"/>
  <c r="N487" i="4" s="1"/>
  <c r="O487" i="4" s="1"/>
  <c r="M958" i="4"/>
  <c r="N958" i="4" s="1"/>
  <c r="O958" i="4" s="1"/>
  <c r="M1188" i="4"/>
  <c r="N1188" i="4" s="1"/>
  <c r="O1188" i="4" s="1"/>
  <c r="M733" i="4"/>
  <c r="N733" i="4" s="1"/>
  <c r="O733" i="4" s="1"/>
  <c r="M905" i="4"/>
  <c r="N905" i="4" s="1"/>
  <c r="O905" i="4" s="1"/>
  <c r="T588" i="4" s="1"/>
  <c r="Y588" i="4" s="1"/>
  <c r="M354" i="4"/>
  <c r="N354" i="4" s="1"/>
  <c r="O354" i="4" s="1"/>
  <c r="M787" i="4"/>
  <c r="N787" i="4" s="1"/>
  <c r="O787" i="4" s="1"/>
  <c r="T449" i="4" s="1"/>
  <c r="Y449" i="4" s="1"/>
  <c r="M258" i="4"/>
  <c r="N258" i="4" s="1"/>
  <c r="O258" i="4" s="1"/>
  <c r="M662" i="4"/>
  <c r="N662" i="4" s="1"/>
  <c r="O662" i="4" s="1"/>
  <c r="T369" i="4" s="1"/>
  <c r="Y369" i="4" s="1"/>
  <c r="M696" i="4"/>
  <c r="N696" i="4" s="1"/>
  <c r="O696" i="4" s="1"/>
  <c r="M251" i="4"/>
  <c r="N251" i="4" s="1"/>
  <c r="O251" i="4" s="1"/>
  <c r="T353" i="4" s="1"/>
  <c r="Y353" i="4" s="1"/>
  <c r="M246" i="4"/>
  <c r="N246" i="4" s="1"/>
  <c r="O246" i="4" s="1"/>
  <c r="M244" i="4"/>
  <c r="N244" i="4" s="1"/>
  <c r="O244" i="4" s="1"/>
  <c r="M470" i="4"/>
  <c r="N470" i="4" s="1"/>
  <c r="O470" i="4" s="1"/>
  <c r="M400" i="4"/>
  <c r="N400" i="4" s="1"/>
  <c r="O400" i="4" s="1"/>
  <c r="M311" i="4"/>
  <c r="N311" i="4" s="1"/>
  <c r="O311" i="4" s="1"/>
  <c r="M579" i="4"/>
  <c r="N579" i="4" s="1"/>
  <c r="O579" i="4" s="1"/>
  <c r="T385" i="4" s="1"/>
  <c r="Y385" i="4" s="1"/>
  <c r="M622" i="4"/>
  <c r="N622" i="4" s="1"/>
  <c r="O622" i="4" s="1"/>
  <c r="M437" i="4"/>
  <c r="N437" i="4" s="1"/>
  <c r="O437" i="4" s="1"/>
  <c r="M333" i="4"/>
  <c r="N333" i="4" s="1"/>
  <c r="O333" i="4" s="1"/>
  <c r="M882" i="4"/>
  <c r="N882" i="4" s="1"/>
  <c r="O882" i="4" s="1"/>
  <c r="M375" i="4"/>
  <c r="N375" i="4" s="1"/>
  <c r="O375" i="4" s="1"/>
  <c r="M847" i="4"/>
  <c r="N847" i="4" s="1"/>
  <c r="O847" i="4" s="1"/>
  <c r="M963" i="4"/>
  <c r="N963" i="4" s="1"/>
  <c r="O963" i="4" s="1"/>
  <c r="M931" i="4"/>
  <c r="N931" i="4" s="1"/>
  <c r="O931" i="4" s="1"/>
  <c r="M403" i="4"/>
  <c r="N403" i="4" s="1"/>
  <c r="O403" i="4" s="1"/>
  <c r="M483" i="4"/>
  <c r="N483" i="4" s="1"/>
  <c r="O483" i="4" s="1"/>
  <c r="M888" i="4"/>
  <c r="N888" i="4" s="1"/>
  <c r="O888" i="4" s="1"/>
  <c r="M1156" i="4"/>
  <c r="N1156" i="4" s="1"/>
  <c r="O1156" i="4" s="1"/>
  <c r="T970" i="4" s="1"/>
  <c r="Y970" i="4" s="1"/>
  <c r="M698" i="4"/>
  <c r="N698" i="4" s="1"/>
  <c r="O698" i="4" s="1"/>
  <c r="M939" i="4"/>
  <c r="N939" i="4" s="1"/>
  <c r="O939" i="4" s="1"/>
  <c r="M485" i="4"/>
  <c r="N485" i="4" s="1"/>
  <c r="O485" i="4" s="1"/>
  <c r="M679" i="4"/>
  <c r="N679" i="4" s="1"/>
  <c r="O679" i="4" s="1"/>
  <c r="M1085" i="4"/>
  <c r="N1085" i="4" s="1"/>
  <c r="O1085" i="4" s="1"/>
  <c r="M1203" i="4"/>
  <c r="N1203" i="4" s="1"/>
  <c r="O1203" i="4" s="1"/>
  <c r="T1230" i="4" s="1"/>
  <c r="Y1230" i="4" s="1"/>
  <c r="M803" i="4"/>
  <c r="N803" i="4" s="1"/>
  <c r="O803" i="4" s="1"/>
  <c r="T1059" i="4" s="1"/>
  <c r="Y1059" i="4" s="1"/>
  <c r="M1082" i="4"/>
  <c r="N1082" i="4" s="1"/>
  <c r="O1082" i="4" s="1"/>
  <c r="M608" i="4"/>
  <c r="N608" i="4" s="1"/>
  <c r="O608" i="4" s="1"/>
  <c r="M1065" i="4"/>
  <c r="N1065" i="4" s="1"/>
  <c r="O1065" i="4" s="1"/>
  <c r="M519" i="4"/>
  <c r="N519" i="4" s="1"/>
  <c r="O519" i="4" s="1"/>
  <c r="M631" i="4"/>
  <c r="N631" i="4" s="1"/>
  <c r="O631" i="4" s="1"/>
  <c r="M549" i="4"/>
  <c r="N549" i="4" s="1"/>
  <c r="O549" i="4" s="1"/>
  <c r="M477" i="4"/>
  <c r="N477" i="4" s="1"/>
  <c r="O477" i="4" s="1"/>
  <c r="T325" i="4" s="1"/>
  <c r="Y325" i="4" s="1"/>
  <c r="M582" i="4"/>
  <c r="N582" i="4" s="1"/>
  <c r="O582" i="4" s="1"/>
  <c r="M387" i="4"/>
  <c r="N387" i="4" s="1"/>
  <c r="O387" i="4" s="1"/>
  <c r="M256" i="4"/>
  <c r="N256" i="4" s="1"/>
  <c r="O256" i="4" s="1"/>
  <c r="T241" i="4" s="1"/>
  <c r="Y241" i="4" s="1"/>
  <c r="M1196" i="4"/>
  <c r="N1196" i="4" s="1"/>
  <c r="O1196" i="4" s="1"/>
  <c r="M1151" i="4"/>
  <c r="N1151" i="4" s="1"/>
  <c r="O1151" i="4" s="1"/>
  <c r="T950" i="4" s="1"/>
  <c r="Y950" i="4" s="1"/>
  <c r="M633" i="4"/>
  <c r="N633" i="4" s="1"/>
  <c r="O633" i="4" s="1"/>
  <c r="M975" i="4"/>
  <c r="N975" i="4" s="1"/>
  <c r="O975" i="4" s="1"/>
  <c r="T629" i="4" s="1"/>
  <c r="Y629" i="4" s="1"/>
  <c r="M1115" i="4"/>
  <c r="N1115" i="4" s="1"/>
  <c r="O1115" i="4" s="1"/>
  <c r="M1079" i="4"/>
  <c r="N1079" i="4" s="1"/>
  <c r="O1079" i="4" s="1"/>
  <c r="M466" i="4"/>
  <c r="N466" i="4" s="1"/>
  <c r="O466" i="4" s="1"/>
  <c r="M1042" i="4"/>
  <c r="N1042" i="4" s="1"/>
  <c r="O1042" i="4" s="1"/>
  <c r="M755" i="4"/>
  <c r="N755" i="4" s="1"/>
  <c r="O755" i="4" s="1"/>
  <c r="M1069" i="4"/>
  <c r="N1069" i="4" s="1"/>
  <c r="O1069" i="4" s="1"/>
  <c r="M512" i="4"/>
  <c r="N512" i="4" s="1"/>
  <c r="O512" i="4" s="1"/>
  <c r="M712" i="4"/>
  <c r="N712" i="4" s="1"/>
  <c r="O712" i="4" s="1"/>
  <c r="M297" i="4"/>
  <c r="N297" i="4" s="1"/>
  <c r="O297" i="4" s="1"/>
  <c r="M996" i="4"/>
  <c r="N996" i="4" s="1"/>
  <c r="O996" i="4" s="1"/>
  <c r="M916" i="4"/>
  <c r="N916" i="4" s="1"/>
  <c r="O916" i="4" s="1"/>
  <c r="M1143" i="4"/>
  <c r="N1143" i="4" s="1"/>
  <c r="O1143" i="4" s="1"/>
  <c r="M599" i="4"/>
  <c r="N599" i="4" s="1"/>
  <c r="O599" i="4" s="1"/>
  <c r="M1002" i="4"/>
  <c r="N1002" i="4" s="1"/>
  <c r="O1002" i="4" s="1"/>
  <c r="T846" i="4" s="1"/>
  <c r="Y846" i="4" s="1"/>
  <c r="M424" i="4"/>
  <c r="N424" i="4" s="1"/>
  <c r="O424" i="4" s="1"/>
  <c r="M989" i="4"/>
  <c r="N989" i="4" s="1"/>
  <c r="O989" i="4" s="1"/>
  <c r="T531" i="4" s="1"/>
  <c r="Y531" i="4" s="1"/>
  <c r="M371" i="4"/>
  <c r="N371" i="4" s="1"/>
  <c r="O371" i="4" s="1"/>
  <c r="M732" i="4"/>
  <c r="N732" i="4" s="1"/>
  <c r="O732" i="4" s="1"/>
  <c r="T409" i="4" s="1"/>
  <c r="Y409" i="4" s="1"/>
  <c r="M482" i="4"/>
  <c r="N482" i="4" s="1"/>
  <c r="O482" i="4" s="1"/>
  <c r="M446" i="4"/>
  <c r="N446" i="4" s="1"/>
  <c r="O446" i="4" s="1"/>
  <c r="M290" i="4"/>
  <c r="N290" i="4" s="1"/>
  <c r="O290" i="4" s="1"/>
  <c r="M516" i="4"/>
  <c r="N516" i="4" s="1"/>
  <c r="O516" i="4" s="1"/>
  <c r="T345" i="4" s="1"/>
  <c r="Y345" i="4" s="1"/>
  <c r="M397" i="4"/>
  <c r="N397" i="4" s="1"/>
  <c r="O397" i="4" s="1"/>
  <c r="T321" i="4" s="1"/>
  <c r="Y321" i="4" s="1"/>
  <c r="M361" i="4"/>
  <c r="N361" i="4" s="1"/>
  <c r="O361" i="4" s="1"/>
  <c r="T301" i="4" s="1"/>
  <c r="Y301" i="4" s="1"/>
  <c r="M327" i="4"/>
  <c r="N327" i="4" s="1"/>
  <c r="O327" i="4" s="1"/>
  <c r="M254" i="4"/>
  <c r="N254" i="4" s="1"/>
  <c r="O254" i="4" s="1"/>
  <c r="M240" i="4"/>
  <c r="N240" i="4" s="1"/>
  <c r="O240" i="4" s="1"/>
  <c r="M734" i="4"/>
  <c r="N734" i="4" s="1"/>
  <c r="O734" i="4" s="1"/>
  <c r="M688" i="4"/>
  <c r="N688" i="4" s="1"/>
  <c r="O688" i="4" s="1"/>
  <c r="M234" i="4"/>
  <c r="N234" i="4" s="1"/>
  <c r="O234" i="4" s="1"/>
  <c r="T234" i="4" s="1"/>
  <c r="M323" i="4"/>
  <c r="N323" i="4" s="1"/>
  <c r="O323" i="4" s="1"/>
  <c r="M1190" i="4"/>
  <c r="N1190" i="4" s="1"/>
  <c r="O1190" i="4" s="1"/>
  <c r="M937" i="4"/>
  <c r="N937" i="4" s="1"/>
  <c r="O937" i="4" s="1"/>
  <c r="M845" i="4"/>
  <c r="N845" i="4" s="1"/>
  <c r="O845" i="4" s="1"/>
  <c r="M852" i="4"/>
  <c r="N852" i="4" s="1"/>
  <c r="O852" i="4" s="1"/>
  <c r="M269" i="4"/>
  <c r="N269" i="4" s="1"/>
  <c r="O269" i="4" s="1"/>
  <c r="M286" i="4"/>
  <c r="N286" i="4" s="1"/>
  <c r="O286" i="4" s="1"/>
  <c r="M1218" i="4"/>
  <c r="N1218" i="4" s="1"/>
  <c r="O1218" i="4" s="1"/>
  <c r="T1191" i="4" s="1"/>
  <c r="Y1191" i="4" s="1"/>
  <c r="M377" i="4"/>
  <c r="N377" i="4" s="1"/>
  <c r="O377" i="4" s="1"/>
  <c r="M967" i="4"/>
  <c r="N967" i="4" s="1"/>
  <c r="O967" i="4" s="1"/>
  <c r="M1120" i="4"/>
  <c r="N1120" i="4" s="1"/>
  <c r="O1120" i="4" s="1"/>
  <c r="M456" i="4"/>
  <c r="N456" i="4" s="1"/>
  <c r="O456" i="4" s="1"/>
  <c r="M237" i="4"/>
  <c r="N237" i="4" s="1"/>
  <c r="O237" i="4" s="1"/>
  <c r="M564" i="4"/>
  <c r="N564" i="4" s="1"/>
  <c r="O564" i="4" s="1"/>
  <c r="M777" i="4"/>
  <c r="N777" i="4" s="1"/>
  <c r="O777" i="4" s="1"/>
  <c r="M1038" i="4"/>
  <c r="N1038" i="4" s="1"/>
  <c r="O1038" i="4" s="1"/>
  <c r="M511" i="4"/>
  <c r="N511" i="4" s="1"/>
  <c r="O511" i="4" s="1"/>
  <c r="M363" i="4"/>
  <c r="N363" i="4" s="1"/>
  <c r="O363" i="4" s="1"/>
  <c r="M315" i="4"/>
  <c r="N315" i="4" s="1"/>
  <c r="O315" i="4" s="1"/>
  <c r="M235" i="4"/>
  <c r="N235" i="4" s="1"/>
  <c r="O235" i="4" s="1"/>
  <c r="T235" i="4" s="1"/>
  <c r="M372" i="4"/>
  <c r="N372" i="4" s="1"/>
  <c r="O372" i="4" s="1"/>
  <c r="M537" i="4"/>
  <c r="N537" i="4" s="1"/>
  <c r="O537" i="4" s="1"/>
  <c r="M288" i="4"/>
  <c r="N288" i="4" s="1"/>
  <c r="O288" i="4" s="1"/>
  <c r="M445" i="4"/>
  <c r="N445" i="4" s="1"/>
  <c r="O445" i="4" s="1"/>
  <c r="M252" i="4"/>
  <c r="N252" i="4" s="1"/>
  <c r="O252" i="4" s="1"/>
  <c r="M350" i="4"/>
  <c r="N350" i="4" s="1"/>
  <c r="O350" i="4" s="1"/>
  <c r="M299" i="4"/>
  <c r="N299" i="4" s="1"/>
  <c r="O299" i="4" s="1"/>
  <c r="O27" i="1"/>
  <c r="O26" i="1"/>
  <c r="T422" i="4" l="1"/>
  <c r="Y422" i="4" s="1"/>
  <c r="T1123" i="4"/>
  <c r="Y1123" i="4" s="1"/>
  <c r="T413" i="4"/>
  <c r="Y413" i="4" s="1"/>
  <c r="T526" i="4"/>
  <c r="Y526" i="4" s="1"/>
  <c r="T297" i="4"/>
  <c r="Y297" i="4" s="1"/>
  <c r="T1037" i="4"/>
  <c r="Y1037" i="4" s="1"/>
  <c r="T946" i="4"/>
  <c r="Y946" i="4" s="1"/>
  <c r="T858" i="4"/>
  <c r="Y858" i="4" s="1"/>
  <c r="T906" i="4"/>
  <c r="Y906" i="4" s="1"/>
  <c r="T964" i="4"/>
  <c r="Y964" i="4" s="1"/>
  <c r="T1022" i="4"/>
  <c r="Y1022" i="4" s="1"/>
  <c r="T1153" i="4"/>
  <c r="Y1153" i="4" s="1"/>
  <c r="T453" i="4"/>
  <c r="Y453" i="4" s="1"/>
  <c r="T690" i="4"/>
  <c r="Y690" i="4" s="1"/>
  <c r="T799" i="4"/>
  <c r="Y799" i="4" s="1"/>
  <c r="T505" i="4"/>
  <c r="Y505" i="4" s="1"/>
  <c r="T1007" i="4"/>
  <c r="Y1007" i="4" s="1"/>
  <c r="T702" i="4"/>
  <c r="Y702" i="4" s="1"/>
  <c r="T1228" i="4"/>
  <c r="Y1228" i="4" s="1"/>
  <c r="T612" i="4"/>
  <c r="Y612" i="4" s="1"/>
  <c r="T1124" i="4"/>
  <c r="Y1124" i="4" s="1"/>
  <c r="T865" i="4"/>
  <c r="Y865" i="4" s="1"/>
  <c r="T1155" i="4"/>
  <c r="Y1155" i="4" s="1"/>
  <c r="T551" i="4"/>
  <c r="Y551" i="4" s="1"/>
  <c r="T540" i="4"/>
  <c r="Y540" i="4" s="1"/>
  <c r="T693" i="4"/>
  <c r="Y693" i="4" s="1"/>
  <c r="T725" i="4"/>
  <c r="Y725" i="4" s="1"/>
  <c r="T478" i="4"/>
  <c r="Y478" i="4" s="1"/>
  <c r="T285" i="4"/>
  <c r="Y285" i="4" s="1"/>
  <c r="T1137" i="4"/>
  <c r="Y1137" i="4" s="1"/>
  <c r="T708" i="4"/>
  <c r="Y708" i="4" s="1"/>
  <c r="T585" i="4"/>
  <c r="Y585" i="4" s="1"/>
  <c r="T1140" i="4"/>
  <c r="Y1140" i="4" s="1"/>
  <c r="T1200" i="4"/>
  <c r="Y1200" i="4" s="1"/>
  <c r="T484" i="4"/>
  <c r="Y484" i="4" s="1"/>
  <c r="T1086" i="4"/>
  <c r="Y1086" i="4" s="1"/>
  <c r="T844" i="4"/>
  <c r="Y844" i="4" s="1"/>
  <c r="T380" i="4"/>
  <c r="Y380" i="4" s="1"/>
  <c r="T348" i="4"/>
  <c r="Y348" i="4" s="1"/>
  <c r="T450" i="4"/>
  <c r="Y450" i="4" s="1"/>
  <c r="T240" i="4"/>
  <c r="Y240" i="4" s="1"/>
  <c r="T885" i="4"/>
  <c r="Y885" i="4" s="1"/>
  <c r="T670" i="4"/>
  <c r="Y670" i="4" s="1"/>
  <c r="T891" i="4"/>
  <c r="Y891" i="4" s="1"/>
  <c r="T418" i="4"/>
  <c r="Y418" i="4" s="1"/>
  <c r="T452" i="4"/>
  <c r="Y452" i="4" s="1"/>
  <c r="T652" i="4"/>
  <c r="Y652" i="4" s="1"/>
  <c r="T713" i="4"/>
  <c r="Y713" i="4" s="1"/>
  <c r="T381" i="4"/>
  <c r="Y381" i="4" s="1"/>
  <c r="T675" i="4"/>
  <c r="Y675" i="4" s="1"/>
  <c r="T368" i="4"/>
  <c r="Y368" i="4" s="1"/>
  <c r="T382" i="4"/>
  <c r="Y382" i="4" s="1"/>
  <c r="T1114" i="4"/>
  <c r="Y1114" i="4" s="1"/>
  <c r="T1030" i="4"/>
  <c r="Y1030" i="4" s="1"/>
  <c r="T489" i="4"/>
  <c r="Y489" i="4" s="1"/>
  <c r="T1167" i="4"/>
  <c r="Y1167" i="4" s="1"/>
  <c r="T951" i="4"/>
  <c r="Y951" i="4" s="1"/>
  <c r="T627" i="4"/>
  <c r="Y627" i="4" s="1"/>
  <c r="T1050" i="4"/>
  <c r="Y1050" i="4" s="1"/>
  <c r="T522" i="4"/>
  <c r="Y522" i="4" s="1"/>
  <c r="T774" i="4"/>
  <c r="Y774" i="4" s="1"/>
  <c r="T986" i="4"/>
  <c r="Y986" i="4" s="1"/>
  <c r="T1229" i="4"/>
  <c r="Y1229" i="4" s="1"/>
  <c r="T517" i="4"/>
  <c r="Y517" i="4" s="1"/>
  <c r="T1187" i="4"/>
  <c r="Y1187" i="4" s="1"/>
  <c r="T398" i="4"/>
  <c r="Y398" i="4" s="1"/>
  <c r="T389" i="4"/>
  <c r="Y389" i="4" s="1"/>
  <c r="T1102" i="4"/>
  <c r="Y1102" i="4" s="1"/>
  <c r="T819" i="4"/>
  <c r="Y819" i="4" s="1"/>
  <c r="T514" i="4"/>
  <c r="Y514" i="4" s="1"/>
  <c r="T779" i="4"/>
  <c r="Y779" i="4" s="1"/>
  <c r="T500" i="4"/>
  <c r="Y500" i="4" s="1"/>
  <c r="T642" i="4"/>
  <c r="Y642" i="4" s="1"/>
  <c r="T770" i="4"/>
  <c r="Y770" i="4" s="1"/>
  <c r="T436" i="4"/>
  <c r="Y436" i="4" s="1"/>
  <c r="T1194" i="4"/>
  <c r="Y1194" i="4" s="1"/>
  <c r="T547" i="4"/>
  <c r="Y547" i="4" s="1"/>
  <c r="T900" i="4"/>
  <c r="Y900" i="4" s="1"/>
  <c r="T572" i="4"/>
  <c r="Y572" i="4" s="1"/>
  <c r="T945" i="4"/>
  <c r="Y945" i="4" s="1"/>
  <c r="T778" i="4"/>
  <c r="Y778" i="4" s="1"/>
  <c r="T1119" i="4"/>
  <c r="Y1119" i="4" s="1"/>
  <c r="T775" i="4"/>
  <c r="Y775" i="4" s="1"/>
  <c r="T1133" i="4"/>
  <c r="Y1133" i="4" s="1"/>
  <c r="T877" i="4"/>
  <c r="Y877" i="4" s="1"/>
  <c r="T926" i="4"/>
  <c r="Y926" i="4" s="1"/>
  <c r="T1096" i="4"/>
  <c r="Y1096" i="4" s="1"/>
  <c r="T1041" i="4"/>
  <c r="Y1041" i="4" s="1"/>
  <c r="T785" i="4"/>
  <c r="Y785" i="4" s="1"/>
  <c r="T396" i="4"/>
  <c r="Y396" i="4" s="1"/>
  <c r="T278" i="4"/>
  <c r="Y278" i="4" s="1"/>
  <c r="T616" i="4"/>
  <c r="Y616" i="4" s="1"/>
  <c r="T1214" i="4"/>
  <c r="Y1214" i="4" s="1"/>
  <c r="T495" i="4"/>
  <c r="Y495" i="4" s="1"/>
  <c r="T783" i="4"/>
  <c r="Y783" i="4" s="1"/>
  <c r="T427" i="4"/>
  <c r="Y427" i="4" s="1"/>
  <c r="T993" i="4"/>
  <c r="Y993" i="4" s="1"/>
  <c r="T546" i="4"/>
  <c r="Y546" i="4" s="1"/>
  <c r="T899" i="4"/>
  <c r="Y899" i="4" s="1"/>
  <c r="T376" i="4"/>
  <c r="Y376" i="4" s="1"/>
  <c r="T829" i="4"/>
  <c r="Y829" i="4" s="1"/>
  <c r="T543" i="4"/>
  <c r="Y543" i="4" s="1"/>
  <c r="T1220" i="4"/>
  <c r="Y1220" i="4" s="1"/>
  <c r="T626" i="4"/>
  <c r="Y626" i="4" s="1"/>
  <c r="T971" i="4"/>
  <c r="Y971" i="4" s="1"/>
  <c r="T332" i="4"/>
  <c r="Y332" i="4" s="1"/>
  <c r="T472" i="4"/>
  <c r="Y472" i="4" s="1"/>
  <c r="T529" i="4"/>
  <c r="Y529" i="4" s="1"/>
  <c r="T692" i="4"/>
  <c r="Y692" i="4" s="1"/>
  <c r="T944" i="4"/>
  <c r="Y944" i="4" s="1"/>
  <c r="T317" i="4"/>
  <c r="Y317" i="4" s="1"/>
  <c r="T553" i="4"/>
  <c r="Y553" i="4" s="1"/>
  <c r="T337" i="4"/>
  <c r="Y337" i="4" s="1"/>
  <c r="T632" i="4"/>
  <c r="Y632" i="4" s="1"/>
  <c r="T884" i="4"/>
  <c r="Y884" i="4" s="1"/>
  <c r="T281" i="4"/>
  <c r="Y281" i="4" s="1"/>
  <c r="T1016" i="4"/>
  <c r="Y1016" i="4" s="1"/>
  <c r="T593" i="4"/>
  <c r="Y593" i="4" s="1"/>
  <c r="T855" i="4"/>
  <c r="Y855" i="4" s="1"/>
  <c r="T509" i="4"/>
  <c r="Y509" i="4" s="1"/>
  <c r="T684" i="4"/>
  <c r="Y684" i="4" s="1"/>
  <c r="T378" i="4"/>
  <c r="Y378" i="4" s="1"/>
  <c r="T554" i="4"/>
  <c r="Y554" i="4" s="1"/>
  <c r="T455" i="4"/>
  <c r="Y455" i="4" s="1"/>
  <c r="T1144" i="4"/>
  <c r="Y1144" i="4" s="1"/>
  <c r="T1005" i="4"/>
  <c r="Y1005" i="4" s="1"/>
  <c r="T649" i="4"/>
  <c r="Y649" i="4" s="1"/>
  <c r="T901" i="4"/>
  <c r="Y901" i="4" s="1"/>
  <c r="T309" i="4"/>
  <c r="Y309" i="4" s="1"/>
  <c r="T1186" i="4"/>
  <c r="Y1186" i="4" s="1"/>
  <c r="T419" i="4"/>
  <c r="Y419" i="4" s="1"/>
  <c r="T974" i="4"/>
  <c r="Y974" i="4" s="1"/>
  <c r="T1020" i="4"/>
  <c r="Y1020" i="4" s="1"/>
  <c r="T714" i="4"/>
  <c r="Y714" i="4" s="1"/>
  <c r="T647" i="4"/>
  <c r="Y647" i="4" s="1"/>
  <c r="T425" i="4"/>
  <c r="Y425" i="4" s="1"/>
  <c r="T1010" i="4"/>
  <c r="Y1010" i="4" s="1"/>
  <c r="Y233" i="4"/>
  <c r="T723" i="4"/>
  <c r="Y723" i="4" s="1"/>
  <c r="T894" i="4"/>
  <c r="Y894" i="4" s="1"/>
  <c r="T532" i="4"/>
  <c r="Y532" i="4" s="1"/>
  <c r="T719" i="4"/>
  <c r="Y719" i="4" s="1"/>
  <c r="T391" i="4"/>
  <c r="Y391" i="4" s="1"/>
  <c r="T835" i="4"/>
  <c r="Y835" i="4" s="1"/>
  <c r="T497" i="4"/>
  <c r="Y497" i="4" s="1"/>
  <c r="T568" i="4"/>
  <c r="Y568" i="4" s="1"/>
  <c r="T1087" i="4"/>
  <c r="Y1087" i="4" s="1"/>
  <c r="T797" i="4"/>
  <c r="Y797" i="4" s="1"/>
  <c r="T411" i="4"/>
  <c r="Y411" i="4" s="1"/>
  <c r="T709" i="4"/>
  <c r="Y709" i="4" s="1"/>
  <c r="T625" i="4"/>
  <c r="Y625" i="4" s="1"/>
  <c r="T934" i="4"/>
  <c r="Y934" i="4" s="1"/>
  <c r="T973" i="4"/>
  <c r="Y973" i="4" s="1"/>
  <c r="T273" i="4"/>
  <c r="Y273" i="4" s="1"/>
  <c r="T237" i="4"/>
  <c r="Y237" i="4" s="1"/>
  <c r="T344" i="4"/>
  <c r="Y344" i="4" s="1"/>
  <c r="T448" i="4"/>
  <c r="Y448" i="4" s="1"/>
  <c r="T910" i="4"/>
  <c r="Y910" i="4" s="1"/>
  <c r="T820" i="4"/>
  <c r="Y820" i="4" s="1"/>
  <c r="T486" i="4"/>
  <c r="Y486" i="4" s="1"/>
  <c r="T798" i="4"/>
  <c r="Y798" i="4" s="1"/>
  <c r="T253" i="4"/>
  <c r="Y253" i="4" s="1"/>
  <c r="T361" i="4"/>
  <c r="Y361" i="4" s="1"/>
  <c r="Y234" i="4"/>
  <c r="T1143" i="4"/>
  <c r="Y1143" i="4" s="1"/>
  <c r="T1165" i="4"/>
  <c r="Y1165" i="4" s="1"/>
  <c r="T307" i="4"/>
  <c r="Y307" i="4" s="1"/>
  <c r="T760" i="4"/>
  <c r="Y760" i="4" s="1"/>
  <c r="T898" i="4"/>
  <c r="Y898" i="4" s="1"/>
  <c r="T904" i="4"/>
  <c r="Y904" i="4" s="1"/>
  <c r="T1075" i="4"/>
  <c r="Y1075" i="4" s="1"/>
  <c r="T255" i="4"/>
  <c r="Y255" i="4" s="1"/>
  <c r="T351" i="4"/>
  <c r="Y351" i="4" s="1"/>
  <c r="T815" i="4"/>
  <c r="Y815" i="4" s="1"/>
  <c r="T468" i="4"/>
  <c r="Y468" i="4" s="1"/>
  <c r="T611" i="4"/>
  <c r="Y611" i="4" s="1"/>
  <c r="T952" i="4"/>
  <c r="Y952" i="4" s="1"/>
  <c r="T863" i="4"/>
  <c r="Y863" i="4" s="1"/>
  <c r="T1034" i="4"/>
  <c r="Y1034" i="4" s="1"/>
  <c r="T1106" i="4"/>
  <c r="Y1106" i="4" s="1"/>
  <c r="T694" i="4"/>
  <c r="Y694" i="4" s="1"/>
  <c r="T887" i="4"/>
  <c r="Y887" i="4" s="1"/>
  <c r="T840" i="4"/>
  <c r="Y840" i="4" s="1"/>
  <c r="T1011" i="4"/>
  <c r="Y1011" i="4" s="1"/>
  <c r="T751" i="4"/>
  <c r="Y751" i="4" s="1"/>
  <c r="T374" i="4"/>
  <c r="Y374" i="4" s="1"/>
  <c r="T567" i="4"/>
  <c r="Y567" i="4" s="1"/>
  <c r="T659" i="4"/>
  <c r="Y659" i="4" s="1"/>
  <c r="T830" i="4"/>
  <c r="Y830" i="4" s="1"/>
  <c r="T915" i="4"/>
  <c r="Y915" i="4" s="1"/>
  <c r="T604" i="4"/>
  <c r="Y604" i="4" s="1"/>
  <c r="T261" i="4"/>
  <c r="Y261" i="4" s="1"/>
  <c r="T1098" i="4"/>
  <c r="Y1098" i="4" s="1"/>
  <c r="T909" i="4"/>
  <c r="Y909" i="4" s="1"/>
  <c r="T1170" i="4"/>
  <c r="Y1170" i="4" s="1"/>
  <c r="T552" i="4"/>
  <c r="Y552" i="4" s="1"/>
  <c r="T628" i="4"/>
  <c r="Y628" i="4" s="1"/>
  <c r="T528" i="4"/>
  <c r="Y528" i="4" s="1"/>
  <c r="T305" i="4"/>
  <c r="Y305" i="4" s="1"/>
  <c r="T269" i="4"/>
  <c r="Y269" i="4" s="1"/>
  <c r="T1012" i="4"/>
  <c r="Y1012" i="4" s="1"/>
  <c r="T606" i="4"/>
  <c r="Y606" i="4" s="1"/>
  <c r="T776" i="4"/>
  <c r="Y776" i="4" s="1"/>
  <c r="T947" i="4"/>
  <c r="Y947" i="4" s="1"/>
  <c r="T1118" i="4"/>
  <c r="Y1118" i="4" s="1"/>
  <c r="T402" i="4"/>
  <c r="Y402" i="4" s="1"/>
  <c r="T525" i="4"/>
  <c r="Y525" i="4" s="1"/>
  <c r="T467" i="4"/>
  <c r="Y467" i="4" s="1"/>
  <c r="T687" i="4"/>
  <c r="Y687" i="4" s="1"/>
  <c r="T1028" i="4"/>
  <c r="Y1028" i="4" s="1"/>
  <c r="T1215" i="4"/>
  <c r="Y1215" i="4" s="1"/>
  <c r="T1090" i="4"/>
  <c r="Y1090" i="4" s="1"/>
  <c r="T260" i="4"/>
  <c r="Y260" i="4" s="1"/>
  <c r="T1009" i="4"/>
  <c r="Y1009" i="4" s="1"/>
  <c r="T753" i="4"/>
  <c r="Y753" i="4" s="1"/>
  <c r="T316" i="4"/>
  <c r="Y316" i="4" s="1"/>
  <c r="T654" i="4"/>
  <c r="Y654" i="4" s="1"/>
  <c r="T824" i="4"/>
  <c r="Y824" i="4" s="1"/>
  <c r="T995" i="4"/>
  <c r="Y995" i="4" s="1"/>
  <c r="T1166" i="4"/>
  <c r="Y1166" i="4" s="1"/>
  <c r="T735" i="4"/>
  <c r="Y735" i="4" s="1"/>
  <c r="T586" i="4"/>
  <c r="Y586" i="4" s="1"/>
  <c r="T508" i="4"/>
  <c r="Y508" i="4" s="1"/>
  <c r="T1197" i="4"/>
  <c r="Y1197" i="4" s="1"/>
  <c r="T673" i="4"/>
  <c r="Y673" i="4" s="1"/>
  <c r="T864" i="4"/>
  <c r="Y864" i="4" s="1"/>
  <c r="T883" i="4"/>
  <c r="Y883" i="4" s="1"/>
  <c r="T1224" i="4"/>
  <c r="Y1224" i="4" s="1"/>
  <c r="T759" i="4"/>
  <c r="Y759" i="4" s="1"/>
  <c r="T461" i="4"/>
  <c r="Y461" i="4" s="1"/>
  <c r="T294" i="4"/>
  <c r="Y294" i="4" s="1"/>
  <c r="T794" i="4"/>
  <c r="Y794" i="4" s="1"/>
  <c r="T839" i="4"/>
  <c r="Y839" i="4" s="1"/>
  <c r="T1105" i="4"/>
  <c r="Y1105" i="4" s="1"/>
  <c r="T849" i="4"/>
  <c r="Y849" i="4" s="1"/>
  <c r="T262" i="4"/>
  <c r="Y262" i="4" s="1"/>
  <c r="T595" i="4"/>
  <c r="Y595" i="4" s="1"/>
  <c r="T936" i="4"/>
  <c r="Y936" i="4" s="1"/>
  <c r="T1107" i="4"/>
  <c r="Y1107" i="4" s="1"/>
  <c r="T663" i="4"/>
  <c r="Y663" i="4" s="1"/>
  <c r="T415" i="4"/>
  <c r="Y415" i="4" s="1"/>
  <c r="T438" i="4"/>
  <c r="Y438" i="4" s="1"/>
  <c r="T590" i="4"/>
  <c r="Y590" i="4" s="1"/>
  <c r="T676" i="4"/>
  <c r="Y676" i="4" s="1"/>
  <c r="T932" i="4"/>
  <c r="Y932" i="4" s="1"/>
  <c r="T1018" i="4"/>
  <c r="Y1018" i="4" s="1"/>
  <c r="T1103" i="4"/>
  <c r="Y1103" i="4" s="1"/>
  <c r="T706" i="4"/>
  <c r="Y706" i="4" s="1"/>
  <c r="T613" i="4"/>
  <c r="Y613" i="4" s="1"/>
  <c r="T646" i="4"/>
  <c r="Y646" i="4" s="1"/>
  <c r="T987" i="4"/>
  <c r="Y987" i="4" s="1"/>
  <c r="T1031" i="4"/>
  <c r="Y1031" i="4" s="1"/>
  <c r="T291" i="4"/>
  <c r="Y291" i="4" s="1"/>
  <c r="T459" i="4"/>
  <c r="Y459" i="4" s="1"/>
  <c r="T743" i="4"/>
  <c r="Y743" i="4" s="1"/>
  <c r="T541" i="4"/>
  <c r="Y541" i="4" s="1"/>
  <c r="T506" i="4"/>
  <c r="Y506" i="4" s="1"/>
  <c r="T959" i="4"/>
  <c r="Y959" i="4" s="1"/>
  <c r="T823" i="4"/>
  <c r="Y823" i="4" s="1"/>
  <c r="T420" i="4"/>
  <c r="Y420" i="4" s="1"/>
  <c r="T1117" i="4"/>
  <c r="Y1117" i="4" s="1"/>
  <c r="T555" i="4"/>
  <c r="Y555" i="4" s="1"/>
  <c r="T736" i="4"/>
  <c r="Y736" i="4" s="1"/>
  <c r="T1129" i="4"/>
  <c r="Y1129" i="4" s="1"/>
  <c r="T873" i="4"/>
  <c r="Y873" i="4" s="1"/>
  <c r="T745" i="4"/>
  <c r="Y745" i="4" s="1"/>
  <c r="T665" i="4"/>
  <c r="Y665" i="4" s="1"/>
  <c r="T576" i="4"/>
  <c r="Y576" i="4" s="1"/>
  <c r="T454" i="4"/>
  <c r="Y454" i="4" s="1"/>
  <c r="T956" i="4"/>
  <c r="Y956" i="4" s="1"/>
  <c r="T871" i="4"/>
  <c r="Y871" i="4" s="1"/>
  <c r="T571" i="4"/>
  <c r="Y571" i="4" s="1"/>
  <c r="T440" i="4"/>
  <c r="Y440" i="4" s="1"/>
  <c r="T259" i="4"/>
  <c r="Y259" i="4" s="1"/>
  <c r="T1227" i="4"/>
  <c r="Y1227" i="4" s="1"/>
  <c r="T1147" i="4"/>
  <c r="Y1147" i="4" s="1"/>
  <c r="T493" i="4"/>
  <c r="Y493" i="4" s="1"/>
  <c r="T562" i="4"/>
  <c r="Y562" i="4" s="1"/>
  <c r="T826" i="4"/>
  <c r="Y826" i="4" s="1"/>
  <c r="T615" i="4"/>
  <c r="Y615" i="4" s="1"/>
  <c r="T1057" i="4"/>
  <c r="Y1057" i="4" s="1"/>
  <c r="T464" i="4"/>
  <c r="Y464" i="4" s="1"/>
  <c r="T600" i="4"/>
  <c r="Y600" i="4" s="1"/>
  <c r="T1027" i="4"/>
  <c r="Y1027" i="4" s="1"/>
  <c r="T1175" i="4"/>
  <c r="Y1175" i="4" s="1"/>
  <c r="T521" i="4"/>
  <c r="Y521" i="4" s="1"/>
  <c r="T893" i="4"/>
  <c r="Y893" i="4" s="1"/>
  <c r="T275" i="4"/>
  <c r="Y275" i="4" s="1"/>
  <c r="T1017" i="4"/>
  <c r="Y1017" i="4" s="1"/>
  <c r="T953" i="4"/>
  <c r="Y953" i="4" s="1"/>
  <c r="T338" i="4"/>
  <c r="Y338" i="4" s="1"/>
  <c r="T268" i="4"/>
  <c r="Y268" i="4" s="1"/>
  <c r="T1013" i="4"/>
  <c r="Y1013" i="4" s="1"/>
  <c r="T917" i="4"/>
  <c r="Y917" i="4" s="1"/>
  <c r="T303" i="4"/>
  <c r="Y303" i="4" s="1"/>
  <c r="T583" i="4"/>
  <c r="Y583" i="4" s="1"/>
  <c r="T365" i="4"/>
  <c r="Y365" i="4" s="1"/>
  <c r="T718" i="4"/>
  <c r="Y718" i="4" s="1"/>
  <c r="T349" i="4"/>
  <c r="Y349" i="4" s="1"/>
  <c r="T289" i="4"/>
  <c r="Y289" i="4" s="1"/>
  <c r="T781" i="4"/>
  <c r="Y781" i="4" s="1"/>
  <c r="T1063" i="4"/>
  <c r="Y1063" i="4" s="1"/>
  <c r="T569" i="4"/>
  <c r="Y569" i="4" s="1"/>
  <c r="T730" i="4"/>
  <c r="Y730" i="4" s="1"/>
  <c r="T1071" i="4"/>
  <c r="Y1071" i="4" s="1"/>
  <c r="T1201" i="4"/>
  <c r="Y1201" i="4" s="1"/>
  <c r="T677" i="4"/>
  <c r="Y677" i="4" s="1"/>
  <c r="T1223" i="4"/>
  <c r="Y1223" i="4" s="1"/>
  <c r="T494" i="4"/>
  <c r="Y494" i="4" s="1"/>
  <c r="T435" i="4"/>
  <c r="Y435" i="4" s="1"/>
  <c r="T1035" i="4"/>
  <c r="Y1035" i="4" s="1"/>
  <c r="T408" i="4"/>
  <c r="Y408" i="4" s="1"/>
  <c r="T666" i="4"/>
  <c r="Y666" i="4" s="1"/>
  <c r="T504" i="4"/>
  <c r="Y504" i="4" s="1"/>
  <c r="Y238" i="4"/>
  <c r="T814" i="4"/>
  <c r="Y814" i="4" s="1"/>
  <c r="T336" i="4"/>
  <c r="Y336" i="4" s="1"/>
  <c r="T724" i="4"/>
  <c r="Y724" i="4" s="1"/>
  <c r="T980" i="4"/>
  <c r="Y980" i="4" s="1"/>
  <c r="T1213" i="4"/>
  <c r="Y1213" i="4" s="1"/>
  <c r="T496" i="4"/>
  <c r="Y496" i="4" s="1"/>
  <c r="T822" i="4"/>
  <c r="Y822" i="4" s="1"/>
  <c r="T1094" i="4"/>
  <c r="Y1094" i="4" s="1"/>
  <c r="T981" i="4"/>
  <c r="Y981" i="4" s="1"/>
  <c r="T789" i="4"/>
  <c r="Y789" i="4" s="1"/>
  <c r="T742" i="4"/>
  <c r="Y742" i="4" s="1"/>
  <c r="T1055" i="4"/>
  <c r="Y1055" i="4" s="1"/>
  <c r="T479" i="4"/>
  <c r="Y479" i="4" s="1"/>
  <c r="T803" i="4"/>
  <c r="Y803" i="4" s="1"/>
  <c r="T756" i="4"/>
  <c r="Y756" i="4" s="1"/>
  <c r="T888" i="4"/>
  <c r="Y888" i="4" s="1"/>
  <c r="T465" i="4"/>
  <c r="Y465" i="4" s="1"/>
  <c r="T1101" i="4"/>
  <c r="Y1101" i="4" s="1"/>
  <c r="T313" i="4"/>
  <c r="Y313" i="4" s="1"/>
  <c r="T671" i="4"/>
  <c r="Y671" i="4" s="1"/>
  <c r="T862" i="4"/>
  <c r="Y862" i="4" s="1"/>
  <c r="T1032" i="4"/>
  <c r="Y1032" i="4" s="1"/>
  <c r="T695" i="4"/>
  <c r="Y695" i="4" s="1"/>
  <c r="T246" i="4"/>
  <c r="Y246" i="4" s="1"/>
  <c r="T602" i="4"/>
  <c r="Y602" i="4" s="1"/>
  <c r="T772" i="4"/>
  <c r="Y772" i="4" s="1"/>
  <c r="T881" i="4"/>
  <c r="Y881" i="4" s="1"/>
  <c r="T592" i="4"/>
  <c r="Y592" i="4" s="1"/>
  <c r="T287" i="4"/>
  <c r="Y287" i="4" s="1"/>
  <c r="T559" i="4"/>
  <c r="Y559" i="4" s="1"/>
  <c r="T739" i="4"/>
  <c r="Y739" i="4" s="1"/>
  <c r="T1080" i="4"/>
  <c r="Y1080" i="4" s="1"/>
  <c r="T272" i="4"/>
  <c r="Y272" i="4" s="1"/>
  <c r="T366" i="4"/>
  <c r="Y366" i="4" s="1"/>
  <c r="T991" i="4"/>
  <c r="Y991" i="4" s="1"/>
  <c r="T362" i="4"/>
  <c r="Y362" i="4" s="1"/>
  <c r="T813" i="4"/>
  <c r="Y813" i="4" s="1"/>
  <c r="T462" i="4"/>
  <c r="Y462" i="4" s="1"/>
  <c r="T1206" i="4"/>
  <c r="Y1206" i="4" s="1"/>
  <c r="T306" i="4"/>
  <c r="Y306" i="4" s="1"/>
  <c r="T1139" i="4"/>
  <c r="Y1139" i="4" s="1"/>
  <c r="T488" i="4"/>
  <c r="Y488" i="4" s="1"/>
  <c r="T545" i="4"/>
  <c r="Y545" i="4" s="1"/>
  <c r="T474" i="4"/>
  <c r="Y474" i="4" s="1"/>
  <c r="T721" i="4"/>
  <c r="Y721" i="4" s="1"/>
  <c r="T538" i="4"/>
  <c r="Y538" i="4" s="1"/>
  <c r="T638" i="4"/>
  <c r="Y638" i="4" s="1"/>
  <c r="T530" i="4"/>
  <c r="Y530" i="4" s="1"/>
  <c r="T786" i="4"/>
  <c r="Y786" i="4" s="1"/>
  <c r="T1036" i="4"/>
  <c r="Y1036" i="4" s="1"/>
  <c r="T557" i="4"/>
  <c r="Y557" i="4" s="1"/>
  <c r="T1060" i="4"/>
  <c r="Y1060" i="4" s="1"/>
  <c r="T892" i="4"/>
  <c r="Y892" i="4" s="1"/>
  <c r="T1202" i="4"/>
  <c r="Y1202" i="4" s="1"/>
  <c r="T1217" i="4"/>
  <c r="Y1217" i="4" s="1"/>
  <c r="T1089" i="4"/>
  <c r="Y1089" i="4" s="1"/>
  <c r="T961" i="4"/>
  <c r="Y961" i="4" s="1"/>
  <c r="T697" i="4"/>
  <c r="Y697" i="4" s="1"/>
  <c r="T356" i="4"/>
  <c r="Y356" i="4" s="1"/>
  <c r="T816" i="4"/>
  <c r="Y816" i="4" s="1"/>
  <c r="T1158" i="4"/>
  <c r="Y1158" i="4" s="1"/>
  <c r="T441" i="4"/>
  <c r="Y441" i="4" s="1"/>
  <c r="T1006" i="4"/>
  <c r="Y1006" i="4" s="1"/>
  <c r="T1091" i="4"/>
  <c r="Y1091" i="4" s="1"/>
  <c r="T746" i="4"/>
  <c r="Y746" i="4" s="1"/>
  <c r="T925" i="4"/>
  <c r="Y925" i="4" s="1"/>
  <c r="T347" i="4"/>
  <c r="Y347" i="4" s="1"/>
  <c r="T1142" i="4"/>
  <c r="Y1142" i="4" s="1"/>
  <c r="T257" i="4"/>
  <c r="Y257" i="4" s="1"/>
  <c r="T927" i="4"/>
  <c r="Y927" i="4" s="1"/>
  <c r="T364" i="4"/>
  <c r="Y364" i="4" s="1"/>
  <c r="T265" i="4"/>
  <c r="Y265" i="4" s="1"/>
  <c r="T249" i="4"/>
  <c r="Y249" i="4" s="1"/>
  <c r="T393" i="4"/>
  <c r="Y393" i="4" s="1"/>
  <c r="T481" i="4"/>
  <c r="Y481" i="4" s="1"/>
  <c r="T263" i="4"/>
  <c r="Y263" i="4" s="1"/>
  <c r="T962" i="4"/>
  <c r="Y962" i="4" s="1"/>
  <c r="T248" i="4"/>
  <c r="Y248" i="4" s="1"/>
  <c r="T310" i="4"/>
  <c r="Y310" i="4" s="1"/>
  <c r="T655" i="4"/>
  <c r="Y655" i="4" s="1"/>
  <c r="T1172" i="4"/>
  <c r="Y1172" i="4" s="1"/>
  <c r="T657" i="4"/>
  <c r="Y657" i="4" s="1"/>
  <c r="T942" i="4"/>
  <c r="Y942" i="4" s="1"/>
  <c r="T1021" i="4"/>
  <c r="Y1021" i="4" s="1"/>
  <c r="T992" i="4"/>
  <c r="Y992" i="4" s="1"/>
  <c r="T490" i="4"/>
  <c r="Y490" i="4" s="1"/>
  <c r="T838" i="4"/>
  <c r="Y838" i="4" s="1"/>
  <c r="T1178" i="4"/>
  <c r="Y1178" i="4" s="1"/>
  <c r="T329" i="4"/>
  <c r="Y329" i="4" s="1"/>
  <c r="T845" i="4"/>
  <c r="Y845" i="4" s="1"/>
  <c r="T333" i="4"/>
  <c r="Y333" i="4" s="1"/>
  <c r="T842" i="4"/>
  <c r="Y842" i="4" s="1"/>
  <c r="T311" i="4"/>
  <c r="Y311" i="4" s="1"/>
  <c r="T608" i="4"/>
  <c r="Y608" i="4" s="1"/>
  <c r="T734" i="4"/>
  <c r="Y734" i="4" s="1"/>
  <c r="T1162" i="4"/>
  <c r="Y1162" i="4" s="1"/>
  <c r="T431" i="4"/>
  <c r="Y431" i="4" s="1"/>
  <c r="T749" i="4"/>
  <c r="Y749" i="4" s="1"/>
  <c r="T1182" i="4"/>
  <c r="Y1182" i="4" s="1"/>
  <c r="T1127" i="4"/>
  <c r="Y1127" i="4" s="1"/>
  <c r="T589" i="4"/>
  <c r="Y589" i="4" s="1"/>
  <c r="T922" i="4"/>
  <c r="Y922" i="4" s="1"/>
  <c r="T1092" i="4"/>
  <c r="Y1092" i="4" s="1"/>
  <c r="T1169" i="4"/>
  <c r="Y1169" i="4" s="1"/>
  <c r="T913" i="4"/>
  <c r="Y913" i="4" s="1"/>
  <c r="T633" i="4"/>
  <c r="Y633" i="4" s="1"/>
  <c r="T433" i="4"/>
  <c r="Y433" i="4" s="1"/>
  <c r="T392" i="4"/>
  <c r="Y392" i="4" s="1"/>
  <c r="T1171" i="4"/>
  <c r="Y1171" i="4" s="1"/>
  <c r="T286" i="4"/>
  <c r="Y286" i="4" s="1"/>
  <c r="T577" i="4"/>
  <c r="Y577" i="4" s="1"/>
  <c r="T740" i="4"/>
  <c r="Y740" i="4" s="1"/>
  <c r="T911" i="4"/>
  <c r="Y911" i="4" s="1"/>
  <c r="T996" i="4"/>
  <c r="Y996" i="4" s="1"/>
  <c r="T1082" i="4"/>
  <c r="Y1082" i="4" s="1"/>
  <c r="T967" i="4"/>
  <c r="Y967" i="4" s="1"/>
  <c r="T503" i="4"/>
  <c r="Y503" i="4" s="1"/>
  <c r="T1185" i="4"/>
  <c r="Y1185" i="4" s="1"/>
  <c r="T929" i="4"/>
  <c r="Y929" i="4" s="1"/>
  <c r="T801" i="4"/>
  <c r="Y801" i="4" s="1"/>
  <c r="T432" i="4"/>
  <c r="Y432" i="4" s="1"/>
  <c r="T548" i="4"/>
  <c r="Y548" i="4" s="1"/>
  <c r="T902" i="4"/>
  <c r="Y902" i="4" s="1"/>
  <c r="T754" i="4"/>
  <c r="Y754" i="4" s="1"/>
  <c r="T245" i="4"/>
  <c r="Y245" i="4" s="1"/>
  <c r="T686" i="4"/>
  <c r="Y686" i="4" s="1"/>
  <c r="T771" i="4"/>
  <c r="Y771" i="4" s="1"/>
  <c r="T856" i="4"/>
  <c r="Y856" i="4" s="1"/>
  <c r="T1112" i="4"/>
  <c r="Y1112" i="4" s="1"/>
  <c r="T1198" i="4"/>
  <c r="Y1198" i="4" s="1"/>
  <c r="T372" i="4"/>
  <c r="Y372" i="4" s="1"/>
  <c r="T679" i="4"/>
  <c r="Y679" i="4" s="1"/>
  <c r="T930" i="4"/>
  <c r="Y930" i="4" s="1"/>
  <c r="T469" i="4"/>
  <c r="Y469" i="4" s="1"/>
  <c r="T596" i="4"/>
  <c r="Y596" i="4" s="1"/>
  <c r="T767" i="4"/>
  <c r="Y767" i="4" s="1"/>
  <c r="T688" i="4"/>
  <c r="Y688" i="4" s="1"/>
  <c r="T579" i="4"/>
  <c r="Y579" i="4" s="1"/>
  <c r="T1079" i="4"/>
  <c r="Y1079" i="4" s="1"/>
  <c r="T1076" i="4"/>
  <c r="Y1076" i="4" s="1"/>
  <c r="T524" i="4"/>
  <c r="Y524" i="4" s="1"/>
  <c r="T712" i="4"/>
  <c r="Y712" i="4" s="1"/>
  <c r="T404" i="4"/>
  <c r="Y404" i="4" s="1"/>
  <c r="T534" i="4"/>
  <c r="Y534" i="4" s="1"/>
  <c r="T1115" i="4"/>
  <c r="Y1115" i="4" s="1"/>
  <c r="T437" i="4"/>
  <c r="Y437" i="4" s="1"/>
  <c r="T680" i="4"/>
  <c r="Y680" i="4" s="1"/>
  <c r="T1192" i="4"/>
  <c r="Y1192" i="4" s="1"/>
  <c r="T1159" i="4"/>
  <c r="Y1159" i="4" s="1"/>
  <c r="T762" i="4"/>
  <c r="Y762" i="4" s="1"/>
  <c r="T847" i="4"/>
  <c r="Y847" i="4" s="1"/>
  <c r="T1042" i="4"/>
  <c r="Y1042" i="4" s="1"/>
  <c r="T463" i="4"/>
  <c r="Y463" i="4" s="1"/>
  <c r="T290" i="4"/>
  <c r="Y290" i="4" s="1"/>
  <c r="T897" i="4"/>
  <c r="Y897" i="4" s="1"/>
  <c r="T354" i="4"/>
  <c r="Y354" i="4" s="1"/>
  <c r="T330" i="4"/>
  <c r="Y330" i="4" s="1"/>
  <c r="T622" i="4"/>
  <c r="Y622" i="4" s="1"/>
  <c r="T707" i="4"/>
  <c r="Y707" i="4" s="1"/>
  <c r="T792" i="4"/>
  <c r="Y792" i="4" s="1"/>
  <c r="T878" i="4"/>
  <c r="Y878" i="4" s="1"/>
  <c r="T963" i="4"/>
  <c r="Y963" i="4" s="1"/>
  <c r="T1048" i="4"/>
  <c r="Y1048" i="4" s="1"/>
  <c r="T1134" i="4"/>
  <c r="Y1134" i="4" s="1"/>
  <c r="T1219" i="4"/>
  <c r="Y1219" i="4" s="1"/>
  <c r="T994" i="4"/>
  <c r="Y994" i="4" s="1"/>
  <c r="T457" i="4"/>
  <c r="Y457" i="4" s="1"/>
  <c r="T279" i="4"/>
  <c r="Y279" i="4" s="1"/>
  <c r="T618" i="4"/>
  <c r="Y618" i="4" s="1"/>
  <c r="T703" i="4"/>
  <c r="Y703" i="4" s="1"/>
  <c r="T874" i="4"/>
  <c r="Y874" i="4" s="1"/>
  <c r="T1044" i="4"/>
  <c r="Y1044" i="4" s="1"/>
  <c r="T1130" i="4"/>
  <c r="Y1130" i="4" s="1"/>
  <c r="T315" i="4"/>
  <c r="Y315" i="4" s="1"/>
  <c r="T931" i="4"/>
  <c r="Y931" i="4" s="1"/>
  <c r="T377" i="4"/>
  <c r="Y377" i="4" s="1"/>
  <c r="T397" i="4"/>
  <c r="Y397" i="4" s="1"/>
  <c r="T511" i="4"/>
  <c r="Y511" i="4" s="1"/>
  <c r="T252" i="4"/>
  <c r="Y252" i="4" s="1"/>
  <c r="T424" i="4"/>
  <c r="Y424" i="4" s="1"/>
  <c r="T1160" i="4"/>
  <c r="Y1160" i="4" s="1"/>
  <c r="T564" i="4"/>
  <c r="Y564" i="4" s="1"/>
  <c r="T460" i="4"/>
  <c r="Y460" i="4" s="1"/>
  <c r="T696" i="4"/>
  <c r="Y696" i="4" s="1"/>
  <c r="T1038" i="4"/>
  <c r="Y1038" i="4" s="1"/>
  <c r="T1208" i="4"/>
  <c r="Y1208" i="4" s="1"/>
  <c r="T716" i="4"/>
  <c r="Y716" i="4" s="1"/>
  <c r="T1212" i="4"/>
  <c r="Y1212" i="4" s="1"/>
  <c r="T244" i="4"/>
  <c r="Y244" i="4" s="1"/>
  <c r="T948" i="4"/>
  <c r="Y948" i="4" s="1"/>
  <c r="T582" i="4"/>
  <c r="Y582" i="4" s="1"/>
  <c r="T282" i="4"/>
  <c r="Y282" i="4" s="1"/>
  <c r="T445" i="4"/>
  <c r="Y445" i="4" s="1"/>
  <c r="T580" i="4"/>
  <c r="Y580" i="4" s="1"/>
  <c r="T755" i="4"/>
  <c r="Y755" i="4" s="1"/>
  <c r="T328" i="4"/>
  <c r="Y328" i="4" s="1"/>
  <c r="T882" i="4"/>
  <c r="Y882" i="4" s="1"/>
  <c r="T836" i="4"/>
  <c r="Y836" i="4" s="1"/>
  <c r="T1188" i="4"/>
  <c r="Y1188" i="4" s="1"/>
  <c r="T1015" i="4"/>
  <c r="Y1015" i="4" s="1"/>
  <c r="T603" i="4"/>
  <c r="Y603" i="4" s="1"/>
  <c r="T940" i="4"/>
  <c r="Y940" i="4" s="1"/>
  <c r="T787" i="4"/>
  <c r="Y787" i="4" s="1"/>
  <c r="T872" i="4"/>
  <c r="Y872" i="4" s="1"/>
  <c r="T958" i="4"/>
  <c r="Y958" i="4" s="1"/>
  <c r="T1043" i="4"/>
  <c r="Y1043" i="4" s="1"/>
  <c r="T1128" i="4"/>
  <c r="Y1128" i="4" s="1"/>
  <c r="T446" i="4"/>
  <c r="Y446" i="4" s="1"/>
  <c r="T727" i="4"/>
  <c r="Y727" i="4" s="1"/>
  <c r="T537" i="4"/>
  <c r="Y537" i="4" s="1"/>
  <c r="T698" i="4"/>
  <c r="Y698" i="4" s="1"/>
  <c r="T868" i="4"/>
  <c r="Y868" i="4" s="1"/>
  <c r="T954" i="4"/>
  <c r="Y954" i="4" s="1"/>
  <c r="T1231" i="4"/>
  <c r="Y1231" i="4" s="1"/>
  <c r="T791" i="4"/>
  <c r="Y791" i="4" s="1"/>
  <c r="T1138" i="4"/>
  <c r="Y1138" i="4" s="1"/>
  <c r="T1121" i="4"/>
  <c r="Y1121" i="4" s="1"/>
  <c r="T737" i="4"/>
  <c r="Y737" i="4" s="1"/>
  <c r="T560" i="4"/>
  <c r="Y560" i="4" s="1"/>
  <c r="T280" i="4"/>
  <c r="Y280" i="4" s="1"/>
  <c r="Y235" i="4"/>
  <c r="T731" i="4"/>
  <c r="Y731" i="4" s="1"/>
  <c r="T1072" i="4"/>
  <c r="Y1072" i="4" s="1"/>
  <c r="T417" i="4"/>
  <c r="Y417" i="4" s="1"/>
  <c r="T350" i="4"/>
  <c r="Y350" i="4" s="1"/>
  <c r="T643" i="4"/>
  <c r="Y643" i="4" s="1"/>
  <c r="T728" i="4"/>
  <c r="Y728" i="4" s="1"/>
  <c r="T984" i="4"/>
  <c r="Y984" i="4" s="1"/>
  <c r="T1070" i="4"/>
  <c r="Y1070" i="4" s="1"/>
  <c r="T581" i="4"/>
  <c r="Y581" i="4" s="1"/>
  <c r="T802" i="4"/>
  <c r="Y802" i="4" s="1"/>
  <c r="T1047" i="4"/>
  <c r="Y1047" i="4" s="1"/>
  <c r="T477" i="4"/>
  <c r="Y477" i="4" s="1"/>
  <c r="T810" i="4"/>
  <c r="Y810" i="4" s="1"/>
  <c r="T895" i="4"/>
  <c r="Y895" i="4" s="1"/>
  <c r="T1066" i="4"/>
  <c r="Y1066" i="4" s="1"/>
  <c r="T1151" i="4"/>
  <c r="Y1151" i="4" s="1"/>
  <c r="T1120" i="4"/>
  <c r="Y1120" i="4" s="1"/>
  <c r="T1203" i="4"/>
  <c r="Y1203" i="4" s="1"/>
  <c r="T1196" i="4"/>
  <c r="Y1196" i="4" s="1"/>
  <c r="T764" i="4"/>
  <c r="Y764" i="4" s="1"/>
  <c r="T650" i="4"/>
  <c r="Y650" i="4" s="1"/>
  <c r="T1069" i="4"/>
  <c r="Y1069" i="4" s="1"/>
  <c r="T968" i="4"/>
  <c r="Y968" i="4" s="1"/>
  <c r="T516" i="4"/>
  <c r="Y516" i="4" s="1"/>
  <c r="T977" i="4"/>
  <c r="Y977" i="4" s="1"/>
  <c r="T979" i="4"/>
  <c r="Y979" i="4" s="1"/>
  <c r="T1150" i="4"/>
  <c r="Y1150" i="4" s="1"/>
  <c r="T357" i="4"/>
  <c r="Y357" i="4" s="1"/>
  <c r="T473" i="4"/>
  <c r="Y473" i="4" s="1"/>
  <c r="T322" i="4"/>
  <c r="Y322" i="4" s="1"/>
  <c r="T634" i="4"/>
  <c r="Y634" i="4" s="1"/>
  <c r="T804" i="4"/>
  <c r="Y804" i="4" s="1"/>
  <c r="T890" i="4"/>
  <c r="Y890" i="4" s="1"/>
  <c r="T975" i="4"/>
  <c r="Y975" i="4" s="1"/>
  <c r="T1146" i="4"/>
  <c r="Y1146" i="4" s="1"/>
  <c r="T833" i="4"/>
  <c r="Y833" i="4" s="1"/>
  <c r="T507" i="4"/>
  <c r="Y507" i="4" s="1"/>
  <c r="T339" i="4"/>
  <c r="Y339" i="4" s="1"/>
  <c r="T407" i="4"/>
  <c r="Y407" i="4" s="1"/>
  <c r="T574" i="4"/>
  <c r="Y574" i="4" s="1"/>
  <c r="T920" i="4"/>
  <c r="Y920" i="4" s="1"/>
  <c r="T1176" i="4"/>
  <c r="Y1176" i="4" s="1"/>
  <c r="T300" i="4"/>
  <c r="Y300" i="4" s="1"/>
  <c r="T620" i="4"/>
  <c r="Y620" i="4" s="1"/>
  <c r="T860" i="4"/>
  <c r="Y860" i="4" s="1"/>
  <c r="T1111" i="4"/>
  <c r="Y1111" i="4" s="1"/>
  <c r="T394" i="4"/>
  <c r="Y394" i="4" s="1"/>
  <c r="T660" i="4"/>
  <c r="Y660" i="4" s="1"/>
  <c r="T831" i="4"/>
  <c r="Y831" i="4" s="1"/>
  <c r="T916" i="4"/>
  <c r="Y916" i="4" s="1"/>
  <c r="T1002" i="4"/>
  <c r="Y1002" i="4" s="1"/>
  <c r="T1183" i="4"/>
  <c r="Y1183" i="4" s="1"/>
  <c r="T631" i="4"/>
  <c r="Y631" i="4" s="1"/>
  <c r="T852" i="4"/>
  <c r="Y852" i="4" s="1"/>
  <c r="T938" i="4"/>
  <c r="Y938" i="4" s="1"/>
  <c r="T1023" i="4"/>
  <c r="Y1023" i="4" s="1"/>
  <c r="T1108" i="4"/>
  <c r="Y1108" i="4" s="1"/>
  <c r="T1210" i="4"/>
  <c r="Y1210" i="4" s="1"/>
  <c r="T732" i="4"/>
  <c r="Y732" i="4" s="1"/>
  <c r="T1074" i="4"/>
  <c r="Y1074" i="4" s="1"/>
  <c r="T456" i="4"/>
  <c r="Y456" i="4" s="1"/>
  <c r="T1149" i="4"/>
  <c r="Y1149" i="4" s="1"/>
  <c r="T765" i="4"/>
  <c r="Y765" i="4" s="1"/>
  <c r="T609" i="4"/>
  <c r="Y609" i="4" s="1"/>
  <c r="T346" i="4"/>
  <c r="Y346" i="4" s="1"/>
  <c r="T324" i="4"/>
  <c r="Y324" i="4" s="1"/>
  <c r="T651" i="4"/>
  <c r="Y651" i="4" s="1"/>
  <c r="T818" i="4"/>
  <c r="Y818" i="4" s="1"/>
  <c r="T1209" i="4"/>
  <c r="Y1209" i="4" s="1"/>
  <c r="T1145" i="4"/>
  <c r="Y1145" i="4" s="1"/>
  <c r="T1081" i="4"/>
  <c r="Y1081" i="4" s="1"/>
  <c r="T889" i="4"/>
  <c r="Y889" i="4" s="1"/>
  <c r="T825" i="4"/>
  <c r="Y825" i="4" s="1"/>
  <c r="T689" i="4"/>
  <c r="Y689" i="4" s="1"/>
  <c r="T601" i="4"/>
  <c r="Y601" i="4" s="1"/>
  <c r="T482" i="4"/>
  <c r="Y482" i="4" s="1"/>
  <c r="T308" i="4"/>
  <c r="Y308" i="4" s="1"/>
  <c r="T414" i="4"/>
  <c r="Y414" i="4" s="1"/>
  <c r="T667" i="4"/>
  <c r="Y667" i="4" s="1"/>
  <c r="T1008" i="4"/>
  <c r="Y1008" i="4" s="1"/>
  <c r="T1179" i="4"/>
  <c r="Y1179" i="4" s="1"/>
  <c r="T834" i="4"/>
  <c r="Y834" i="4" s="1"/>
  <c r="T536" i="4"/>
  <c r="Y536" i="4" s="1"/>
  <c r="T807" i="4"/>
  <c r="Y807" i="4" s="1"/>
  <c r="T1058" i="4"/>
  <c r="Y1058" i="4" s="1"/>
  <c r="T498" i="4"/>
  <c r="Y498" i="4" s="1"/>
  <c r="T383" i="4"/>
  <c r="Y383" i="4" s="1"/>
  <c r="T1205" i="4"/>
  <c r="Y1205" i="4" s="1"/>
  <c r="T1141" i="4"/>
  <c r="Y1141" i="4" s="1"/>
  <c r="T1077" i="4"/>
  <c r="Y1077" i="4" s="1"/>
  <c r="T949" i="4"/>
  <c r="Y949" i="4" s="1"/>
  <c r="T821" i="4"/>
  <c r="Y821" i="4" s="1"/>
  <c r="T757" i="4"/>
  <c r="Y757" i="4" s="1"/>
  <c r="T681" i="4"/>
  <c r="Y681" i="4" s="1"/>
  <c r="T597" i="4"/>
  <c r="Y597" i="4" s="1"/>
  <c r="T483" i="4"/>
  <c r="Y483" i="4" s="1"/>
  <c r="T323" i="4"/>
  <c r="Y323" i="4" s="1"/>
  <c r="T476" i="4"/>
  <c r="Y476" i="4" s="1"/>
  <c r="T672" i="4"/>
  <c r="Y672" i="4" s="1"/>
  <c r="T843" i="4"/>
  <c r="Y843" i="4" s="1"/>
  <c r="T1014" i="4"/>
  <c r="Y1014" i="4" s="1"/>
  <c r="T1184" i="4"/>
  <c r="Y1184" i="4" s="1"/>
  <c r="T876" i="4"/>
  <c r="Y876" i="4" s="1"/>
  <c r="T363" i="4"/>
  <c r="Y363" i="4" s="1"/>
  <c r="T276" i="4"/>
  <c r="Y276" i="4" s="1"/>
  <c r="T270" i="4"/>
  <c r="Y270" i="4" s="1"/>
  <c r="T499" i="4"/>
  <c r="Y499" i="4" s="1"/>
  <c r="T614" i="4"/>
  <c r="Y614" i="4" s="1"/>
  <c r="T699" i="4"/>
  <c r="Y699" i="4" s="1"/>
  <c r="T870" i="4"/>
  <c r="Y870" i="4" s="1"/>
  <c r="T955" i="4"/>
  <c r="Y955" i="4" s="1"/>
  <c r="T1040" i="4"/>
  <c r="Y1040" i="4" s="1"/>
  <c r="T1126" i="4"/>
  <c r="Y1126" i="4" s="1"/>
  <c r="T1211" i="4"/>
  <c r="Y1211" i="4" s="1"/>
  <c r="T711" i="4"/>
  <c r="Y711" i="4" s="1"/>
  <c r="T972" i="4"/>
  <c r="Y972" i="4" s="1"/>
  <c r="T717" i="4"/>
  <c r="Y717" i="4" s="1"/>
  <c r="T653" i="4"/>
  <c r="Y653" i="4" s="1"/>
  <c r="T587" i="4"/>
  <c r="Y587" i="4" s="1"/>
  <c r="T502" i="4"/>
  <c r="Y502" i="4" s="1"/>
  <c r="T388" i="4"/>
  <c r="Y388" i="4" s="1"/>
  <c r="T274" i="4"/>
  <c r="Y274" i="4" s="1"/>
  <c r="T466" i="4"/>
  <c r="Y466" i="4" s="1"/>
  <c r="T379" i="4"/>
  <c r="Y379" i="4" s="1"/>
  <c r="T292" i="4"/>
  <c r="Y292" i="4" s="1"/>
  <c r="T549" i="4"/>
  <c r="Y549" i="4" s="1"/>
  <c r="T458" i="4"/>
  <c r="Y458" i="4" s="1"/>
  <c r="T598" i="4"/>
  <c r="Y598" i="4" s="1"/>
  <c r="T683" i="4"/>
  <c r="Y683" i="4" s="1"/>
  <c r="T768" i="4"/>
  <c r="Y768" i="4" s="1"/>
  <c r="T854" i="4"/>
  <c r="Y854" i="4" s="1"/>
  <c r="T939" i="4"/>
  <c r="Y939" i="4" s="1"/>
  <c r="T1024" i="4"/>
  <c r="Y1024" i="4" s="1"/>
  <c r="T1110" i="4"/>
  <c r="Y1110" i="4" s="1"/>
  <c r="T1195" i="4"/>
  <c r="Y1195" i="4" s="1"/>
  <c r="T722" i="4"/>
  <c r="Y722" i="4" s="1"/>
  <c r="T988" i="4"/>
  <c r="Y988" i="4" s="1"/>
  <c r="T341" i="4"/>
  <c r="Y341" i="4" s="1"/>
  <c r="T1148" i="4"/>
  <c r="Y1148" i="4" s="1"/>
  <c r="T533" i="4"/>
  <c r="Y533" i="4" s="1"/>
  <c r="T989" i="4"/>
  <c r="Y989" i="4" s="1"/>
  <c r="T861" i="4"/>
  <c r="Y861" i="4" s="1"/>
  <c r="T733" i="4"/>
  <c r="Y733" i="4" s="1"/>
  <c r="T267" i="4"/>
  <c r="Y267" i="4" s="1"/>
  <c r="T254" i="4"/>
  <c r="Y254" i="4" s="1"/>
  <c r="T1084" i="4"/>
  <c r="Y1084" i="4" s="1"/>
  <c r="Y239" i="4"/>
  <c r="T1193" i="4"/>
  <c r="Y1193" i="4" s="1"/>
  <c r="T1065" i="4"/>
  <c r="Y1065" i="4" s="1"/>
  <c r="T1001" i="4"/>
  <c r="Y1001" i="4" s="1"/>
  <c r="T937" i="4"/>
  <c r="Y937" i="4" s="1"/>
  <c r="T809" i="4"/>
  <c r="Y809" i="4" s="1"/>
  <c r="T295" i="4"/>
  <c r="Y295" i="4" s="1"/>
  <c r="T266" i="4"/>
  <c r="Y266" i="4" s="1"/>
  <c r="T520" i="4"/>
  <c r="Y520" i="4" s="1"/>
  <c r="T880" i="4"/>
  <c r="Y880" i="4" s="1"/>
  <c r="T1051" i="4"/>
  <c r="Y1051" i="4" s="1"/>
  <c r="T1222" i="4"/>
  <c r="Y1222" i="4" s="1"/>
  <c r="T1199" i="4"/>
  <c r="Y1199" i="4" s="1"/>
  <c r="T599" i="4"/>
  <c r="Y599" i="4" s="1"/>
  <c r="T1122" i="4"/>
  <c r="Y1122" i="4" s="1"/>
  <c r="T470" i="4"/>
  <c r="Y470" i="4" s="1"/>
  <c r="T355" i="4"/>
  <c r="Y355" i="4" s="1"/>
  <c r="T258" i="4"/>
  <c r="Y258" i="4" s="1"/>
  <c r="T1189" i="4"/>
  <c r="Y1189" i="4" s="1"/>
  <c r="T1125" i="4"/>
  <c r="Y1125" i="4" s="1"/>
  <c r="T1061" i="4"/>
  <c r="Y1061" i="4" s="1"/>
  <c r="T997" i="4"/>
  <c r="Y997" i="4" s="1"/>
  <c r="T933" i="4"/>
  <c r="Y933" i="4" s="1"/>
  <c r="T869" i="4"/>
  <c r="Y869" i="4" s="1"/>
  <c r="T805" i="4"/>
  <c r="Y805" i="4" s="1"/>
  <c r="T741" i="4"/>
  <c r="Y741" i="4" s="1"/>
  <c r="T661" i="4"/>
  <c r="Y661" i="4" s="1"/>
  <c r="T288" i="4"/>
  <c r="Y288" i="4" s="1"/>
  <c r="T434" i="4"/>
  <c r="Y434" i="4" s="1"/>
  <c r="T527" i="4"/>
  <c r="Y527" i="4" s="1"/>
  <c r="T715" i="4"/>
  <c r="Y715" i="4" s="1"/>
  <c r="T886" i="4"/>
  <c r="Y886" i="4" s="1"/>
  <c r="T1056" i="4"/>
  <c r="Y1056" i="4" s="1"/>
  <c r="T1004" i="4"/>
  <c r="Y1004" i="4" s="1"/>
  <c r="T342" i="4"/>
  <c r="Y342" i="4" s="1"/>
  <c r="T251" i="4"/>
  <c r="Y251" i="4" s="1"/>
  <c r="T327" i="4"/>
  <c r="Y327" i="4" s="1"/>
  <c r="T535" i="4"/>
  <c r="Y535" i="4" s="1"/>
  <c r="T635" i="4"/>
  <c r="Y635" i="4" s="1"/>
  <c r="T720" i="4"/>
  <c r="Y720" i="4" s="1"/>
  <c r="T806" i="4"/>
  <c r="Y806" i="4" s="1"/>
  <c r="T976" i="4"/>
  <c r="Y976" i="4" s="1"/>
  <c r="T1062" i="4"/>
  <c r="Y1062" i="4" s="1"/>
  <c r="T780" i="4"/>
  <c r="Y780" i="4" s="1"/>
  <c r="T1052" i="4"/>
  <c r="Y1052" i="4" s="1"/>
  <c r="T701" i="4"/>
  <c r="Y701" i="4" s="1"/>
  <c r="T637" i="4"/>
  <c r="Y637" i="4" s="1"/>
  <c r="T566" i="4"/>
  <c r="Y566" i="4" s="1"/>
  <c r="T475" i="4"/>
  <c r="Y475" i="4" s="1"/>
  <c r="T360" i="4"/>
  <c r="Y360" i="4" s="1"/>
  <c r="Y236" i="4"/>
  <c r="T444" i="4"/>
  <c r="Y444" i="4" s="1"/>
  <c r="T358" i="4"/>
  <c r="Y358" i="4" s="1"/>
  <c r="T271" i="4"/>
  <c r="Y271" i="4" s="1"/>
  <c r="T284" i="4"/>
  <c r="Y284" i="4" s="1"/>
  <c r="T510" i="4"/>
  <c r="Y510" i="4" s="1"/>
  <c r="T619" i="4"/>
  <c r="Y619" i="4" s="1"/>
  <c r="T704" i="4"/>
  <c r="Y704" i="4" s="1"/>
  <c r="T790" i="4"/>
  <c r="Y790" i="4" s="1"/>
  <c r="T875" i="4"/>
  <c r="Y875" i="4" s="1"/>
  <c r="T960" i="4"/>
  <c r="Y960" i="4" s="1"/>
  <c r="T1046" i="4"/>
  <c r="Y1046" i="4" s="1"/>
  <c r="T1131" i="4"/>
  <c r="Y1131" i="4" s="1"/>
  <c r="T1216" i="4"/>
  <c r="Y1216" i="4" s="1"/>
  <c r="T796" i="4"/>
  <c r="Y796" i="4" s="1"/>
  <c r="T1068" i="4"/>
  <c r="Y1068" i="4" s="1"/>
  <c r="T558" i="4"/>
  <c r="Y558" i="4" s="1"/>
  <c r="T908" i="4"/>
  <c r="Y908" i="4" s="1"/>
  <c r="T1218" i="4"/>
  <c r="Y1218" i="4" s="1"/>
  <c r="T1085" i="4"/>
  <c r="Y1085" i="4" s="1"/>
  <c r="T957" i="4"/>
  <c r="Y957" i="4" s="1"/>
  <c r="T492" i="4"/>
  <c r="Y492" i="4" s="1"/>
  <c r="T371" i="4"/>
  <c r="Y371" i="4" s="1"/>
  <c r="T421" i="4"/>
  <c r="Y421" i="4" s="1"/>
  <c r="T1177" i="4"/>
  <c r="Y1177" i="4" s="1"/>
  <c r="T1049" i="4"/>
  <c r="Y1049" i="4" s="1"/>
  <c r="T985" i="4"/>
  <c r="Y985" i="4" s="1"/>
  <c r="T921" i="4"/>
  <c r="Y921" i="4" s="1"/>
  <c r="T857" i="4"/>
  <c r="Y857" i="4" s="1"/>
  <c r="T793" i="4"/>
  <c r="Y793" i="4" s="1"/>
  <c r="T729" i="4"/>
  <c r="Y729" i="4" s="1"/>
  <c r="T645" i="4"/>
  <c r="Y645" i="4" s="1"/>
  <c r="T550" i="4"/>
  <c r="Y550" i="4" s="1"/>
  <c r="T410" i="4"/>
  <c r="Y410" i="4" s="1"/>
  <c r="T256" i="4"/>
  <c r="Y256" i="4" s="1"/>
  <c r="T395" i="4"/>
  <c r="Y395" i="4" s="1"/>
  <c r="T485" i="4"/>
  <c r="Y485" i="4" s="1"/>
  <c r="T578" i="4"/>
  <c r="Y578" i="4" s="1"/>
  <c r="T752" i="4"/>
  <c r="Y752" i="4" s="1"/>
  <c r="T923" i="4"/>
  <c r="Y923" i="4" s="1"/>
  <c r="T1095" i="4"/>
  <c r="Y1095" i="4" s="1"/>
  <c r="T674" i="4"/>
  <c r="Y674" i="4" s="1"/>
  <c r="T935" i="4"/>
  <c r="Y935" i="4" s="1"/>
  <c r="T1180" i="4"/>
  <c r="Y1180" i="4" s="1"/>
  <c r="T442" i="4"/>
  <c r="Y442" i="4" s="1"/>
  <c r="T326" i="4"/>
  <c r="Y326" i="4" s="1"/>
  <c r="T1173" i="4"/>
  <c r="Y1173" i="4" s="1"/>
  <c r="T1109" i="4"/>
  <c r="Y1109" i="4" s="1"/>
  <c r="T853" i="4"/>
  <c r="Y853" i="4" s="1"/>
  <c r="T641" i="4"/>
  <c r="Y641" i="4" s="1"/>
  <c r="T539" i="4"/>
  <c r="Y539" i="4" s="1"/>
  <c r="T403" i="4"/>
  <c r="Y403" i="4" s="1"/>
  <c r="T247" i="4"/>
  <c r="Y247" i="4" s="1"/>
  <c r="T390" i="4"/>
  <c r="Y390" i="4" s="1"/>
  <c r="T405" i="4"/>
  <c r="Y405" i="4" s="1"/>
  <c r="T584" i="4"/>
  <c r="Y584" i="4" s="1"/>
  <c r="T758" i="4"/>
  <c r="Y758" i="4" s="1"/>
  <c r="T928" i="4"/>
  <c r="Y928" i="4" s="1"/>
  <c r="T1099" i="4"/>
  <c r="Y1099" i="4" s="1"/>
  <c r="T1154" i="4"/>
  <c r="Y1154" i="4" s="1"/>
  <c r="T406" i="4"/>
  <c r="Y406" i="4" s="1"/>
  <c r="T319" i="4"/>
  <c r="Y319" i="4" s="1"/>
  <c r="T242" i="4"/>
  <c r="Y242" i="4" s="1"/>
  <c r="T386" i="4"/>
  <c r="Y386" i="4" s="1"/>
  <c r="T563" i="4"/>
  <c r="Y563" i="4" s="1"/>
  <c r="T656" i="4"/>
  <c r="Y656" i="4" s="1"/>
  <c r="T827" i="4"/>
  <c r="Y827" i="4" s="1"/>
  <c r="T998" i="4"/>
  <c r="Y998" i="4" s="1"/>
  <c r="T1083" i="4"/>
  <c r="Y1083" i="4" s="1"/>
  <c r="T1168" i="4"/>
  <c r="Y1168" i="4" s="1"/>
  <c r="T594" i="4"/>
  <c r="Y594" i="4" s="1"/>
  <c r="T850" i="4"/>
  <c r="Y850" i="4" s="1"/>
  <c r="T1116" i="4"/>
  <c r="Y1116" i="4" s="1"/>
  <c r="T685" i="4"/>
  <c r="Y685" i="4" s="1"/>
  <c r="T621" i="4"/>
  <c r="Y621" i="4" s="1"/>
  <c r="T544" i="4"/>
  <c r="Y544" i="4" s="1"/>
  <c r="T447" i="4"/>
  <c r="Y447" i="4" s="1"/>
  <c r="T331" i="4"/>
  <c r="Y331" i="4" s="1"/>
  <c r="T373" i="4"/>
  <c r="Y373" i="4" s="1"/>
  <c r="T423" i="4"/>
  <c r="Y423" i="4" s="1"/>
  <c r="T335" i="4"/>
  <c r="Y335" i="4" s="1"/>
  <c r="T243" i="4"/>
  <c r="Y243" i="4" s="1"/>
  <c r="T343" i="4"/>
  <c r="Y343" i="4" s="1"/>
  <c r="T542" i="4"/>
  <c r="Y542" i="4" s="1"/>
  <c r="T640" i="4"/>
  <c r="Y640" i="4" s="1"/>
  <c r="T726" i="4"/>
  <c r="Y726" i="4" s="1"/>
  <c r="T811" i="4"/>
  <c r="Y811" i="4" s="1"/>
  <c r="T896" i="4"/>
  <c r="Y896" i="4" s="1"/>
  <c r="T982" i="4"/>
  <c r="Y982" i="4" s="1"/>
  <c r="T1067" i="4"/>
  <c r="Y1067" i="4" s="1"/>
  <c r="T1152" i="4"/>
  <c r="Y1152" i="4" s="1"/>
  <c r="T610" i="4"/>
  <c r="Y610" i="4" s="1"/>
  <c r="T866" i="4"/>
  <c r="Y866" i="4" s="1"/>
  <c r="T1132" i="4"/>
  <c r="Y1132" i="4" s="1"/>
  <c r="T983" i="4"/>
  <c r="Y983" i="4" s="1"/>
  <c r="T491" i="4"/>
  <c r="Y491" i="4" s="1"/>
  <c r="T340" i="4"/>
  <c r="Y340" i="4" s="1"/>
  <c r="T1181" i="4"/>
  <c r="Y1181" i="4" s="1"/>
  <c r="T1053" i="4"/>
  <c r="Y1053" i="4" s="1"/>
  <c r="T556" i="4"/>
  <c r="Y556" i="4" s="1"/>
  <c r="T907" i="4"/>
  <c r="Y907" i="4" s="1"/>
  <c r="T387" i="4"/>
  <c r="Y387" i="4" s="1"/>
  <c r="T304" i="4"/>
  <c r="Y304" i="4" s="1"/>
  <c r="T1225" i="4"/>
  <c r="Y1225" i="4" s="1"/>
  <c r="T1161" i="4"/>
  <c r="Y1161" i="4" s="1"/>
  <c r="T1097" i="4"/>
  <c r="Y1097" i="4" s="1"/>
  <c r="T1033" i="4"/>
  <c r="Y1033" i="4" s="1"/>
  <c r="T905" i="4"/>
  <c r="Y905" i="4" s="1"/>
  <c r="T841" i="4"/>
  <c r="Y841" i="4" s="1"/>
  <c r="T777" i="4"/>
  <c r="Y777" i="4" s="1"/>
  <c r="T518" i="4"/>
  <c r="Y518" i="4" s="1"/>
  <c r="T375" i="4"/>
  <c r="Y375" i="4" s="1"/>
  <c r="T501" i="4"/>
  <c r="Y501" i="4" s="1"/>
  <c r="T352" i="4"/>
  <c r="Y352" i="4" s="1"/>
  <c r="T299" i="4"/>
  <c r="Y299" i="4" s="1"/>
  <c r="T624" i="4"/>
  <c r="Y624" i="4" s="1"/>
  <c r="T795" i="4"/>
  <c r="Y795" i="4" s="1"/>
  <c r="T966" i="4"/>
  <c r="Y966" i="4" s="1"/>
  <c r="T1136" i="4"/>
  <c r="Y1136" i="4" s="1"/>
  <c r="T700" i="4"/>
  <c r="Y700" i="4" s="1"/>
  <c r="T1156" i="4"/>
  <c r="Y1156" i="4" s="1"/>
  <c r="T416" i="4"/>
  <c r="Y416" i="4" s="1"/>
  <c r="T748" i="4"/>
  <c r="Y748" i="4" s="1"/>
  <c r="T999" i="4"/>
  <c r="Y999" i="4" s="1"/>
  <c r="T519" i="4"/>
  <c r="Y519" i="4" s="1"/>
  <c r="T412" i="4"/>
  <c r="Y412" i="4" s="1"/>
  <c r="T296" i="4"/>
  <c r="Y296" i="4" s="1"/>
  <c r="T1221" i="4"/>
  <c r="Y1221" i="4" s="1"/>
  <c r="T1157" i="4"/>
  <c r="Y1157" i="4" s="1"/>
  <c r="T1093" i="4"/>
  <c r="Y1093" i="4" s="1"/>
  <c r="T1029" i="4"/>
  <c r="Y1029" i="4" s="1"/>
  <c r="T965" i="4"/>
  <c r="Y965" i="4" s="1"/>
  <c r="T837" i="4"/>
  <c r="Y837" i="4" s="1"/>
  <c r="T705" i="4"/>
  <c r="Y705" i="4" s="1"/>
  <c r="T617" i="4"/>
  <c r="Y617" i="4" s="1"/>
  <c r="T512" i="4"/>
  <c r="Y512" i="4" s="1"/>
  <c r="T367" i="4"/>
  <c r="Y367" i="4" s="1"/>
  <c r="T277" i="4"/>
  <c r="Y277" i="4" s="1"/>
  <c r="T312" i="4"/>
  <c r="Y312" i="4" s="1"/>
  <c r="T630" i="4"/>
  <c r="Y630" i="4" s="1"/>
  <c r="T800" i="4"/>
  <c r="Y800" i="4" s="1"/>
  <c r="T738" i="4"/>
  <c r="Y738" i="4" s="1"/>
  <c r="T471" i="4"/>
  <c r="Y471" i="4" s="1"/>
  <c r="T384" i="4"/>
  <c r="Y384" i="4" s="1"/>
  <c r="T298" i="4"/>
  <c r="Y298" i="4" s="1"/>
  <c r="T443" i="4"/>
  <c r="Y443" i="4" s="1"/>
  <c r="T591" i="4"/>
  <c r="Y591" i="4" s="1"/>
  <c r="T678" i="4"/>
  <c r="Y678" i="4" s="1"/>
  <c r="T763" i="4"/>
  <c r="Y763" i="4" s="1"/>
  <c r="T848" i="4"/>
  <c r="Y848" i="4" s="1"/>
  <c r="T1019" i="4"/>
  <c r="Y1019" i="4" s="1"/>
  <c r="T1104" i="4"/>
  <c r="Y1104" i="4" s="1"/>
  <c r="T1190" i="4"/>
  <c r="Y1190" i="4" s="1"/>
  <c r="T658" i="4"/>
  <c r="Y658" i="4" s="1"/>
  <c r="T903" i="4"/>
  <c r="Y903" i="4" s="1"/>
  <c r="T669" i="4"/>
  <c r="Y669" i="4" s="1"/>
  <c r="T605" i="4"/>
  <c r="Y605" i="4" s="1"/>
  <c r="T523" i="4"/>
  <c r="Y523" i="4" s="1"/>
  <c r="T302" i="4"/>
  <c r="Y302" i="4" s="1"/>
  <c r="T487" i="4"/>
  <c r="Y487" i="4" s="1"/>
  <c r="T400" i="4"/>
  <c r="Y400" i="4" s="1"/>
  <c r="T314" i="4"/>
  <c r="Y314" i="4" s="1"/>
  <c r="T565" i="4"/>
  <c r="Y565" i="4" s="1"/>
  <c r="T399" i="4"/>
  <c r="Y399" i="4" s="1"/>
  <c r="T570" i="4"/>
  <c r="Y570" i="4" s="1"/>
  <c r="T662" i="4"/>
  <c r="Y662" i="4" s="1"/>
  <c r="T747" i="4"/>
  <c r="Y747" i="4" s="1"/>
  <c r="T832" i="4"/>
  <c r="Y832" i="4" s="1"/>
  <c r="T918" i="4"/>
  <c r="Y918" i="4" s="1"/>
  <c r="T1003" i="4"/>
  <c r="Y1003" i="4" s="1"/>
  <c r="T1088" i="4"/>
  <c r="Y1088" i="4" s="1"/>
  <c r="T1174" i="4"/>
  <c r="Y1174" i="4" s="1"/>
  <c r="T668" i="4"/>
  <c r="Y668" i="4" s="1"/>
  <c r="T924" i="4"/>
  <c r="Y924" i="4" s="1"/>
  <c r="T1207" i="4"/>
  <c r="Y1207" i="4" s="1"/>
  <c r="O320" i="4"/>
  <c r="T250" i="4" s="1"/>
  <c r="Y250" i="4" s="1"/>
  <c r="T320" i="4" l="1"/>
  <c r="Y320" i="4" s="1"/>
  <c r="Z233" i="4" s="1"/>
  <c r="Z240" i="4" l="1"/>
  <c r="AF240" i="4" s="1" a="1"/>
  <c r="AF240" i="4" s="1"/>
  <c r="S53" i="1" s="1" a="1"/>
  <c r="S53" i="1" s="1"/>
  <c r="Z241" i="4"/>
  <c r="AD241" i="4" s="1" a="1"/>
  <c r="AD241" i="4" s="1"/>
  <c r="Q54" i="1" s="1" a="1"/>
  <c r="Q54" i="1" s="1"/>
  <c r="Z239" i="4"/>
  <c r="AB239" i="4" s="1" a="1"/>
  <c r="AB239" i="4" s="1"/>
  <c r="O52" i="1" s="1" a="1"/>
  <c r="O52" i="1" s="1"/>
  <c r="Z237" i="4"/>
  <c r="AG237" i="4" s="1" a="1"/>
  <c r="AG237" i="4" s="1"/>
  <c r="T50" i="1" s="1" a="1"/>
  <c r="T50" i="1" s="1"/>
  <c r="Z238" i="4"/>
  <c r="AD238" i="4" s="1" a="1"/>
  <c r="AD238" i="4" s="1"/>
  <c r="Q51" i="1" s="1" a="1"/>
  <c r="Q51" i="1" s="1"/>
  <c r="Z242" i="4"/>
  <c r="AF242" i="4" s="1" a="1"/>
  <c r="AF242" i="4" s="1"/>
  <c r="S55" i="1" s="1" a="1"/>
  <c r="S55" i="1" s="1"/>
  <c r="Z235" i="4"/>
  <c r="AA235" i="4" s="1" a="1"/>
  <c r="AA235" i="4" s="1"/>
  <c r="N48" i="1" s="1" a="1"/>
  <c r="N48" i="1" s="1"/>
  <c r="Z234" i="4"/>
  <c r="AE234" i="4" s="1" a="1"/>
  <c r="AE234" i="4" s="1"/>
  <c r="R47" i="1" s="1" a="1"/>
  <c r="R47" i="1" s="1"/>
  <c r="Z236" i="4"/>
  <c r="AF233" i="4" a="1"/>
  <c r="AF233" i="4" s="1"/>
  <c r="S46" i="1" s="1" a="1"/>
  <c r="S46" i="1" s="1"/>
  <c r="AD233" i="4" a="1"/>
  <c r="AD233" i="4" s="1"/>
  <c r="Q46" i="1" s="1" a="1"/>
  <c r="Q46" i="1" s="1"/>
  <c r="AE233" i="4" a="1"/>
  <c r="AE233" i="4" s="1"/>
  <c r="R46" i="1" s="1" a="1"/>
  <c r="R46" i="1" s="1"/>
  <c r="AA233" i="4" a="1"/>
  <c r="AA233" i="4" s="1"/>
  <c r="N46" i="1" s="1" a="1"/>
  <c r="N46" i="1" s="1"/>
  <c r="AG233" i="4" a="1"/>
  <c r="AG233" i="4" s="1"/>
  <c r="T46" i="1" s="1" a="1"/>
  <c r="T46" i="1" s="1"/>
  <c r="AB233" i="4" a="1"/>
  <c r="AB233" i="4" s="1"/>
  <c r="O46" i="1" s="1" a="1"/>
  <c r="O46" i="1" s="1"/>
  <c r="AC233" i="4" a="1"/>
  <c r="AC233" i="4" s="1"/>
  <c r="P46" i="1" s="1" a="1"/>
  <c r="P46" i="1" s="1"/>
  <c r="AD240" i="4" l="1" a="1"/>
  <c r="AD240" i="4" s="1"/>
  <c r="Q53" i="1" s="1" a="1"/>
  <c r="Q53" i="1" s="1"/>
  <c r="AG240" i="4" a="1"/>
  <c r="AG240" i="4" s="1"/>
  <c r="T53" i="1" s="1" a="1"/>
  <c r="T53" i="1" s="1"/>
  <c r="AC240" i="4" a="1"/>
  <c r="AC240" i="4" s="1"/>
  <c r="P53" i="1" s="1" a="1"/>
  <c r="P53" i="1" s="1"/>
  <c r="AG241" i="4" a="1"/>
  <c r="AG241" i="4" s="1"/>
  <c r="T54" i="1" s="1" a="1"/>
  <c r="T54" i="1" s="1"/>
  <c r="AA240" i="4" a="1"/>
  <c r="AA240" i="4" s="1"/>
  <c r="N53" i="1" s="1" a="1"/>
  <c r="N53" i="1" s="1"/>
  <c r="AE240" i="4" a="1"/>
  <c r="AE240" i="4" s="1"/>
  <c r="R53" i="1" s="1" a="1"/>
  <c r="R53" i="1" s="1"/>
  <c r="AB240" i="4" a="1"/>
  <c r="AB240" i="4" s="1"/>
  <c r="O53" i="1" s="1" a="1"/>
  <c r="O53" i="1" s="1"/>
  <c r="AA241" i="4" a="1"/>
  <c r="AA241" i="4" s="1"/>
  <c r="N54" i="1" s="1" a="1"/>
  <c r="N54" i="1" s="1"/>
  <c r="AB241" i="4" a="1"/>
  <c r="AB241" i="4" s="1"/>
  <c r="O54" i="1" s="1" a="1"/>
  <c r="O54" i="1" s="1"/>
  <c r="AA239" i="4" a="1"/>
  <c r="AA239" i="4" s="1"/>
  <c r="N52" i="1" s="1" a="1"/>
  <c r="N52" i="1" s="1"/>
  <c r="AD239" i="4" a="1"/>
  <c r="AD239" i="4" s="1"/>
  <c r="Q52" i="1" s="1" a="1"/>
  <c r="Q52" i="1" s="1"/>
  <c r="AG239" i="4" a="1"/>
  <c r="AG239" i="4" s="1"/>
  <c r="T52" i="1" s="1" a="1"/>
  <c r="T52" i="1" s="1"/>
  <c r="AE239" i="4" a="1"/>
  <c r="AE239" i="4" s="1"/>
  <c r="R52" i="1" s="1" a="1"/>
  <c r="R52" i="1" s="1"/>
  <c r="AD237" i="4" a="1"/>
  <c r="AD237" i="4" s="1"/>
  <c r="Q50" i="1" s="1" a="1"/>
  <c r="Q50" i="1" s="1"/>
  <c r="AC239" i="4" a="1"/>
  <c r="AC239" i="4" s="1"/>
  <c r="P52" i="1" s="1" a="1"/>
  <c r="P52" i="1" s="1"/>
  <c r="AB237" i="4" a="1"/>
  <c r="AB237" i="4" s="1"/>
  <c r="O50" i="1" s="1" a="1"/>
  <c r="O50" i="1" s="1"/>
  <c r="AE241" i="4" a="1"/>
  <c r="AE241" i="4" s="1"/>
  <c r="R54" i="1" s="1" a="1"/>
  <c r="R54" i="1" s="1"/>
  <c r="AC241" i="4" a="1"/>
  <c r="AC241" i="4" s="1"/>
  <c r="P54" i="1" s="1" a="1"/>
  <c r="P54" i="1" s="1"/>
  <c r="AF241" i="4" a="1"/>
  <c r="AF241" i="4" s="1"/>
  <c r="S54" i="1" s="1" a="1"/>
  <c r="S54" i="1" s="1"/>
  <c r="AF239" i="4" a="1"/>
  <c r="AF239" i="4" s="1"/>
  <c r="S52" i="1" s="1" a="1"/>
  <c r="S52" i="1" s="1"/>
  <c r="AD242" i="4" a="1"/>
  <c r="AD242" i="4" s="1"/>
  <c r="Q55" i="1" s="1" a="1"/>
  <c r="Q55" i="1" s="1"/>
  <c r="AE238" i="4" a="1"/>
  <c r="AE238" i="4" s="1"/>
  <c r="R51" i="1" s="1" a="1"/>
  <c r="R51" i="1" s="1"/>
  <c r="AA234" i="4" a="1"/>
  <c r="AA234" i="4" s="1"/>
  <c r="N47" i="1" s="1" a="1"/>
  <c r="N47" i="1" s="1"/>
  <c r="AC237" i="4" a="1"/>
  <c r="AC237" i="4" s="1"/>
  <c r="P50" i="1" s="1" a="1"/>
  <c r="P50" i="1" s="1"/>
  <c r="AC242" i="4" a="1"/>
  <c r="AC242" i="4" s="1"/>
  <c r="P55" i="1" s="1" a="1"/>
  <c r="P55" i="1" s="1"/>
  <c r="AB242" i="4" a="1"/>
  <c r="AB242" i="4" s="1"/>
  <c r="O55" i="1" s="1" a="1"/>
  <c r="O55" i="1" s="1"/>
  <c r="AE235" i="4" a="1"/>
  <c r="AE235" i="4" s="1"/>
  <c r="R48" i="1" s="1" a="1"/>
  <c r="R48" i="1" s="1"/>
  <c r="AC235" i="4" a="1"/>
  <c r="AC235" i="4" s="1"/>
  <c r="P48" i="1" s="1" a="1"/>
  <c r="P48" i="1" s="1"/>
  <c r="AE242" i="4" a="1"/>
  <c r="AE242" i="4" s="1"/>
  <c r="R55" i="1" s="1" a="1"/>
  <c r="R55" i="1" s="1"/>
  <c r="AA242" i="4" a="1"/>
  <c r="AA242" i="4" s="1"/>
  <c r="N55" i="1" s="1" a="1"/>
  <c r="N55" i="1" s="1"/>
  <c r="AG242" i="4" a="1"/>
  <c r="AG242" i="4" s="1"/>
  <c r="T55" i="1" s="1" a="1"/>
  <c r="T55" i="1" s="1"/>
  <c r="AA238" i="4" a="1"/>
  <c r="AA238" i="4" s="1"/>
  <c r="N51" i="1" s="1" a="1"/>
  <c r="N51" i="1" s="1"/>
  <c r="AG238" i="4" a="1"/>
  <c r="AG238" i="4" s="1"/>
  <c r="T51" i="1" s="1" a="1"/>
  <c r="T51" i="1" s="1"/>
  <c r="AF238" i="4" a="1"/>
  <c r="AF238" i="4" s="1"/>
  <c r="S51" i="1" s="1" a="1"/>
  <c r="S51" i="1" s="1"/>
  <c r="AD234" i="4" a="1"/>
  <c r="AD234" i="4" s="1"/>
  <c r="Q47" i="1" s="1" a="1"/>
  <c r="Q47" i="1" s="1"/>
  <c r="AC238" i="4" a="1"/>
  <c r="AC238" i="4" s="1"/>
  <c r="P51" i="1" s="1" a="1"/>
  <c r="P51" i="1" s="1"/>
  <c r="AE237" i="4" a="1"/>
  <c r="AE237" i="4" s="1"/>
  <c r="R50" i="1" s="1" a="1"/>
  <c r="R50" i="1" s="1"/>
  <c r="AA237" i="4" a="1"/>
  <c r="AA237" i="4" s="1"/>
  <c r="N50" i="1" s="1" a="1"/>
  <c r="N50" i="1" s="1"/>
  <c r="AD235" i="4" a="1"/>
  <c r="AD235" i="4" s="1"/>
  <c r="Q48" i="1" s="1" a="1"/>
  <c r="Q48" i="1" s="1"/>
  <c r="AG235" i="4" a="1"/>
  <c r="AG235" i="4" s="1"/>
  <c r="T48" i="1" s="1" a="1"/>
  <c r="T48" i="1" s="1"/>
  <c r="AB234" i="4" a="1"/>
  <c r="AB234" i="4" s="1"/>
  <c r="O47" i="1" s="1" a="1"/>
  <c r="O47" i="1" s="1"/>
  <c r="AB238" i="4" a="1"/>
  <c r="AB238" i="4" s="1"/>
  <c r="O51" i="1" s="1" a="1"/>
  <c r="O51" i="1" s="1"/>
  <c r="AC234" i="4" a="1"/>
  <c r="AC234" i="4" s="1"/>
  <c r="P47" i="1" s="1" a="1"/>
  <c r="P47" i="1" s="1"/>
  <c r="AF237" i="4" a="1"/>
  <c r="AF237" i="4" s="1"/>
  <c r="S50" i="1" s="1" a="1"/>
  <c r="S50" i="1" s="1"/>
  <c r="AB235" i="4" a="1"/>
  <c r="AB235" i="4" s="1"/>
  <c r="O48" i="1" s="1" a="1"/>
  <c r="O48" i="1" s="1"/>
  <c r="AF235" i="4" a="1"/>
  <c r="AF235" i="4" s="1"/>
  <c r="S48" i="1" s="1" a="1"/>
  <c r="S48" i="1" s="1"/>
  <c r="AE236" i="4" a="1"/>
  <c r="AE236" i="4" s="1"/>
  <c r="R49" i="1" s="1" a="1"/>
  <c r="R49" i="1" s="1"/>
  <c r="AG236" i="4" a="1"/>
  <c r="AG236" i="4" s="1"/>
  <c r="T49" i="1" s="1" a="1"/>
  <c r="T49" i="1" s="1"/>
  <c r="AG234" i="4" a="1"/>
  <c r="AG234" i="4" s="1"/>
  <c r="T47" i="1" s="1" a="1"/>
  <c r="T47" i="1" s="1"/>
  <c r="AF234" i="4" a="1"/>
  <c r="AF234" i="4" s="1"/>
  <c r="S47" i="1" s="1" a="1"/>
  <c r="S47" i="1" s="1"/>
  <c r="AB236" i="4" a="1"/>
  <c r="AB236" i="4" s="1"/>
  <c r="O49" i="1" s="1" a="1"/>
  <c r="O49" i="1" s="1"/>
  <c r="AC236" i="4" a="1"/>
  <c r="AC236" i="4" s="1"/>
  <c r="P49" i="1" s="1" a="1"/>
  <c r="P49" i="1" s="1"/>
  <c r="AA236" i="4" a="1"/>
  <c r="AA236" i="4" s="1"/>
  <c r="N49" i="1" s="1" a="1"/>
  <c r="N49" i="1" s="1"/>
  <c r="AF236" i="4" a="1"/>
  <c r="AF236" i="4" s="1"/>
  <c r="S49" i="1" s="1" a="1"/>
  <c r="S49" i="1" s="1"/>
  <c r="AD236" i="4" a="1"/>
  <c r="AD236" i="4" s="1"/>
  <c r="Q49" i="1" s="1" a="1"/>
  <c r="Q4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Amar</author>
  </authors>
  <commentList>
    <comment ref="B11" authorId="0" shapeId="0" xr:uid="{62603AF0-13DE-4DE1-A74B-C57DCE1C511B}">
      <text>
        <r>
          <rPr>
            <b/>
            <sz val="9"/>
            <color indexed="81"/>
            <rFont val="Tahoma"/>
            <family val="2"/>
          </rPr>
          <t>Michael Amar:</t>
        </r>
        <r>
          <rPr>
            <sz val="9"/>
            <color indexed="81"/>
            <rFont val="Tahoma"/>
            <family val="2"/>
          </rPr>
          <t xml:space="preserve">
אע"פ שמקובל שיתפתח פרק פלסטי במשיכות בינונית/גבוהה ולא נמוכה, מדובר בדבר נכון סטטיסטית בלבד.
ייתכן שתרצה/י לתכנן קיר ברמת משיכות בינונית/גבוהה במרכז ולא באזור הרגיש, שאז לא באמת יתפתח פרק פלסטי.
בנוסף, ייתכן שבמשיכות נמוכה, יתרחש המאורע הפחות סביר של התפתחות פרק פלסטי. אי לכך, ברמת משיכות נמוכה מומלץ לבחור בדיקה מחמירה.
חשוב לשים לב שאם יתפתח פרק פלסטי ו-Nd נמוך מ-0.1Agfcd, אין שום הפחתה לגזירה.
</t>
        </r>
      </text>
    </comment>
    <comment ref="B12" authorId="0" shapeId="0" xr:uid="{4AE6F6B8-92C9-4D8F-A79D-C02FB5D7F48A}">
      <text>
        <r>
          <rPr>
            <b/>
            <sz val="9"/>
            <color indexed="81"/>
            <rFont val="Tahoma"/>
            <family val="2"/>
          </rPr>
          <t>Michael Amar:</t>
        </r>
        <r>
          <rPr>
            <sz val="9"/>
            <color indexed="81"/>
            <rFont val="Tahoma"/>
            <family val="2"/>
          </rPr>
          <t xml:space="preserve">
מס' הקומות</t>
        </r>
      </text>
    </comment>
    <comment ref="E12" authorId="0" shapeId="0" xr:uid="{271122CE-8632-4723-BD6C-E527A7608527}">
      <text>
        <r>
          <rPr>
            <b/>
            <sz val="9"/>
            <color indexed="81"/>
            <rFont val="Tahoma"/>
            <family val="2"/>
          </rPr>
          <t>Michael Amar:</t>
        </r>
        <r>
          <rPr>
            <sz val="9"/>
            <color indexed="81"/>
            <rFont val="Tahoma"/>
            <family val="2"/>
          </rPr>
          <t xml:space="preserve">
בהיעדר נתונים מדויקים יותר ניתן להשתמש בערך 1.2
רלוונטי ברמות משיכות בינונית וגבוהה בלבד.</t>
        </r>
      </text>
    </comment>
    <comment ref="E13" authorId="0" shapeId="0" xr:uid="{502FDDC8-3026-4F21-8BBE-2ECD5A1607E4}">
      <text>
        <r>
          <rPr>
            <b/>
            <sz val="9"/>
            <color indexed="81"/>
            <rFont val="Tahoma"/>
            <family val="2"/>
          </rPr>
          <t>Michael Amar:</t>
        </r>
        <r>
          <rPr>
            <sz val="9"/>
            <color indexed="81"/>
            <rFont val="Tahoma"/>
            <family val="2"/>
          </rPr>
          <t xml:space="preserve">
לקחת Mu/Md =1 זו הנחה מחמירה.
רלוונטי ברמות משיכות בינונית וגבוהה בלבד.</t>
        </r>
      </text>
    </comment>
    <comment ref="M13" authorId="0" shapeId="0" xr:uid="{E309FF4B-1931-4D9E-859F-9783017D8E26}">
      <text>
        <r>
          <rPr>
            <b/>
            <sz val="9"/>
            <color indexed="81"/>
            <rFont val="Tahoma"/>
            <family val="2"/>
          </rPr>
          <t>Michael Amar:</t>
        </r>
        <r>
          <rPr>
            <sz val="9"/>
            <color indexed="81"/>
            <rFont val="Tahoma"/>
            <family val="2"/>
          </rPr>
          <t xml:space="preserve">
ΣAs ראוי אם ורק אם הוא גדול מ-0.002Ag וקטן מ-0.015Ag.</t>
        </r>
      </text>
    </comment>
    <comment ref="E14" authorId="0" shapeId="0" xr:uid="{7DC4251F-DF5C-4B04-A4BC-EB0622FDDE6A}">
      <text>
        <r>
          <rPr>
            <b/>
            <sz val="9"/>
            <color indexed="81"/>
            <rFont val="Tahoma"/>
            <family val="2"/>
          </rPr>
          <t>Michael Amar:</t>
        </r>
        <r>
          <rPr>
            <sz val="9"/>
            <color indexed="81"/>
            <rFont val="Tahoma"/>
            <family val="2"/>
          </rPr>
          <t xml:space="preserve">
ראה טבלה 5.
רלוונטי ברמות משיכות בינונית וגבוהה בלבד.</t>
        </r>
      </text>
    </comment>
    <comment ref="B16" authorId="0" shapeId="0" xr:uid="{DDF4642A-A738-483F-A099-2136596CF43B}">
      <text>
        <r>
          <rPr>
            <b/>
            <sz val="9"/>
            <color indexed="81"/>
            <rFont val="Tahoma"/>
            <family val="2"/>
          </rPr>
          <t>Michael Amar:</t>
        </r>
        <r>
          <rPr>
            <sz val="9"/>
            <color indexed="81"/>
            <rFont val="Tahoma"/>
            <family val="2"/>
          </rPr>
          <t xml:space="preserve">
למרות ש-Nd בלחיצה בחישובים יהיה שלילי, במחשבון זה יש לרשום ערך חיובי אם הקיר בלחיצה!</t>
        </r>
      </text>
    </comment>
    <comment ref="B19" authorId="0" shapeId="0" xr:uid="{641CC51B-C0AA-4842-9AB6-E1F140F6969C}">
      <text>
        <r>
          <rPr>
            <b/>
            <sz val="9"/>
            <color indexed="81"/>
            <rFont val="Tahoma"/>
            <family val="2"/>
          </rPr>
          <t>Michael Amar:</t>
        </r>
        <r>
          <rPr>
            <sz val="9"/>
            <color indexed="81"/>
            <rFont val="Tahoma"/>
            <family val="2"/>
          </rPr>
          <t xml:space="preserve">
מנת זיון אורכי עבור קביעת td1 מטבלה ד-1 שבנספח ד', עמ' 138.
ההחמרה היא להניח ש-0.005≥ρ.</t>
        </r>
      </text>
    </comment>
    <comment ref="E19" authorId="0" shapeId="0" xr:uid="{6FB150BE-F93D-4846-AE9C-32E6F97E9B68}">
      <text>
        <r>
          <rPr>
            <b/>
            <sz val="9"/>
            <color indexed="81"/>
            <rFont val="Tahoma"/>
            <family val="2"/>
          </rPr>
          <t>Michael Amar:</t>
        </r>
        <r>
          <rPr>
            <sz val="9"/>
            <color indexed="81"/>
            <rFont val="Tahoma"/>
            <family val="2"/>
          </rPr>
          <t xml:space="preserve">
החלת אילוץ ש-εeq לא יהיה גדול מ-K ולא קטן מ-1.5.
רלוונטי ברמות משיכות בינונית וגבוהה בלבד.</t>
        </r>
      </text>
    </comment>
    <comment ref="H19" authorId="0" shapeId="0" xr:uid="{E0AB8EE7-2E7E-41D5-980F-9C3EFA50E380}">
      <text>
        <r>
          <rPr>
            <b/>
            <sz val="9"/>
            <color indexed="81"/>
            <rFont val="Tahoma"/>
            <family val="2"/>
          </rPr>
          <t>Michael Amar:</t>
        </r>
        <r>
          <rPr>
            <sz val="9"/>
            <color indexed="81"/>
            <rFont val="Tahoma"/>
            <family val="2"/>
          </rPr>
          <t xml:space="preserve">
החלת אילוץ שאומגה לא יהיה גדול -1.5 (זה קורה כאשר מס' הקומות n הוא 8 או יותר).
רלוונטי ברמת משיכות נמוכה בלבד.</t>
        </r>
      </text>
    </comment>
    <comment ref="E22" authorId="0" shapeId="0" xr:uid="{DCDC844C-0D6D-4E06-8063-66FAB64B0406}">
      <text>
        <r>
          <rPr>
            <b/>
            <sz val="9"/>
            <color indexed="81"/>
            <rFont val="Tahoma"/>
            <family val="2"/>
          </rPr>
          <t>Michael Amar:</t>
        </r>
        <r>
          <rPr>
            <sz val="9"/>
            <color indexed="81"/>
            <rFont val="Tahoma"/>
            <family val="2"/>
          </rPr>
          <t xml:space="preserve">
אם האזור רגיש ורמת המשיכות גבוהה, fvd=0.2τd1, אחרת fvd=0.5τd1.</t>
        </r>
      </text>
    </comment>
    <comment ref="M25" authorId="0" shapeId="0" xr:uid="{6F6F779F-791E-4692-B2E4-685C58F7D238}">
      <text>
        <r>
          <rPr>
            <b/>
            <sz val="9"/>
            <color indexed="81"/>
            <rFont val="Tahoma"/>
            <family val="2"/>
          </rPr>
          <t>Michael Amar:</t>
        </r>
        <r>
          <rPr>
            <sz val="9"/>
            <color indexed="81"/>
            <rFont val="Tahoma"/>
            <family val="2"/>
          </rPr>
          <t xml:space="preserve">
נוסחה 5.28</t>
        </r>
      </text>
    </comment>
    <comment ref="E28" authorId="0" shapeId="0" xr:uid="{D63871B6-618F-4FA8-930B-C77D7DDA77AC}">
      <text>
        <r>
          <rPr>
            <b/>
            <sz val="9"/>
            <color indexed="81"/>
            <rFont val="Tahoma"/>
            <family val="2"/>
          </rPr>
          <t>Michael Amar:</t>
        </r>
        <r>
          <rPr>
            <sz val="9"/>
            <color indexed="81"/>
            <rFont val="Tahoma"/>
            <family val="2"/>
          </rPr>
          <t xml:space="preserve">
בחתך מלבני, M0=Nd*lw/6</t>
        </r>
      </text>
    </comment>
    <comment ref="M33" authorId="0" shapeId="0" xr:uid="{9C378F5E-6DAC-4901-9831-6ED2F19A31B2}">
      <text>
        <r>
          <rPr>
            <b/>
            <sz val="9"/>
            <color indexed="81"/>
            <rFont val="Tahoma"/>
            <family val="2"/>
          </rPr>
          <t>Michael Amar:</t>
        </r>
        <r>
          <rPr>
            <sz val="9"/>
            <color indexed="81"/>
            <rFont val="Tahoma"/>
            <family val="2"/>
          </rPr>
          <t xml:space="preserve">
המרחק של המוט הכי קיצוני של הזיון המרוכז בקצוות מקצה הקיר באותו כיוון.
(לדוגמה, באיור משמאל מדובר ב-10 ס"מ)</t>
        </r>
      </text>
    </comment>
    <comment ref="M34" authorId="0" shapeId="0" xr:uid="{175A9186-3185-4309-85BD-3D8F2218570F}">
      <text>
        <r>
          <rPr>
            <b/>
            <sz val="9"/>
            <color indexed="81"/>
            <rFont val="Tahoma"/>
            <family val="2"/>
          </rPr>
          <t>Michael Amar:</t>
        </r>
        <r>
          <rPr>
            <sz val="9"/>
            <color indexed="81"/>
            <rFont val="Tahoma"/>
            <family val="2"/>
          </rPr>
          <t xml:space="preserve">
הפסיעה של הזיון המרוכז בקצוות, כל כמה ס"מ קיימת עוד שורה של 2 מוטות.
(לדוגמה, באיור משמאל מדובר ב-10 ס"מ)</t>
        </r>
      </text>
    </comment>
    <comment ref="M38" authorId="0" shapeId="0" xr:uid="{4B5E1C42-5797-4B22-8A69-3732AFE2B6CB}">
      <text>
        <r>
          <rPr>
            <b/>
            <sz val="9"/>
            <color indexed="81"/>
            <rFont val="Tahoma"/>
            <family val="2"/>
          </rPr>
          <t>Michael Amar:</t>
        </r>
        <r>
          <rPr>
            <sz val="9"/>
            <color indexed="81"/>
            <rFont val="Tahoma"/>
            <family val="2"/>
          </rPr>
          <t xml:space="preserve">
האורך המקסימלי האפשרי של האזור המתוח בקיר</t>
        </r>
      </text>
    </comment>
    <comment ref="M40" authorId="0" shapeId="0" xr:uid="{733AE618-FAB2-44C9-8D9F-152BDE244113}">
      <text>
        <r>
          <rPr>
            <b/>
            <sz val="9"/>
            <color indexed="81"/>
            <rFont val="Tahoma"/>
            <family val="2"/>
          </rPr>
          <t>Michael Amar:</t>
        </r>
        <r>
          <rPr>
            <sz val="9"/>
            <color indexed="81"/>
            <rFont val="Tahoma"/>
            <family val="2"/>
          </rPr>
          <t xml:space="preserve">
לא יוצגו קומבינציות של קוטר ומוטות בעלות שטח גדול מזה.</t>
        </r>
      </text>
    </comment>
    <comment ref="E41" authorId="0" shapeId="0" xr:uid="{CDDF3889-0C68-4BFE-8C55-2EAE651FCCCC}">
      <text>
        <r>
          <rPr>
            <b/>
            <sz val="9"/>
            <color indexed="81"/>
            <rFont val="Tahoma"/>
            <family val="2"/>
          </rPr>
          <t>Michael Amar:</t>
        </r>
        <r>
          <rPr>
            <sz val="9"/>
            <color indexed="81"/>
            <rFont val="Tahoma"/>
            <family val="2"/>
          </rPr>
          <t xml:space="preserve">
נוסחה 79</t>
        </r>
      </text>
    </comment>
    <comment ref="M43" authorId="0" shapeId="0" xr:uid="{C725F8E0-2246-4B00-9D01-37B8E545B742}">
      <text>
        <r>
          <rPr>
            <b/>
            <sz val="9"/>
            <color indexed="81"/>
            <rFont val="Tahoma"/>
            <family val="2"/>
          </rPr>
          <t>Michael Amar:</t>
        </r>
        <r>
          <rPr>
            <sz val="9"/>
            <color indexed="81"/>
            <rFont val="Tahoma"/>
            <family val="2"/>
          </rPr>
          <t xml:space="preserve">
לא יוצגו קומבינציות בהן M1cap + ΔM1cap  קטן מ-Md.</t>
        </r>
      </text>
    </comment>
    <comment ref="R45" authorId="0" shapeId="0" xr:uid="{EDB64993-A527-4BC6-8D4D-9C45F9B81B3F}">
      <text>
        <r>
          <rPr>
            <b/>
            <sz val="9"/>
            <color indexed="81"/>
            <rFont val="Tahoma"/>
            <family val="2"/>
          </rPr>
          <t>Michael Amar:</t>
        </r>
        <r>
          <rPr>
            <sz val="9"/>
            <color indexed="81"/>
            <rFont val="Tahoma"/>
            <family val="2"/>
          </rPr>
          <t xml:space="preserve">
Lw-0.5(a+x)</t>
        </r>
      </text>
    </comment>
    <comment ref="S45" authorId="0" shapeId="0" xr:uid="{FB2AD4B0-87F3-4812-B9E2-66EDC55A0857}">
      <text>
        <r>
          <rPr>
            <b/>
            <sz val="9"/>
            <color indexed="81"/>
            <rFont val="Tahoma"/>
            <family val="2"/>
          </rPr>
          <t>Michael Amar:</t>
        </r>
        <r>
          <rPr>
            <sz val="9"/>
            <color indexed="81"/>
            <rFont val="Tahoma"/>
            <family val="2"/>
          </rPr>
          <t xml:space="preserve">
ΣAs,קצה *fsd*Z</t>
        </r>
      </text>
    </comment>
    <comment ref="E70" authorId="0" shapeId="0" xr:uid="{C05475A2-302F-4764-8133-BE72AA00FF06}">
      <text>
        <r>
          <rPr>
            <b/>
            <sz val="9"/>
            <color indexed="81"/>
            <rFont val="Tahoma"/>
            <family val="2"/>
          </rPr>
          <t>Michael Amar:</t>
        </r>
        <r>
          <rPr>
            <sz val="9"/>
            <color indexed="81"/>
            <rFont val="Tahoma"/>
            <family val="2"/>
          </rPr>
          <t xml:space="preserve">
נוסחה 77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Michael Amar</author>
  </authors>
  <commentList>
    <comment ref="N232" authorId="0" shapeId="0" xr:uid="{C36565CA-FF2C-43E8-808B-4807059B8D4E}">
      <text>
        <r>
          <rPr>
            <b/>
            <sz val="9"/>
            <color indexed="81"/>
            <rFont val="Tahoma"/>
            <family val="2"/>
          </rPr>
          <t>Michael Amar:</t>
        </r>
        <r>
          <rPr>
            <sz val="9"/>
            <color indexed="81"/>
            <rFont val="Tahoma"/>
            <family val="2"/>
          </rPr>
          <t xml:space="preserve">
ΣAs,קצה *fsd*Z</t>
        </r>
      </text>
    </comment>
    <comment ref="AF232" authorId="0" shapeId="0" xr:uid="{495F96E7-AE10-49CF-AAE3-DBB9307A0ADA}">
      <text>
        <r>
          <rPr>
            <b/>
            <sz val="9"/>
            <color indexed="81"/>
            <rFont val="Tahoma"/>
            <family val="2"/>
          </rPr>
          <t>Michael Amar:</t>
        </r>
        <r>
          <rPr>
            <sz val="9"/>
            <color indexed="81"/>
            <rFont val="Tahoma"/>
            <family val="2"/>
          </rPr>
          <t xml:space="preserve">
ΣAs,קצה *fsd*Z</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<sst xmlns="http://schemas.openxmlformats.org/spreadsheetml/2006/main" count="281" uniqueCount="170">
  <si>
    <t>בס"ד</t>
  </si>
  <si>
    <t>בטון</t>
  </si>
  <si>
    <t>פלדה</t>
  </si>
  <si>
    <t>ב-20</t>
  </si>
  <si>
    <t>ב-25</t>
  </si>
  <si>
    <t>ב-30</t>
  </si>
  <si>
    <t>ב-40</t>
  </si>
  <si>
    <t>ב-50</t>
  </si>
  <si>
    <t>ב-60</t>
  </si>
  <si>
    <t>פ-240</t>
  </si>
  <si>
    <t>פ-400</t>
  </si>
  <si>
    <t>פ-500</t>
  </si>
  <si>
    <t>fsk</t>
  </si>
  <si>
    <t>fsd</t>
  </si>
  <si>
    <r>
      <t>f</t>
    </r>
    <r>
      <rPr>
        <vertAlign val="subscript"/>
        <sz val="14"/>
        <color theme="0"/>
        <rFont val="Segoe UI"/>
        <family val="2"/>
      </rPr>
      <t>sd</t>
    </r>
    <r>
      <rPr>
        <sz val="14"/>
        <color theme="0"/>
        <rFont val="Segoe UI"/>
        <family val="2"/>
      </rPr>
      <t xml:space="preserve"> [MPa]</t>
    </r>
  </si>
  <si>
    <t>נתונים</t>
  </si>
  <si>
    <t>רמת משיכות</t>
  </si>
  <si>
    <r>
      <t>V</t>
    </r>
    <r>
      <rPr>
        <vertAlign val="subscript"/>
        <sz val="14"/>
        <color theme="0"/>
        <rFont val="Segoe UI"/>
        <family val="2"/>
      </rPr>
      <t>d</t>
    </r>
    <r>
      <rPr>
        <sz val="14"/>
        <color theme="0"/>
        <rFont val="Segoe UI"/>
        <family val="2"/>
      </rPr>
      <t xml:space="preserve"> [kN]</t>
    </r>
  </si>
  <si>
    <r>
      <t>M</t>
    </r>
    <r>
      <rPr>
        <vertAlign val="subscript"/>
        <sz val="14"/>
        <color theme="0"/>
        <rFont val="Segoe UI"/>
        <family val="2"/>
      </rPr>
      <t>d</t>
    </r>
    <r>
      <rPr>
        <sz val="14"/>
        <color theme="0"/>
        <rFont val="Segoe UI"/>
        <family val="2"/>
      </rPr>
      <t xml:space="preserve"> [kNm]</t>
    </r>
  </si>
  <si>
    <r>
      <t>N</t>
    </r>
    <r>
      <rPr>
        <vertAlign val="subscript"/>
        <sz val="14"/>
        <color theme="0"/>
        <rFont val="Segoe UI"/>
        <family val="2"/>
      </rPr>
      <t>d</t>
    </r>
    <r>
      <rPr>
        <sz val="14"/>
        <color theme="0"/>
        <rFont val="Segoe UI"/>
        <family val="2"/>
      </rPr>
      <t xml:space="preserve"> [kN]</t>
    </r>
  </si>
  <si>
    <r>
      <t>b</t>
    </r>
    <r>
      <rPr>
        <vertAlign val="subscript"/>
        <sz val="14"/>
        <color theme="0"/>
        <rFont val="Segoe UI"/>
        <family val="2"/>
      </rPr>
      <t>w</t>
    </r>
    <r>
      <rPr>
        <sz val="14"/>
        <color theme="0"/>
        <rFont val="Segoe UI"/>
        <family val="2"/>
      </rPr>
      <t xml:space="preserve"> [cm]</t>
    </r>
  </si>
  <si>
    <t>נמוכה</t>
  </si>
  <si>
    <t>בינונית</t>
  </si>
  <si>
    <t>גבוהה</t>
  </si>
  <si>
    <r>
      <t>h</t>
    </r>
    <r>
      <rPr>
        <vertAlign val="subscript"/>
        <sz val="14"/>
        <color theme="0"/>
        <rFont val="Segoe UI"/>
        <family val="2"/>
      </rPr>
      <t>w</t>
    </r>
    <r>
      <rPr>
        <sz val="14"/>
        <color theme="0"/>
        <rFont val="Segoe UI"/>
        <family val="2"/>
      </rPr>
      <t xml:space="preserve"> [cm]</t>
    </r>
  </si>
  <si>
    <r>
      <t>A</t>
    </r>
    <r>
      <rPr>
        <vertAlign val="subscript"/>
        <sz val="14"/>
        <color theme="0"/>
        <rFont val="Segoe UI"/>
        <family val="2"/>
      </rPr>
      <t>g</t>
    </r>
    <r>
      <rPr>
        <sz val="14"/>
        <color theme="0"/>
        <rFont val="Segoe UI"/>
        <family val="2"/>
      </rPr>
      <t xml:space="preserve"> [cm</t>
    </r>
    <r>
      <rPr>
        <vertAlign val="superscript"/>
        <sz val="14"/>
        <color theme="0"/>
        <rFont val="Segoe UI"/>
        <family val="2"/>
      </rPr>
      <t>2</t>
    </r>
    <r>
      <rPr>
        <sz val="14"/>
        <color theme="0"/>
        <rFont val="Segoe UI"/>
        <family val="2"/>
      </rPr>
      <t>]</t>
    </r>
  </si>
  <si>
    <t>n</t>
  </si>
  <si>
    <r>
      <t>γ</t>
    </r>
    <r>
      <rPr>
        <vertAlign val="subscript"/>
        <sz val="14"/>
        <color theme="0"/>
        <rFont val="Segoe UI"/>
        <family val="2"/>
      </rPr>
      <t>Rd</t>
    </r>
  </si>
  <si>
    <r>
      <t>S</t>
    </r>
    <r>
      <rPr>
        <vertAlign val="subscript"/>
        <sz val="14"/>
        <color theme="0"/>
        <rFont val="Segoe UI"/>
        <family val="2"/>
      </rPr>
      <t>a</t>
    </r>
    <r>
      <rPr>
        <sz val="14"/>
        <color theme="0"/>
        <rFont val="Segoe UI"/>
        <family val="2"/>
      </rPr>
      <t>(T)</t>
    </r>
  </si>
  <si>
    <r>
      <t>S</t>
    </r>
    <r>
      <rPr>
        <vertAlign val="subscript"/>
        <sz val="14"/>
        <color theme="0"/>
        <rFont val="Segoe UI"/>
        <family val="2"/>
      </rPr>
      <t>DS</t>
    </r>
  </si>
  <si>
    <t>τd1</t>
  </si>
  <si>
    <r>
      <t>M</t>
    </r>
    <r>
      <rPr>
        <vertAlign val="subscript"/>
        <sz val="14"/>
        <color theme="0"/>
        <rFont val="Segoe UI"/>
        <family val="2"/>
      </rPr>
      <t>u</t>
    </r>
    <r>
      <rPr>
        <sz val="14"/>
        <color theme="0"/>
        <rFont val="Segoe UI"/>
        <family val="2"/>
      </rPr>
      <t>/M</t>
    </r>
    <r>
      <rPr>
        <vertAlign val="subscript"/>
        <sz val="14"/>
        <color theme="0"/>
        <rFont val="Segoe UI"/>
        <family val="2"/>
      </rPr>
      <t>d</t>
    </r>
  </si>
  <si>
    <t>ω</t>
  </si>
  <si>
    <r>
      <t>V</t>
    </r>
    <r>
      <rPr>
        <vertAlign val="subscript"/>
        <sz val="14"/>
        <color theme="0"/>
        <rFont val="Segoe UI"/>
        <family val="2"/>
      </rPr>
      <t>d,לפני הגברה</t>
    </r>
    <r>
      <rPr>
        <sz val="14"/>
        <color theme="0"/>
        <rFont val="Segoe UI"/>
        <family val="2"/>
      </rPr>
      <t xml:space="preserve"> [kN]</t>
    </r>
  </si>
  <si>
    <t>ρ</t>
  </si>
  <si>
    <t>≤0.005</t>
  </si>
  <si>
    <t>≥0.01</t>
  </si>
  <si>
    <r>
      <t>τ</t>
    </r>
    <r>
      <rPr>
        <vertAlign val="subscript"/>
        <sz val="14"/>
        <color theme="0"/>
        <rFont val="Segoe UI"/>
        <family val="2"/>
      </rPr>
      <t>d1</t>
    </r>
    <r>
      <rPr>
        <sz val="14"/>
        <color theme="0"/>
        <rFont val="Segoe UI"/>
        <family val="2"/>
      </rPr>
      <t xml:space="preserve"> [MPa]</t>
    </r>
  </si>
  <si>
    <r>
      <t>f</t>
    </r>
    <r>
      <rPr>
        <vertAlign val="subscript"/>
        <sz val="14"/>
        <color theme="0"/>
        <rFont val="Segoe UI"/>
        <family val="2"/>
      </rPr>
      <t>vd</t>
    </r>
    <r>
      <rPr>
        <sz val="14"/>
        <color theme="0"/>
        <rFont val="Segoe UI"/>
        <family val="2"/>
      </rPr>
      <t xml:space="preserve"> [MPa]</t>
    </r>
  </si>
  <si>
    <t>אזור</t>
  </si>
  <si>
    <t>רגיש</t>
  </si>
  <si>
    <t>לא רגיש</t>
  </si>
  <si>
    <r>
      <t>V</t>
    </r>
    <r>
      <rPr>
        <vertAlign val="subscript"/>
        <sz val="14"/>
        <color theme="0"/>
        <rFont val="Segoe UI"/>
        <family val="2"/>
      </rPr>
      <t>d</t>
    </r>
    <r>
      <rPr>
        <sz val="14"/>
        <color theme="0"/>
        <rFont val="Segoe UI"/>
        <family val="2"/>
      </rPr>
      <t xml:space="preserve"> &lt; 5A</t>
    </r>
    <r>
      <rPr>
        <vertAlign val="subscript"/>
        <sz val="14"/>
        <color theme="0"/>
        <rFont val="Segoe UI"/>
        <family val="2"/>
      </rPr>
      <t>g</t>
    </r>
    <r>
      <rPr>
        <sz val="14"/>
        <color theme="0"/>
        <rFont val="Segoe UI"/>
        <family val="2"/>
      </rPr>
      <t>f</t>
    </r>
    <r>
      <rPr>
        <vertAlign val="subscript"/>
        <sz val="14"/>
        <color theme="0"/>
        <rFont val="Segoe UI"/>
        <family val="2"/>
      </rPr>
      <t>vd</t>
    </r>
  </si>
  <si>
    <t>לא</t>
  </si>
  <si>
    <t>כן</t>
  </si>
  <si>
    <r>
      <t>f</t>
    </r>
    <r>
      <rPr>
        <vertAlign val="subscript"/>
        <sz val="14"/>
        <color theme="0"/>
        <rFont val="Segoe UI"/>
        <family val="2"/>
      </rPr>
      <t>cd</t>
    </r>
    <r>
      <rPr>
        <sz val="14"/>
        <color theme="0"/>
        <rFont val="Segoe UI"/>
        <family val="2"/>
      </rPr>
      <t xml:space="preserve"> [MPa]</t>
    </r>
  </si>
  <si>
    <r>
      <t>5A</t>
    </r>
    <r>
      <rPr>
        <vertAlign val="subscript"/>
        <sz val="14"/>
        <color theme="0"/>
        <rFont val="Segoe UI"/>
        <family val="2"/>
      </rPr>
      <t>g</t>
    </r>
    <r>
      <rPr>
        <sz val="14"/>
        <color theme="0"/>
        <rFont val="Segoe UI"/>
        <family val="2"/>
      </rPr>
      <t>f</t>
    </r>
    <r>
      <rPr>
        <vertAlign val="subscript"/>
        <sz val="14"/>
        <color theme="0"/>
        <rFont val="Segoe UI"/>
        <family val="2"/>
      </rPr>
      <t>vd</t>
    </r>
    <r>
      <rPr>
        <sz val="14"/>
        <color theme="0"/>
        <rFont val="Segoe UI"/>
        <family val="2"/>
      </rPr>
      <t xml:space="preserve"> [kN]</t>
    </r>
  </si>
  <si>
    <r>
      <t>0.1A</t>
    </r>
    <r>
      <rPr>
        <vertAlign val="subscript"/>
        <sz val="14"/>
        <color theme="0"/>
        <rFont val="Segoe UI"/>
        <family val="2"/>
      </rPr>
      <t>g</t>
    </r>
    <r>
      <rPr>
        <sz val="14"/>
        <color theme="0"/>
        <rFont val="Segoe UI"/>
        <family val="2"/>
      </rPr>
      <t>f</t>
    </r>
    <r>
      <rPr>
        <vertAlign val="subscript"/>
        <sz val="14"/>
        <color theme="0"/>
        <rFont val="Segoe UI"/>
        <family val="2"/>
      </rPr>
      <t>cd</t>
    </r>
    <r>
      <rPr>
        <sz val="14"/>
        <color theme="0"/>
        <rFont val="Segoe UI"/>
        <family val="2"/>
      </rPr>
      <t xml:space="preserve"> [MPa]</t>
    </r>
  </si>
  <si>
    <r>
      <t>N</t>
    </r>
    <r>
      <rPr>
        <vertAlign val="subscript"/>
        <sz val="14"/>
        <color theme="0"/>
        <rFont val="Segoe UI"/>
        <family val="2"/>
      </rPr>
      <t>d</t>
    </r>
    <r>
      <rPr>
        <sz val="14"/>
        <color theme="0"/>
        <rFont val="Segoe UI"/>
        <family val="2"/>
      </rPr>
      <t xml:space="preserve"> &gt; 0.1A</t>
    </r>
    <r>
      <rPr>
        <vertAlign val="subscript"/>
        <sz val="14"/>
        <color theme="0"/>
        <rFont val="Segoe UI"/>
        <family val="2"/>
      </rPr>
      <t>g</t>
    </r>
    <r>
      <rPr>
        <sz val="14"/>
        <color theme="0"/>
        <rFont val="Segoe UI"/>
        <family val="2"/>
      </rPr>
      <t>f</t>
    </r>
    <r>
      <rPr>
        <vertAlign val="subscript"/>
        <sz val="14"/>
        <color theme="0"/>
        <rFont val="Segoe UI"/>
        <family val="2"/>
      </rPr>
      <t>cd</t>
    </r>
  </si>
  <si>
    <t>חזוי</t>
  </si>
  <si>
    <t>לא חזוי</t>
  </si>
  <si>
    <t>Vcd (55)</t>
  </si>
  <si>
    <t>Vcω (75)</t>
  </si>
  <si>
    <t>Vcω (74)</t>
  </si>
  <si>
    <t>נ</t>
  </si>
  <si>
    <t>ב/ג</t>
  </si>
  <si>
    <r>
      <t>β</t>
    </r>
    <r>
      <rPr>
        <vertAlign val="subscript"/>
        <sz val="14"/>
        <color theme="0"/>
        <rFont val="Segoe UI"/>
        <family val="2"/>
      </rPr>
      <t>1</t>
    </r>
  </si>
  <si>
    <r>
      <t>M</t>
    </r>
    <r>
      <rPr>
        <vertAlign val="subscript"/>
        <sz val="14"/>
        <color theme="0"/>
        <rFont val="Segoe UI"/>
        <family val="2"/>
      </rPr>
      <t>0</t>
    </r>
    <r>
      <rPr>
        <sz val="14"/>
        <color theme="0"/>
        <rFont val="Segoe UI"/>
        <family val="2"/>
      </rPr>
      <t xml:space="preserve"> [kNm]</t>
    </r>
  </si>
  <si>
    <r>
      <t>β</t>
    </r>
    <r>
      <rPr>
        <vertAlign val="subscript"/>
        <sz val="14"/>
        <color theme="0"/>
        <rFont val="Segoe UI"/>
        <family val="2"/>
      </rPr>
      <t>1,(76)</t>
    </r>
  </si>
  <si>
    <t>פרק פלסטי</t>
  </si>
  <si>
    <t>K</t>
  </si>
  <si>
    <t>בהכרח חזוי</t>
  </si>
  <si>
    <t>בהכרח לא חזוי</t>
  </si>
  <si>
    <r>
      <t>ε</t>
    </r>
    <r>
      <rPr>
        <vertAlign val="subscript"/>
        <sz val="14"/>
        <color theme="0"/>
        <rFont val="Segoe UI"/>
        <family val="2"/>
      </rPr>
      <t>eq</t>
    </r>
    <r>
      <rPr>
        <sz val="14"/>
        <color theme="0"/>
        <rFont val="Segoe UI"/>
        <family val="2"/>
      </rPr>
      <t xml:space="preserve"> (72)</t>
    </r>
  </si>
  <si>
    <r>
      <t>ε</t>
    </r>
    <r>
      <rPr>
        <vertAlign val="subscript"/>
        <sz val="14"/>
        <color theme="0"/>
        <rFont val="Segoe UI"/>
        <family val="2"/>
      </rPr>
      <t>eq</t>
    </r>
  </si>
  <si>
    <t>בדיקה מחמירה</t>
  </si>
  <si>
    <t>חזוי ע"פ משיכות</t>
  </si>
  <si>
    <t>לא חזוי ע"פ משיכות</t>
  </si>
  <si>
    <t>ע"פ רמת משיכות</t>
  </si>
  <si>
    <t>פרק פלסטי?</t>
  </si>
  <si>
    <t>אין הפחתה</t>
  </si>
  <si>
    <r>
      <t>N</t>
    </r>
    <r>
      <rPr>
        <vertAlign val="subscript"/>
        <sz val="14"/>
        <color theme="0"/>
        <rFont val="Segoe UI"/>
        <family val="2"/>
      </rPr>
      <t>d</t>
    </r>
    <r>
      <rPr>
        <sz val="14"/>
        <color theme="0"/>
        <rFont val="Segoe UI"/>
        <family val="2"/>
      </rPr>
      <t xml:space="preserve"> &lt; 0.1A</t>
    </r>
    <r>
      <rPr>
        <vertAlign val="subscript"/>
        <sz val="14"/>
        <color theme="0"/>
        <rFont val="Segoe UI"/>
        <family val="2"/>
      </rPr>
      <t>g</t>
    </r>
    <r>
      <rPr>
        <sz val="14"/>
        <color theme="0"/>
        <rFont val="Segoe UI"/>
        <family val="2"/>
      </rPr>
      <t>f</t>
    </r>
    <r>
      <rPr>
        <vertAlign val="subscript"/>
        <sz val="14"/>
        <color theme="0"/>
        <rFont val="Segoe UI"/>
        <family val="2"/>
      </rPr>
      <t>cd</t>
    </r>
  </si>
  <si>
    <r>
      <t>V</t>
    </r>
    <r>
      <rPr>
        <vertAlign val="subscript"/>
        <sz val="11"/>
        <color theme="1"/>
        <rFont val="Segoe UI"/>
        <family val="2"/>
        <scheme val="minor"/>
      </rPr>
      <t>cd</t>
    </r>
    <r>
      <rPr>
        <sz val="11"/>
        <color theme="1"/>
        <rFont val="Segoe UI"/>
        <family val="2"/>
        <scheme val="minor"/>
      </rPr>
      <t xml:space="preserve"> (55)</t>
    </r>
  </si>
  <si>
    <t>אופן חישוב</t>
  </si>
  <si>
    <r>
      <t>V</t>
    </r>
    <r>
      <rPr>
        <vertAlign val="subscript"/>
        <sz val="14"/>
        <color theme="0"/>
        <rFont val="Segoe UI"/>
        <family val="2"/>
      </rPr>
      <t>cd</t>
    </r>
    <r>
      <rPr>
        <sz val="14"/>
        <color theme="0"/>
        <rFont val="Segoe UI"/>
        <family val="2"/>
      </rPr>
      <t xml:space="preserve"> [kN]</t>
    </r>
  </si>
  <si>
    <r>
      <t>V</t>
    </r>
    <r>
      <rPr>
        <vertAlign val="subscript"/>
        <sz val="14"/>
        <color theme="0"/>
        <rFont val="Segoe UI"/>
        <family val="2"/>
      </rPr>
      <t>cω</t>
    </r>
    <r>
      <rPr>
        <sz val="14"/>
        <color theme="0"/>
        <rFont val="Segoe UI"/>
        <family val="2"/>
      </rPr>
      <t xml:space="preserve"> [kN]</t>
    </r>
  </si>
  <si>
    <r>
      <t>ℓ</t>
    </r>
    <r>
      <rPr>
        <vertAlign val="subscript"/>
        <sz val="14"/>
        <color theme="0"/>
        <rFont val="Segoe UI"/>
        <family val="2"/>
      </rPr>
      <t>w</t>
    </r>
    <r>
      <rPr>
        <sz val="14"/>
        <color theme="0"/>
        <rFont val="Segoe UI"/>
        <family val="2"/>
      </rPr>
      <t xml:space="preserve"> [cm]</t>
    </r>
  </si>
  <si>
    <r>
      <t>ρ</t>
    </r>
    <r>
      <rPr>
        <vertAlign val="subscript"/>
        <sz val="14"/>
        <color theme="0"/>
        <rFont val="Segoe UI"/>
        <family val="2"/>
      </rPr>
      <t>h,max</t>
    </r>
  </si>
  <si>
    <r>
      <t>ρ</t>
    </r>
    <r>
      <rPr>
        <vertAlign val="subscript"/>
        <sz val="14"/>
        <color theme="0"/>
        <rFont val="Segoe UI"/>
        <family val="2"/>
      </rPr>
      <t>h,min</t>
    </r>
  </si>
  <si>
    <t>פסיעה</t>
  </si>
  <si>
    <t>עדיפות</t>
  </si>
  <si>
    <r>
      <t xml:space="preserve">קוטר </t>
    </r>
    <r>
      <rPr>
        <sz val="12"/>
        <color theme="0"/>
        <rFont val="Segoe UI"/>
        <family val="2"/>
        <scheme val="major"/>
      </rPr>
      <t>[mm]</t>
    </r>
  </si>
  <si>
    <r>
      <t>פסיעה</t>
    </r>
    <r>
      <rPr>
        <sz val="12"/>
        <color theme="0"/>
        <rFont val="Segoe UI"/>
        <family val="2"/>
        <scheme val="major"/>
      </rPr>
      <t xml:space="preserve"> [cm]</t>
    </r>
  </si>
  <si>
    <r>
      <t xml:space="preserve">פסיעה מינימלית </t>
    </r>
    <r>
      <rPr>
        <sz val="12"/>
        <color theme="0"/>
        <rFont val="Segoe UI"/>
        <family val="2"/>
        <scheme val="major"/>
      </rPr>
      <t>[cm]</t>
    </r>
  </si>
  <si>
    <r>
      <t xml:space="preserve">פסיעה מקסימלית </t>
    </r>
    <r>
      <rPr>
        <sz val="12"/>
        <color theme="0"/>
        <rFont val="Segoe UI"/>
        <family val="2"/>
        <scheme val="major"/>
      </rPr>
      <t>[cm]</t>
    </r>
  </si>
  <si>
    <r>
      <t>קוטר מינימלי</t>
    </r>
    <r>
      <rPr>
        <sz val="12"/>
        <color theme="0"/>
        <rFont val="Segoe UI"/>
        <family val="2"/>
        <scheme val="minor"/>
      </rPr>
      <t xml:space="preserve"> [mm]</t>
    </r>
  </si>
  <si>
    <t>קוטר</t>
  </si>
  <si>
    <t>מס'</t>
  </si>
  <si>
    <t>b</t>
  </si>
  <si>
    <t>ρh</t>
  </si>
  <si>
    <t>רשימה גולמית</t>
  </si>
  <si>
    <t>רשימת מסודרת</t>
  </si>
  <si>
    <t>min</t>
  </si>
  <si>
    <t>max</t>
  </si>
  <si>
    <t>תנאי ρh</t>
  </si>
  <si>
    <t>תנאי קוטר</t>
  </si>
  <si>
    <t>תנאי פסיעה</t>
  </si>
  <si>
    <t>קוטר מקסימלי [mm]</t>
  </si>
  <si>
    <t>קר"פ</t>
  </si>
  <si>
    <t>בדיקת</t>
  </si>
  <si>
    <t>קוטר רו פסיעה</t>
  </si>
  <si>
    <r>
      <t>ρ</t>
    </r>
    <r>
      <rPr>
        <vertAlign val="subscript"/>
        <sz val="12"/>
        <color theme="0"/>
        <rFont val="Segoe UI"/>
        <family val="2"/>
        <scheme val="minor"/>
      </rPr>
      <t>h</t>
    </r>
    <r>
      <rPr>
        <sz val="12"/>
        <color theme="0"/>
        <rFont val="Segoe UI"/>
        <family val="2"/>
        <scheme val="minor"/>
      </rPr>
      <t xml:space="preserve"> [mm</t>
    </r>
    <r>
      <rPr>
        <vertAlign val="superscript"/>
        <sz val="12"/>
        <color theme="0"/>
        <rFont val="Segoe UI"/>
        <family val="2"/>
        <scheme val="minor"/>
      </rPr>
      <t>2</t>
    </r>
    <r>
      <rPr>
        <sz val="12"/>
        <color theme="0"/>
        <rFont val="Segoe UI"/>
        <family val="2"/>
        <scheme val="minor"/>
      </rPr>
      <t>]</t>
    </r>
  </si>
  <si>
    <t>עדיפות נבחרת</t>
  </si>
  <si>
    <t>זיון אופקי</t>
  </si>
  <si>
    <r>
      <t>ρ</t>
    </r>
    <r>
      <rPr>
        <vertAlign val="subscript"/>
        <sz val="14"/>
        <color theme="0"/>
        <rFont val="Segoe UI"/>
        <family val="2"/>
      </rPr>
      <t>v,max</t>
    </r>
  </si>
  <si>
    <r>
      <t>ρ</t>
    </r>
    <r>
      <rPr>
        <vertAlign val="subscript"/>
        <sz val="14"/>
        <color theme="0"/>
        <rFont val="Segoe UI"/>
        <family val="2"/>
      </rPr>
      <t>v,min</t>
    </r>
  </si>
  <si>
    <r>
      <t>ρ</t>
    </r>
    <r>
      <rPr>
        <vertAlign val="subscript"/>
        <sz val="14"/>
        <color theme="0"/>
        <rFont val="Segoe UI"/>
        <family val="2"/>
      </rPr>
      <t>v</t>
    </r>
    <r>
      <rPr>
        <sz val="14"/>
        <color theme="0"/>
        <rFont val="Segoe UI"/>
        <family val="2"/>
      </rPr>
      <t xml:space="preserve"> (78)</t>
    </r>
  </si>
  <si>
    <t>דרישות ת"י 466, סעיף 5.4.3. חתך מלבני בלחיצה אקסצנטרית עם זיון מחולק</t>
  </si>
  <si>
    <r>
      <t>V</t>
    </r>
    <r>
      <rPr>
        <vertAlign val="subscript"/>
        <sz val="11"/>
        <color theme="1"/>
        <rFont val="Segoe UI"/>
        <family val="2"/>
        <scheme val="minor"/>
      </rPr>
      <t>cω</t>
    </r>
    <r>
      <rPr>
        <sz val="11"/>
        <color theme="1"/>
        <rFont val="Segoe UI"/>
        <family val="2"/>
        <scheme val="minor"/>
      </rPr>
      <t xml:space="preserve"> (74)</t>
    </r>
  </si>
  <si>
    <r>
      <t>V</t>
    </r>
    <r>
      <rPr>
        <vertAlign val="subscript"/>
        <sz val="11"/>
        <color theme="1"/>
        <rFont val="Segoe UI"/>
        <family val="2"/>
        <scheme val="minor"/>
      </rPr>
      <t>cω</t>
    </r>
    <r>
      <rPr>
        <sz val="11"/>
        <color theme="1"/>
        <rFont val="Segoe UI"/>
        <family val="2"/>
        <scheme val="minor"/>
      </rPr>
      <t xml:space="preserve"> (75)</t>
    </r>
  </si>
  <si>
    <r>
      <t>ΣA</t>
    </r>
    <r>
      <rPr>
        <vertAlign val="subscript"/>
        <sz val="14"/>
        <color theme="0"/>
        <rFont val="Segoe UI"/>
        <family val="2"/>
      </rPr>
      <t>s</t>
    </r>
    <r>
      <rPr>
        <sz val="14"/>
        <color theme="0"/>
        <rFont val="Segoe UI"/>
        <family val="2"/>
      </rPr>
      <t xml:space="preserve"> [cm</t>
    </r>
    <r>
      <rPr>
        <vertAlign val="superscript"/>
        <sz val="14"/>
        <color theme="0"/>
        <rFont val="Segoe UI"/>
        <family val="2"/>
      </rPr>
      <t>2</t>
    </r>
    <r>
      <rPr>
        <sz val="14"/>
        <color theme="0"/>
        <rFont val="Segoe UI"/>
        <family val="2"/>
      </rPr>
      <t>]</t>
    </r>
  </si>
  <si>
    <r>
      <t>0.002A</t>
    </r>
    <r>
      <rPr>
        <vertAlign val="subscript"/>
        <sz val="14"/>
        <color theme="0"/>
        <rFont val="Segoe UI"/>
        <family val="2"/>
      </rPr>
      <t>g</t>
    </r>
    <r>
      <rPr>
        <sz val="14"/>
        <color theme="0"/>
        <rFont val="Segoe UI"/>
        <family val="2"/>
      </rPr>
      <t xml:space="preserve"> [cm</t>
    </r>
    <r>
      <rPr>
        <vertAlign val="superscript"/>
        <sz val="14"/>
        <color theme="0"/>
        <rFont val="Segoe UI"/>
        <family val="2"/>
      </rPr>
      <t>2</t>
    </r>
    <r>
      <rPr>
        <sz val="14"/>
        <color theme="0"/>
        <rFont val="Segoe UI"/>
        <family val="2"/>
      </rPr>
      <t>]</t>
    </r>
  </si>
  <si>
    <r>
      <t>0.015A</t>
    </r>
    <r>
      <rPr>
        <vertAlign val="subscript"/>
        <sz val="14"/>
        <color theme="0"/>
        <rFont val="Segoe UI"/>
        <family val="2"/>
      </rPr>
      <t>g</t>
    </r>
    <r>
      <rPr>
        <sz val="14"/>
        <color theme="0"/>
        <rFont val="Segoe UI"/>
        <family val="2"/>
      </rPr>
      <t xml:space="preserve"> [cm</t>
    </r>
    <r>
      <rPr>
        <vertAlign val="superscript"/>
        <sz val="14"/>
        <color theme="0"/>
        <rFont val="Segoe UI"/>
        <family val="2"/>
      </rPr>
      <t>2</t>
    </r>
    <r>
      <rPr>
        <sz val="14"/>
        <color theme="0"/>
        <rFont val="Segoe UI"/>
        <family val="2"/>
      </rPr>
      <t>]</t>
    </r>
  </si>
  <si>
    <r>
      <t>α</t>
    </r>
    <r>
      <rPr>
        <vertAlign val="subscript"/>
        <sz val="14"/>
        <color theme="0"/>
        <rFont val="Segoe UI"/>
        <family val="2"/>
      </rPr>
      <t>N</t>
    </r>
  </si>
  <si>
    <r>
      <t>ω</t>
    </r>
    <r>
      <rPr>
        <vertAlign val="subscript"/>
        <sz val="14"/>
        <color theme="0"/>
        <rFont val="Segoe UI"/>
        <family val="2"/>
      </rPr>
      <t>s</t>
    </r>
  </si>
  <si>
    <t>x/h</t>
  </si>
  <si>
    <t>x/h ≥ 0.15</t>
  </si>
  <si>
    <t>h ≥ 4b</t>
  </si>
  <si>
    <t>4b [cm]</t>
  </si>
  <si>
    <r>
      <t>h = ℓ</t>
    </r>
    <r>
      <rPr>
        <vertAlign val="subscript"/>
        <sz val="14"/>
        <color theme="0"/>
        <rFont val="Segoe UI"/>
        <family val="2"/>
      </rPr>
      <t>w</t>
    </r>
    <r>
      <rPr>
        <sz val="14"/>
        <color theme="0"/>
        <rFont val="Segoe UI"/>
        <family val="2"/>
      </rPr>
      <t xml:space="preserve"> [cm]</t>
    </r>
  </si>
  <si>
    <t>היתר שימוש</t>
  </si>
  <si>
    <r>
      <t>M</t>
    </r>
    <r>
      <rPr>
        <vertAlign val="superscript"/>
        <sz val="14"/>
        <color theme="0"/>
        <rFont val="Segoe UI"/>
        <family val="2"/>
      </rPr>
      <t>1</t>
    </r>
    <r>
      <rPr>
        <vertAlign val="subscript"/>
        <sz val="14"/>
        <color theme="0"/>
        <rFont val="Segoe UI"/>
        <family val="2"/>
      </rPr>
      <t>cap</t>
    </r>
    <r>
      <rPr>
        <sz val="14"/>
        <color theme="0"/>
        <rFont val="Segoe UI"/>
        <family val="2"/>
      </rPr>
      <t xml:space="preserve"> [kNm]</t>
    </r>
  </si>
  <si>
    <r>
      <t>M</t>
    </r>
    <r>
      <rPr>
        <vertAlign val="superscript"/>
        <sz val="14"/>
        <color theme="0"/>
        <rFont val="Segoe UI"/>
        <family val="2"/>
      </rPr>
      <t>1</t>
    </r>
    <r>
      <rPr>
        <vertAlign val="subscript"/>
        <sz val="14"/>
        <color theme="0"/>
        <rFont val="Segoe UI"/>
        <family val="2"/>
      </rPr>
      <t>cap</t>
    </r>
    <r>
      <rPr>
        <sz val="14"/>
        <color theme="0"/>
        <rFont val="Segoe UI"/>
        <family val="2"/>
      </rPr>
      <t xml:space="preserve"> ≥ M</t>
    </r>
    <r>
      <rPr>
        <vertAlign val="subscript"/>
        <sz val="14"/>
        <color theme="0"/>
        <rFont val="Segoe UI"/>
        <family val="2"/>
      </rPr>
      <t>d</t>
    </r>
  </si>
  <si>
    <t>הוספת זיון מרוכז בקצוות</t>
  </si>
  <si>
    <t>הגברת גזירה</t>
  </si>
  <si>
    <t>קיזוז תרומת הבטון בנשיאת הגזירה</t>
  </si>
  <si>
    <t>חישוב זיון אופקי</t>
  </si>
  <si>
    <t>חישוב זיון אנכי</t>
  </si>
  <si>
    <t>בדיקת היתר שימוש בנוסחאות סעיף 5.4.3</t>
  </si>
  <si>
    <t>הוספת זיון מרוכז בקצוות במידת הנדרש</t>
  </si>
  <si>
    <r>
      <t>ΣA</t>
    </r>
    <r>
      <rPr>
        <vertAlign val="subscript"/>
        <sz val="14"/>
        <color theme="0"/>
        <rFont val="Segoe UI"/>
        <family val="2"/>
      </rPr>
      <t>s,קצה</t>
    </r>
    <r>
      <rPr>
        <sz val="14"/>
        <color theme="0"/>
        <rFont val="Segoe UI"/>
        <family val="2"/>
      </rPr>
      <t xml:space="preserve"> [cm</t>
    </r>
    <r>
      <rPr>
        <vertAlign val="superscript"/>
        <sz val="14"/>
        <color theme="0"/>
        <rFont val="Segoe UI"/>
        <family val="2"/>
      </rPr>
      <t>2</t>
    </r>
    <r>
      <rPr>
        <sz val="14"/>
        <color theme="0"/>
        <rFont val="Segoe UI"/>
        <family val="2"/>
      </rPr>
      <t>]</t>
    </r>
  </si>
  <si>
    <r>
      <t>0.02A</t>
    </r>
    <r>
      <rPr>
        <vertAlign val="subscript"/>
        <sz val="14"/>
        <color theme="0"/>
        <rFont val="Segoe UI"/>
        <family val="2"/>
      </rPr>
      <t>g</t>
    </r>
    <r>
      <rPr>
        <sz val="14"/>
        <color theme="0"/>
        <rFont val="Segoe UI"/>
        <family val="2"/>
      </rPr>
      <t xml:space="preserve"> [cm</t>
    </r>
    <r>
      <rPr>
        <vertAlign val="subscript"/>
        <sz val="14"/>
        <color theme="0"/>
        <rFont val="Segoe UI"/>
        <family val="2"/>
      </rPr>
      <t>2</t>
    </r>
    <r>
      <rPr>
        <sz val="14"/>
        <color theme="0"/>
        <rFont val="Segoe UI"/>
        <family val="2"/>
      </rPr>
      <t>]</t>
    </r>
  </si>
  <si>
    <r>
      <t>x = (x/h)*ℓ</t>
    </r>
    <r>
      <rPr>
        <vertAlign val="subscript"/>
        <sz val="14"/>
        <color theme="0"/>
        <rFont val="Segoe UI"/>
        <family val="2"/>
      </rPr>
      <t>w</t>
    </r>
    <r>
      <rPr>
        <sz val="14"/>
        <color theme="0"/>
        <rFont val="Segoe UI"/>
        <family val="2"/>
      </rPr>
      <t xml:space="preserve"> [cm]</t>
    </r>
  </si>
  <si>
    <t>Z [cm]</t>
  </si>
  <si>
    <t>a [cm]</t>
  </si>
  <si>
    <r>
      <t>ΔM</t>
    </r>
    <r>
      <rPr>
        <vertAlign val="superscript"/>
        <sz val="14"/>
        <color theme="0"/>
        <rFont val="Segoe UI"/>
        <family val="2"/>
      </rPr>
      <t>1</t>
    </r>
    <r>
      <rPr>
        <vertAlign val="subscript"/>
        <sz val="14"/>
        <color theme="0"/>
        <rFont val="Segoe UI"/>
        <family val="2"/>
      </rPr>
      <t>cap</t>
    </r>
    <r>
      <rPr>
        <sz val="14"/>
        <color theme="0"/>
        <rFont val="Segoe UI"/>
        <family val="2"/>
      </rPr>
      <t xml:space="preserve"> [kNm]</t>
    </r>
  </si>
  <si>
    <r>
      <t>M</t>
    </r>
    <r>
      <rPr>
        <vertAlign val="superscript"/>
        <sz val="14"/>
        <color theme="0"/>
        <rFont val="Segoe UI"/>
        <family val="2"/>
      </rPr>
      <t>1</t>
    </r>
    <r>
      <rPr>
        <vertAlign val="subscript"/>
        <sz val="14"/>
        <color theme="0"/>
        <rFont val="Segoe UI"/>
        <family val="2"/>
      </rPr>
      <t>cap</t>
    </r>
    <r>
      <rPr>
        <sz val="14"/>
        <color theme="0"/>
        <rFont val="Segoe UI"/>
        <family val="2"/>
      </rPr>
      <t xml:space="preserve"> + ΔM</t>
    </r>
    <r>
      <rPr>
        <vertAlign val="superscript"/>
        <sz val="14"/>
        <color theme="0"/>
        <rFont val="Segoe UI"/>
        <family val="2"/>
      </rPr>
      <t>1</t>
    </r>
    <r>
      <rPr>
        <vertAlign val="subscript"/>
        <sz val="14"/>
        <color theme="0"/>
        <rFont val="Segoe UI"/>
        <family val="2"/>
      </rPr>
      <t>cap</t>
    </r>
    <r>
      <rPr>
        <sz val="14"/>
        <color theme="0"/>
        <rFont val="Segoe UI"/>
        <family val="2"/>
      </rPr>
      <t xml:space="preserve"> [kNm]</t>
    </r>
  </si>
  <si>
    <t>זיון מרוכז בקצוות</t>
  </si>
  <si>
    <t>מס' מוטות</t>
  </si>
  <si>
    <t>מרחק מפני הבטון [cm]</t>
  </si>
  <si>
    <t>פסיעה [cm]</t>
  </si>
  <si>
    <t>דרישות</t>
  </si>
  <si>
    <t>a מקסימלי [cm]</t>
  </si>
  <si>
    <t>&gt;=Md?</t>
  </si>
  <si>
    <t>p_max</t>
  </si>
  <si>
    <t>a_max</t>
  </si>
  <si>
    <t>מס' מוטות מקסימלי [mm]</t>
  </si>
  <si>
    <t>n_max</t>
  </si>
  <si>
    <t>?</t>
  </si>
  <si>
    <t>i</t>
  </si>
  <si>
    <t>מס' מוטות מקסימלי</t>
  </si>
  <si>
    <r>
      <rPr>
        <sz val="14"/>
        <color theme="0"/>
        <rFont val="David"/>
        <family val="2"/>
      </rPr>
      <t>קיזוז סופי</t>
    </r>
    <r>
      <rPr>
        <sz val="14"/>
        <color theme="0"/>
        <rFont val="Segoe UI"/>
        <family val="2"/>
      </rPr>
      <t xml:space="preserve"> [kN]</t>
    </r>
  </si>
  <si>
    <r>
      <t>V</t>
    </r>
    <r>
      <rPr>
        <vertAlign val="subscript"/>
        <sz val="14"/>
        <color theme="0"/>
        <rFont val="Segoe UI"/>
        <family val="2"/>
      </rPr>
      <t>d,</t>
    </r>
    <r>
      <rPr>
        <vertAlign val="subscript"/>
        <sz val="14"/>
        <color theme="0"/>
        <rFont val="David"/>
        <family val="2"/>
      </rPr>
      <t>מקוזז</t>
    </r>
    <r>
      <rPr>
        <sz val="14"/>
        <color theme="0"/>
        <rFont val="Segoe UI"/>
        <family val="2"/>
      </rPr>
      <t xml:space="preserve"> [kN]</t>
    </r>
  </si>
  <si>
    <r>
      <t>ΣA</t>
    </r>
    <r>
      <rPr>
        <vertAlign val="subscript"/>
        <sz val="14"/>
        <color theme="0"/>
        <rFont val="Segoe UI"/>
        <family val="2"/>
      </rPr>
      <t>s,</t>
    </r>
    <r>
      <rPr>
        <vertAlign val="subscript"/>
        <sz val="14"/>
        <color theme="0"/>
        <rFont val="David"/>
        <family val="2"/>
      </rPr>
      <t>קצה</t>
    </r>
    <r>
      <rPr>
        <sz val="14"/>
        <color theme="0"/>
        <rFont val="Segoe UI"/>
        <family val="2"/>
      </rPr>
      <t xml:space="preserve"> [cm</t>
    </r>
    <r>
      <rPr>
        <vertAlign val="superscript"/>
        <sz val="14"/>
        <color theme="0"/>
        <rFont val="Segoe UI"/>
        <family val="2"/>
      </rPr>
      <t>2</t>
    </r>
    <r>
      <rPr>
        <sz val="14"/>
        <color theme="0"/>
        <rFont val="Segoe UI"/>
        <family val="2"/>
      </rPr>
      <t>]</t>
    </r>
  </si>
  <si>
    <r>
      <t>ρ</t>
    </r>
    <r>
      <rPr>
        <vertAlign val="subscript"/>
        <sz val="14"/>
        <color theme="0"/>
        <rFont val="Segoe UI"/>
        <family val="2"/>
      </rPr>
      <t>h,</t>
    </r>
    <r>
      <rPr>
        <vertAlign val="subscript"/>
        <sz val="14"/>
        <color theme="0"/>
        <rFont val="David"/>
        <family val="2"/>
      </rPr>
      <t>נדרש</t>
    </r>
  </si>
  <si>
    <r>
      <t>V</t>
    </r>
    <r>
      <rPr>
        <vertAlign val="subscript"/>
        <sz val="14"/>
        <color theme="0"/>
        <rFont val="Segoe UI"/>
        <family val="2"/>
      </rPr>
      <t>d,</t>
    </r>
    <r>
      <rPr>
        <vertAlign val="subscript"/>
        <sz val="14"/>
        <color theme="0"/>
        <rFont val="David"/>
        <family val="2"/>
      </rPr>
      <t>מקוזז</t>
    </r>
    <r>
      <rPr>
        <sz val="14"/>
        <color theme="0"/>
        <rFont val="Segoe UI"/>
        <family val="2"/>
      </rPr>
      <t>/bℓ</t>
    </r>
    <r>
      <rPr>
        <vertAlign val="subscript"/>
        <sz val="14"/>
        <color theme="0"/>
        <rFont val="Segoe UI"/>
        <family val="2"/>
      </rPr>
      <t>w</t>
    </r>
    <r>
      <rPr>
        <sz val="14"/>
        <color theme="0"/>
        <rFont val="Segoe UI"/>
        <family val="2"/>
      </rPr>
      <t>f</t>
    </r>
    <r>
      <rPr>
        <vertAlign val="subscript"/>
        <sz val="14"/>
        <color theme="0"/>
        <rFont val="Segoe UI"/>
        <family val="2"/>
      </rPr>
      <t>sd</t>
    </r>
  </si>
  <si>
    <r>
      <t>V</t>
    </r>
    <r>
      <rPr>
        <vertAlign val="subscript"/>
        <sz val="14"/>
        <color theme="0"/>
        <rFont val="Segoe UI"/>
        <family val="2"/>
      </rPr>
      <t>d,</t>
    </r>
    <r>
      <rPr>
        <vertAlign val="subscript"/>
        <sz val="14"/>
        <color theme="0"/>
        <rFont val="David"/>
        <family val="2"/>
      </rPr>
      <t>מקוזז</t>
    </r>
    <r>
      <rPr>
        <sz val="14"/>
        <color theme="0"/>
        <rFont val="Segoe UI"/>
        <family val="2"/>
      </rPr>
      <t>-N</t>
    </r>
    <r>
      <rPr>
        <vertAlign val="subscript"/>
        <sz val="14"/>
        <color theme="0"/>
        <rFont val="Segoe UI"/>
        <family val="2"/>
      </rPr>
      <t>d</t>
    </r>
    <r>
      <rPr>
        <sz val="14"/>
        <color theme="0"/>
        <rFont val="Segoe UI"/>
        <family val="2"/>
      </rPr>
      <t>/bℓ</t>
    </r>
    <r>
      <rPr>
        <vertAlign val="subscript"/>
        <sz val="14"/>
        <color theme="0"/>
        <rFont val="Segoe UI"/>
        <family val="2"/>
      </rPr>
      <t>w</t>
    </r>
    <r>
      <rPr>
        <sz val="14"/>
        <color theme="0"/>
        <rFont val="Segoe UI"/>
        <family val="2"/>
      </rPr>
      <t>f</t>
    </r>
    <r>
      <rPr>
        <vertAlign val="subscript"/>
        <sz val="14"/>
        <color theme="0"/>
        <rFont val="Segoe UI"/>
        <family val="2"/>
      </rPr>
      <t>sd</t>
    </r>
  </si>
  <si>
    <r>
      <t xml:space="preserve">קוטר מקסימלי </t>
    </r>
    <r>
      <rPr>
        <sz val="12"/>
        <color theme="0"/>
        <rFont val="Segoe UI"/>
        <family val="2"/>
        <scheme val="major"/>
      </rPr>
      <t>[mm]</t>
    </r>
  </si>
  <si>
    <r>
      <rPr>
        <sz val="14"/>
        <color theme="0"/>
        <rFont val="Segoe UI"/>
        <family val="2"/>
        <scheme val="major"/>
      </rPr>
      <t>a</t>
    </r>
    <r>
      <rPr>
        <sz val="14"/>
        <color theme="0"/>
        <rFont val="David"/>
        <family val="2"/>
      </rPr>
      <t xml:space="preserve"> מקסימלי</t>
    </r>
    <r>
      <rPr>
        <sz val="14"/>
        <color theme="0"/>
        <rFont val="Segoe UI"/>
        <family val="2"/>
        <scheme val="major"/>
      </rPr>
      <t xml:space="preserve"> [cm]</t>
    </r>
  </si>
  <si>
    <r>
      <t xml:space="preserve">קוטר מקסימלי </t>
    </r>
    <r>
      <rPr>
        <sz val="14"/>
        <color theme="0"/>
        <rFont val="Segoe UI"/>
        <family val="2"/>
        <scheme val="major"/>
      </rPr>
      <t>[mm]</t>
    </r>
  </si>
  <si>
    <r>
      <t xml:space="preserve">פסיעה </t>
    </r>
    <r>
      <rPr>
        <sz val="14"/>
        <color theme="0"/>
        <rFont val="Segoe UI"/>
        <family val="2"/>
        <scheme val="major"/>
      </rPr>
      <t>[cm]</t>
    </r>
  </si>
  <si>
    <r>
      <t>מרחק מפני הבטון</t>
    </r>
    <r>
      <rPr>
        <sz val="14"/>
        <color theme="0"/>
        <rFont val="Segoe UI"/>
        <family val="2"/>
        <scheme val="major"/>
      </rPr>
      <t xml:space="preserve"> [cm]</t>
    </r>
  </si>
  <si>
    <t>מיכאל עמר | תשפ"ד</t>
  </si>
  <si>
    <t>דרישות ת"י 413, סעיף 404. קירות הקשחה משיכים מבטון מזוין</t>
  </si>
  <si>
    <r>
      <t>ρ</t>
    </r>
    <r>
      <rPr>
        <vertAlign val="subscript"/>
        <sz val="14"/>
        <color theme="0"/>
        <rFont val="Segoe UI"/>
        <family val="2"/>
      </rPr>
      <t>v,</t>
    </r>
    <r>
      <rPr>
        <vertAlign val="subscript"/>
        <sz val="14"/>
        <color theme="0"/>
        <rFont val="David"/>
        <family val="2"/>
      </rPr>
      <t>נדרש</t>
    </r>
  </si>
  <si>
    <t>מוטות</t>
  </si>
  <si>
    <r>
      <t>ΣA</t>
    </r>
    <r>
      <rPr>
        <vertAlign val="subscript"/>
        <sz val="14"/>
        <color theme="0"/>
        <rFont val="Segoe UI"/>
        <family val="2"/>
      </rPr>
      <t>s</t>
    </r>
    <r>
      <rPr>
        <sz val="14"/>
        <color theme="0"/>
        <rFont val="Segoe UI"/>
        <family val="2"/>
      </rPr>
      <t xml:space="preserve"> </t>
    </r>
    <r>
      <rPr>
        <sz val="14"/>
        <color theme="0"/>
        <rFont val="David"/>
        <family val="2"/>
      </rPr>
      <t>ראוי</t>
    </r>
  </si>
  <si>
    <r>
      <t>קוטר מקסימלי</t>
    </r>
    <r>
      <rPr>
        <sz val="12"/>
        <color theme="0"/>
        <rFont val="Segoe UI"/>
        <family val="2"/>
        <scheme val="major"/>
      </rPr>
      <t xml:space="preserve"> [mm]</t>
    </r>
  </si>
  <si>
    <r>
      <t xml:space="preserve">מחשבון לתכן קירות | </t>
    </r>
    <r>
      <rPr>
        <sz val="22"/>
        <color theme="0"/>
        <rFont val="David"/>
        <family val="2"/>
      </rPr>
      <t>קביעת זיון אופטימלית בהתאם לדרישות ת"י 413 ות"י 466</t>
    </r>
  </si>
  <si>
    <r>
      <t>min{V</t>
    </r>
    <r>
      <rPr>
        <vertAlign val="subscript"/>
        <sz val="11"/>
        <color theme="1"/>
        <rFont val="Segoe UI"/>
        <family val="2"/>
        <scheme val="minor"/>
      </rPr>
      <t>cω</t>
    </r>
    <r>
      <rPr>
        <sz val="11"/>
        <color theme="1"/>
        <rFont val="Segoe UI"/>
        <family val="2"/>
        <scheme val="minor"/>
      </rPr>
      <t>(74),V</t>
    </r>
    <r>
      <rPr>
        <vertAlign val="subscript"/>
        <sz val="11"/>
        <color theme="1"/>
        <rFont val="Segoe UI"/>
        <family val="2"/>
        <scheme val="minor"/>
      </rPr>
      <t>cd</t>
    </r>
    <r>
      <rPr>
        <sz val="11"/>
        <color theme="1"/>
        <rFont val="Segoe U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</si>
</sst>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00"/>
    <numFmt numFmtId="166" formatCode="0.0"/>
    <numFmt numFmtId="167" formatCode="0.0000000"/>
    <numFmt numFmtId="168" formatCode="0.000"/>
  </numFmts>
  <fonts count="27">
    <font>
      <sz val="11"/>
      <color theme="1"/>
      <name val="Segoe UI"/>
      <family val="2"/>
      <scheme val="minor"/>
    </font>
    <font>
      <sz val="11"/>
      <color theme="0"/>
      <name val="Segoe UI"/>
      <family val="2"/>
      <scheme val="minor"/>
    </font>
    <font>
      <sz val="11"/>
      <color theme="0"/>
      <name val="David"/>
      <family val="2"/>
    </font>
    <font>
      <sz val="14"/>
      <color theme="0"/>
      <name val="David"/>
      <family val="2"/>
    </font>
    <font>
      <sz val="14"/>
      <name val="David"/>
      <family val="2"/>
    </font>
    <font>
      <sz val="16"/>
      <color theme="0"/>
      <name val="David"/>
      <family val="2"/>
    </font>
    <font>
      <sz val="14"/>
      <color theme="0"/>
      <name val="Segoe UI"/>
      <family val="2"/>
    </font>
    <font>
      <vertAlign val="subscript"/>
      <sz val="14"/>
      <color theme="0"/>
      <name val="Segoe UI"/>
      <family val="2"/>
    </font>
    <font>
      <sz val="14"/>
      <name val="Segoe UI"/>
      <family val="2"/>
      <scheme val="minor"/>
    </font>
    <font>
      <sz val="9"/>
      <color indexed="81"/>
      <name val="Tahoma"/>
      <family val="2"/>
    </font>
    <font>
      <b/>
      <sz val="9"/>
      <color indexed="81"/>
      <name val="Tahoma"/>
      <family val="2"/>
    </font>
    <font>
      <vertAlign val="superscript"/>
      <sz val="14"/>
      <color theme="0"/>
      <name val="Segoe UI"/>
      <family val="2"/>
    </font>
    <font>
      <sz val="14"/>
      <name val="Segoe UI"/>
      <family val="2"/>
      <scheme val="major"/>
    </font>
    <font>
      <sz val="11"/>
      <color rgb="FFFF0000"/>
      <name val="David"/>
      <family val="2"/>
    </font>
    <font>
      <vertAlign val="subscript"/>
      <sz val="11"/>
      <color theme="1"/>
      <name val="Segoe UI"/>
      <family val="2"/>
      <scheme val="minor"/>
    </font>
    <font>
      <sz val="12"/>
      <color theme="0"/>
      <name val="David"/>
      <family val="2"/>
    </font>
    <font>
      <sz val="12"/>
      <color theme="0"/>
      <name val="Segoe UI"/>
      <family val="2"/>
      <scheme val="major"/>
    </font>
    <font>
      <sz val="12"/>
      <color theme="0"/>
      <name val="Segoe UI"/>
      <family val="2"/>
      <scheme val="minor"/>
    </font>
    <font>
      <vertAlign val="subscript"/>
      <sz val="12"/>
      <color theme="0"/>
      <name val="Segoe UI"/>
      <family val="2"/>
      <scheme val="minor"/>
    </font>
    <font>
      <vertAlign val="superscript"/>
      <sz val="12"/>
      <color theme="0"/>
      <name val="Segoe UI"/>
      <family val="2"/>
      <scheme val="minor"/>
    </font>
    <font>
      <sz val="18"/>
      <name val="David"/>
      <family val="2"/>
    </font>
    <font>
      <sz val="11"/>
      <name val="Segoe UI"/>
      <family val="2"/>
      <scheme val="minor"/>
    </font>
    <font>
      <sz val="14"/>
      <color theme="0"/>
      <name val="Segoe UI"/>
      <family val="2"/>
      <scheme val="major"/>
    </font>
    <font>
      <vertAlign val="subscript"/>
      <sz val="14"/>
      <color theme="0"/>
      <name val="David"/>
      <family val="2"/>
    </font>
    <font>
      <sz val="11"/>
      <color theme="0"/>
      <name val="Segoe UI"/>
      <family val="2"/>
      <scheme val="major"/>
    </font>
    <font>
      <b/>
      <sz val="22"/>
      <color theme="0"/>
      <name val="David"/>
      <family val="2"/>
    </font>
    <font>
      <sz val="22"/>
      <color theme="0"/>
      <name val="David"/>
      <family val="2"/>
    </font>
  </fonts>
  <fills count="15">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rgb="FF0070C0"/>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rgb="FFC8102E"/>
        <bgColor indexed="64"/>
      </patternFill>
    </fill>
    <fill>
      <patternFill patternType="solid">
        <fgColor rgb="FF8A0000"/>
        <bgColor indexed="64"/>
      </patternFill>
    </fill>
    <fill>
      <patternFill patternType="solid">
        <fgColor theme="1" tint="0.34998626667073579"/>
        <bgColor indexed="64"/>
      </patternFill>
    </fill>
    <fill>
      <patternFill patternType="solid">
        <fgColor rgb="FF004F68"/>
        <bgColor indexed="64"/>
      </patternFill>
    </fill>
    <fill>
      <patternFill patternType="solid">
        <fgColor rgb="FF00B0F0"/>
        <bgColor indexed="64"/>
      </patternFill>
    </fill>
    <fill>
      <patternFill patternType="solid">
        <fgColor rgb="FF006F92"/>
        <bgColor indexed="64"/>
      </patternFill>
    </fill>
    <fill>
      <patternFill patternType="solid">
        <fgColor rgb="FFC00000"/>
        <bgColor indexed="64"/>
      </patternFill>
    </fill>
    <fill>
      <patternFill patternType="solid">
        <fgColor theme="0" tint="-0.14999847407452621"/>
        <bgColor indexed="64"/>
      </patternFill>
    </fill>
  </fills>
  <borders count="11">
    <border>
      <left/>
      <right/>
      <top/>
      <bottom/>
      <diagonal/>
    </border>
    <border>
      <left/>
      <right/>
      <top/>
      <bottom style="thick">
        <color theme="0"/>
      </bottom>
      <diagonal/>
    </border>
    <border>
      <left/>
      <right/>
      <top style="thick">
        <color theme="0"/>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indexed="64"/>
      </right>
      <top style="thin">
        <color indexed="64"/>
      </top>
      <bottom style="thin">
        <color indexed="64"/>
      </bottom>
      <diagonal/>
    </border>
    <border>
      <left/>
      <right/>
      <top style="thin">
        <color theme="0" tint="-4.9989318521683403E-2"/>
      </top>
      <bottom style="thin">
        <color theme="0" tint="-4.9989318521683403E-2"/>
      </bottom>
      <diagonal/>
    </border>
    <border>
      <left style="thin">
        <color indexed="64"/>
      </left>
      <right style="thin">
        <color indexed="64"/>
      </right>
      <top/>
      <bottom/>
      <diagonal/>
    </border>
    <border>
      <left style="thin">
        <color theme="0" tint="-4.9989318521683403E-2"/>
      </left>
      <right/>
      <top/>
      <bottom/>
      <diagonal/>
    </border>
    <border>
      <left style="thin">
        <color theme="0" tint="-4.9989318521683403E-2"/>
      </left>
      <right/>
      <top style="thin">
        <color theme="0" tint="-4.9989318521683403E-2"/>
      </top>
      <bottom style="thin">
        <color theme="0" tint="-4.9989318521683403E-2"/>
      </bottom>
      <diagonal/>
    </border>
    <border>
      <left/>
      <right style="thin">
        <color theme="0" tint="-4.9989318521683403E-2"/>
      </right>
      <top/>
      <bottom/>
      <diagonal/>
    </border>
    <border>
      <left/>
      <right style="thin">
        <color theme="0" tint="-4.9989318521683403E-2"/>
      </right>
      <top style="thin">
        <color theme="0" tint="-4.9989318521683403E-2"/>
      </top>
      <bottom style="thin">
        <color theme="0" tint="-4.9989318521683403E-2"/>
      </bottom>
      <diagonal/>
    </border>
  </borders>
  <cellStyleXfs count="1">
    <xf numFmtId="0" fontId="0" fillId="0" borderId="0"/>
  </cellStyleXfs>
  <cellXfs count="97">
    <xf numFmtId="0" fontId="0" fillId="0" borderId="0" xfId="0"/>
    <xf numFmtId="0" fontId="2" fillId="0" borderId="0" xfId="0" applyFont="1" applyAlignment="1">
      <alignment readingOrder="2"/>
    </xf>
    <xf numFmtId="0" fontId="2" fillId="0" borderId="0" xfId="0" applyFont="1"/>
    <xf numFmtId="0" fontId="0" fillId="0" borderId="4" xfId="0" applyBorder="1"/>
    <xf numFmtId="0" fontId="1" fillId="4" borderId="4" xfId="0" applyFont="1" applyFill="1" applyBorder="1"/>
    <xf numFmtId="0" fontId="8" fillId="3" borderId="3" xfId="0" applyFont="1" applyFill="1" applyBorder="1" applyAlignment="1">
      <alignment horizontal="left" vertical="center" indent="1"/>
    </xf>
    <xf numFmtId="2" fontId="8" fillId="3" borderId="3" xfId="0" applyNumberFormat="1" applyFont="1" applyFill="1" applyBorder="1" applyAlignment="1">
      <alignment horizontal="left" vertical="center" indent="1"/>
    </xf>
    <xf numFmtId="1" fontId="8" fillId="3" borderId="3" xfId="0" applyNumberFormat="1" applyFont="1" applyFill="1" applyBorder="1" applyAlignment="1">
      <alignment horizontal="left" vertical="center" indent="1"/>
    </xf>
    <xf numFmtId="0" fontId="6" fillId="6" borderId="3" xfId="0" applyFont="1" applyFill="1" applyBorder="1" applyAlignment="1">
      <alignment horizontal="left" vertical="center" indent="1" readingOrder="1"/>
    </xf>
    <xf numFmtId="0" fontId="6" fillId="7" borderId="3" xfId="0" applyFont="1" applyFill="1" applyBorder="1" applyAlignment="1">
      <alignment horizontal="left" vertical="center" indent="1" readingOrder="1"/>
    </xf>
    <xf numFmtId="0" fontId="3" fillId="7" borderId="3" xfId="0" applyFont="1" applyFill="1" applyBorder="1" applyAlignment="1">
      <alignment horizontal="right" vertical="center" indent="1"/>
    </xf>
    <xf numFmtId="0" fontId="6" fillId="2" borderId="3" xfId="0" applyFont="1" applyFill="1" applyBorder="1" applyAlignment="1">
      <alignment horizontal="left" vertical="center" indent="1" readingOrder="1"/>
    </xf>
    <xf numFmtId="0" fontId="12" fillId="3" borderId="3" xfId="0" applyFont="1" applyFill="1" applyBorder="1" applyAlignment="1">
      <alignment horizontal="left" vertical="center" indent="1"/>
    </xf>
    <xf numFmtId="0" fontId="6" fillId="8" borderId="3" xfId="0" applyFont="1" applyFill="1" applyBorder="1" applyAlignment="1">
      <alignment horizontal="left" vertical="center" indent="1" readingOrder="1"/>
    </xf>
    <xf numFmtId="0" fontId="1" fillId="4" borderId="0" xfId="0" applyFont="1" applyFill="1"/>
    <xf numFmtId="0" fontId="1" fillId="4" borderId="6" xfId="0" applyFont="1" applyFill="1" applyBorder="1"/>
    <xf numFmtId="0" fontId="13" fillId="0" borderId="0" xfId="0" applyFont="1"/>
    <xf numFmtId="0" fontId="1" fillId="2" borderId="4" xfId="0" applyFont="1" applyFill="1" applyBorder="1"/>
    <xf numFmtId="0" fontId="1" fillId="9" borderId="4" xfId="0" applyFont="1" applyFill="1" applyBorder="1"/>
    <xf numFmtId="1" fontId="8" fillId="3" borderId="3" xfId="0" applyNumberFormat="1" applyFont="1" applyFill="1" applyBorder="1" applyAlignment="1">
      <alignment horizontal="left" vertical="center" indent="1" readingOrder="1"/>
    </xf>
    <xf numFmtId="0" fontId="2" fillId="0" borderId="0" xfId="0" applyFont="1" applyAlignment="1">
      <alignment horizontal="left"/>
    </xf>
    <xf numFmtId="164" fontId="8" fillId="3" borderId="3" xfId="0" applyNumberFormat="1" applyFont="1" applyFill="1" applyBorder="1" applyAlignment="1">
      <alignment horizontal="left" vertical="center" indent="1"/>
    </xf>
    <xf numFmtId="0" fontId="15" fillId="10" borderId="3" xfId="0" applyFont="1" applyFill="1" applyBorder="1" applyAlignment="1">
      <alignment horizontal="center" vertical="center"/>
    </xf>
    <xf numFmtId="0" fontId="1" fillId="2" borderId="0" xfId="0" applyFont="1" applyFill="1"/>
    <xf numFmtId="0" fontId="1" fillId="11" borderId="4" xfId="0" applyFont="1" applyFill="1" applyBorder="1"/>
    <xf numFmtId="0" fontId="1" fillId="5" borderId="4" xfId="0" applyFont="1" applyFill="1" applyBorder="1"/>
    <xf numFmtId="1" fontId="0" fillId="0" borderId="0" xfId="0" applyNumberFormat="1"/>
    <xf numFmtId="0" fontId="15" fillId="7" borderId="8" xfId="0" applyFont="1" applyFill="1" applyBorder="1" applyAlignment="1">
      <alignment horizontal="right" vertical="center" indent="1"/>
    </xf>
    <xf numFmtId="0" fontId="1" fillId="5" borderId="4" xfId="0" applyFont="1" applyFill="1" applyBorder="1" applyAlignment="1">
      <alignment horizontal="right" readingOrder="2"/>
    </xf>
    <xf numFmtId="0" fontId="15" fillId="10" borderId="3" xfId="0" applyFont="1" applyFill="1" applyBorder="1" applyAlignment="1">
      <alignment horizontal="right" vertical="center" indent="1" readingOrder="2"/>
    </xf>
    <xf numFmtId="0" fontId="2" fillId="0" borderId="9" xfId="0" applyFont="1" applyBorder="1"/>
    <xf numFmtId="0" fontId="6" fillId="10" borderId="3" xfId="0" applyFont="1" applyFill="1" applyBorder="1" applyAlignment="1">
      <alignment horizontal="left" vertical="center" indent="1" readingOrder="1"/>
    </xf>
    <xf numFmtId="0" fontId="6" fillId="12" borderId="3" xfId="0" applyFont="1" applyFill="1" applyBorder="1" applyAlignment="1">
      <alignment horizontal="left" vertical="center" indent="1" readingOrder="1"/>
    </xf>
    <xf numFmtId="2" fontId="12" fillId="3" borderId="7" xfId="0" applyNumberFormat="1" applyFont="1" applyFill="1" applyBorder="1" applyAlignment="1">
      <alignment horizontal="right" vertical="center" indent="1"/>
    </xf>
    <xf numFmtId="0" fontId="6" fillId="10" borderId="3" xfId="0" applyFont="1" applyFill="1" applyBorder="1" applyAlignment="1">
      <alignment horizontal="left" vertical="center" indent="1" readingOrder="2"/>
    </xf>
    <xf numFmtId="0" fontId="6" fillId="12" borderId="3" xfId="0" applyFont="1" applyFill="1" applyBorder="1" applyAlignment="1">
      <alignment vertical="center" readingOrder="1"/>
    </xf>
    <xf numFmtId="0" fontId="20" fillId="3" borderId="3" xfId="0" applyFont="1" applyFill="1" applyBorder="1" applyAlignment="1">
      <alignment horizontal="center" vertical="center"/>
    </xf>
    <xf numFmtId="0" fontId="3" fillId="13" borderId="3" xfId="0" applyFont="1" applyFill="1" applyBorder="1" applyAlignment="1">
      <alignment vertical="center"/>
    </xf>
    <xf numFmtId="0" fontId="2" fillId="0" borderId="0" xfId="0" applyFont="1" applyAlignment="1">
      <alignment vertical="top" wrapText="1"/>
    </xf>
    <xf numFmtId="2" fontId="0" fillId="0" borderId="0" xfId="0" applyNumberFormat="1"/>
    <xf numFmtId="0" fontId="6" fillId="12" borderId="8" xfId="0" applyFont="1" applyFill="1" applyBorder="1" applyAlignment="1">
      <alignment vertical="center" readingOrder="1"/>
    </xf>
    <xf numFmtId="166" fontId="8" fillId="3" borderId="3" xfId="0" applyNumberFormat="1" applyFont="1" applyFill="1" applyBorder="1" applyAlignment="1">
      <alignment horizontal="left" vertical="center" indent="1"/>
    </xf>
    <xf numFmtId="0" fontId="6" fillId="12" borderId="7" xfId="0" applyFont="1" applyFill="1" applyBorder="1" applyAlignment="1">
      <alignment vertical="center" readingOrder="1"/>
    </xf>
    <xf numFmtId="2" fontId="12" fillId="3" borderId="7" xfId="0" applyNumberFormat="1" applyFont="1" applyFill="1" applyBorder="1" applyAlignment="1">
      <alignment vertical="center"/>
    </xf>
    <xf numFmtId="0" fontId="3" fillId="13" borderId="3" xfId="0" applyFont="1" applyFill="1" applyBorder="1" applyAlignment="1">
      <alignment vertical="center" readingOrder="2"/>
    </xf>
    <xf numFmtId="0" fontId="6" fillId="2" borderId="3" xfId="0" applyFont="1" applyFill="1" applyBorder="1" applyAlignment="1">
      <alignment vertical="center" readingOrder="1"/>
    </xf>
    <xf numFmtId="0" fontId="1" fillId="2" borderId="3" xfId="0" applyFont="1" applyFill="1" applyBorder="1"/>
    <xf numFmtId="0" fontId="21" fillId="14" borderId="3" xfId="0" applyFont="1" applyFill="1" applyBorder="1"/>
    <xf numFmtId="165" fontId="8" fillId="3" borderId="7" xfId="0" applyNumberFormat="1" applyFont="1" applyFill="1" applyBorder="1" applyAlignment="1">
      <alignment horizontal="left" vertical="center" indent="1"/>
    </xf>
    <xf numFmtId="0" fontId="12" fillId="3" borderId="7" xfId="0" applyFont="1" applyFill="1" applyBorder="1" applyAlignment="1">
      <alignment horizontal="left" vertical="center" indent="1"/>
    </xf>
    <xf numFmtId="165" fontId="4" fillId="3" borderId="7" xfId="0" applyNumberFormat="1" applyFont="1" applyFill="1" applyBorder="1" applyAlignment="1">
      <alignment horizontal="right" vertical="center" indent="1"/>
    </xf>
    <xf numFmtId="167" fontId="8" fillId="3" borderId="3" xfId="0" applyNumberFormat="1" applyFont="1" applyFill="1" applyBorder="1" applyAlignment="1">
      <alignment horizontal="left" vertical="center" indent="1"/>
    </xf>
    <xf numFmtId="0" fontId="8" fillId="3" borderId="3" xfId="0" applyFont="1" applyFill="1" applyBorder="1" applyAlignment="1" applyProtection="1">
      <alignment horizontal="left" vertical="center" indent="1"/>
      <protection locked="0"/>
    </xf>
    <xf numFmtId="1" fontId="8" fillId="3" borderId="3" xfId="0" applyNumberFormat="1" applyFont="1" applyFill="1" applyBorder="1" applyAlignment="1" applyProtection="1">
      <alignment horizontal="left" vertical="center" indent="1"/>
      <protection locked="0"/>
    </xf>
    <xf numFmtId="0" fontId="12" fillId="3" borderId="3" xfId="0" applyFont="1" applyFill="1" applyBorder="1" applyAlignment="1" applyProtection="1">
      <alignment horizontal="left" vertical="center" indent="1"/>
      <protection locked="0"/>
    </xf>
    <xf numFmtId="0" fontId="4" fillId="3" borderId="3" xfId="0" applyFont="1" applyFill="1" applyBorder="1" applyAlignment="1" applyProtection="1">
      <alignment horizontal="right" vertical="center" indent="1"/>
      <protection locked="0"/>
    </xf>
    <xf numFmtId="0" fontId="22" fillId="3" borderId="3" xfId="0" applyFont="1" applyFill="1" applyBorder="1" applyAlignment="1">
      <alignment horizontal="center" vertical="center"/>
    </xf>
    <xf numFmtId="0" fontId="12" fillId="3" borderId="3" xfId="0" applyFont="1" applyFill="1" applyBorder="1" applyAlignment="1">
      <alignment horizontal="center" vertical="center"/>
    </xf>
    <xf numFmtId="2" fontId="4" fillId="3" borderId="7" xfId="0" applyNumberFormat="1" applyFont="1" applyFill="1" applyBorder="1" applyAlignment="1">
      <alignment horizontal="right" vertical="center" indent="1"/>
    </xf>
    <xf numFmtId="1" fontId="4" fillId="3" borderId="3" xfId="0" applyNumberFormat="1" applyFont="1" applyFill="1" applyBorder="1" applyAlignment="1">
      <alignment horizontal="right" vertical="center" indent="1"/>
    </xf>
    <xf numFmtId="2" fontId="4" fillId="3" borderId="3" xfId="0" applyNumberFormat="1" applyFont="1" applyFill="1" applyBorder="1" applyAlignment="1">
      <alignment horizontal="right" vertical="center" indent="1"/>
    </xf>
    <xf numFmtId="0" fontId="3" fillId="10" borderId="3" xfId="0" applyFont="1" applyFill="1" applyBorder="1" applyAlignment="1">
      <alignment horizontal="right" vertical="center" indent="1" readingOrder="1"/>
    </xf>
    <xf numFmtId="168" fontId="12" fillId="3" borderId="3" xfId="0" applyNumberFormat="1" applyFont="1" applyFill="1" applyBorder="1" applyAlignment="1">
      <alignment horizontal="center" vertical="center"/>
    </xf>
    <xf numFmtId="2" fontId="12" fillId="3" borderId="3" xfId="0" applyNumberFormat="1" applyFont="1" applyFill="1" applyBorder="1" applyAlignment="1">
      <alignment horizontal="center" vertical="center"/>
    </xf>
    <xf numFmtId="0" fontId="5" fillId="0" borderId="7" xfId="0" applyFont="1" applyBorder="1" applyAlignment="1">
      <alignment horizontal="right" vertical="center" indent="1"/>
    </xf>
    <xf numFmtId="168" fontId="8" fillId="3" borderId="3" xfId="0" applyNumberFormat="1" applyFont="1" applyFill="1" applyBorder="1" applyAlignment="1">
      <alignment horizontal="left" vertical="center" indent="1"/>
    </xf>
    <xf numFmtId="0" fontId="2" fillId="0" borderId="0" xfId="0" applyFont="1" applyAlignment="1">
      <alignment horizontal="left" indent="1"/>
    </xf>
    <xf numFmtId="0" fontId="24" fillId="0" borderId="0" xfId="0" applyFont="1" applyAlignment="1">
      <alignment horizontal="left" indent="1"/>
    </xf>
    <xf numFmtId="0" fontId="25" fillId="2" borderId="2" xfId="0" applyFont="1" applyFill="1" applyBorder="1" applyAlignment="1">
      <alignment horizontal="right" vertical="center" indent="3"/>
    </xf>
    <xf numFmtId="0" fontId="25" fillId="2" borderId="0" xfId="0" applyFont="1" applyFill="1" applyAlignment="1">
      <alignment horizontal="right" vertical="center" indent="3"/>
    </xf>
    <xf numFmtId="0" fontId="25" fillId="2" borderId="1" xfId="0" applyFont="1" applyFill="1" applyBorder="1" applyAlignment="1">
      <alignment horizontal="right" vertical="center" indent="3"/>
    </xf>
    <xf numFmtId="0" fontId="5" fillId="0" borderId="5" xfId="0" applyFont="1" applyBorder="1" applyAlignment="1">
      <alignment horizontal="center" vertical="center" readingOrder="2"/>
    </xf>
    <xf numFmtId="0" fontId="5" fillId="2" borderId="5" xfId="0" applyFont="1" applyFill="1" applyBorder="1" applyAlignment="1">
      <alignment horizontal="center" vertical="center" readingOrder="2"/>
    </xf>
    <xf numFmtId="0" fontId="6" fillId="12" borderId="8" xfId="0" applyFont="1" applyFill="1" applyBorder="1" applyAlignment="1">
      <alignment horizontal="left" vertical="center" indent="1" readingOrder="1"/>
    </xf>
    <xf numFmtId="0" fontId="6" fillId="12" borderId="10" xfId="0" applyFont="1" applyFill="1" applyBorder="1" applyAlignment="1">
      <alignment horizontal="left" vertical="center" indent="1" readingOrder="1"/>
    </xf>
    <xf numFmtId="0" fontId="6" fillId="10" borderId="8" xfId="0" applyFont="1" applyFill="1" applyBorder="1" applyAlignment="1">
      <alignment horizontal="left" vertical="center" indent="1" readingOrder="1"/>
    </xf>
    <xf numFmtId="0" fontId="6" fillId="10" borderId="10" xfId="0" applyFont="1" applyFill="1" applyBorder="1" applyAlignment="1">
      <alignment horizontal="left" vertical="center" indent="1" readingOrder="1"/>
    </xf>
    <xf numFmtId="0" fontId="6" fillId="10" borderId="3" xfId="0" applyFont="1" applyFill="1" applyBorder="1" applyAlignment="1">
      <alignment horizontal="right" vertical="center" indent="1" readingOrder="2"/>
    </xf>
    <xf numFmtId="165" fontId="12" fillId="3" borderId="3" xfId="0" applyNumberFormat="1" applyFont="1" applyFill="1" applyBorder="1" applyAlignment="1">
      <alignment horizontal="center" vertical="center"/>
    </xf>
    <xf numFmtId="0" fontId="12" fillId="3" borderId="8" xfId="0" applyFont="1" applyFill="1" applyBorder="1" applyAlignment="1">
      <alignment horizontal="center" vertical="center"/>
    </xf>
    <xf numFmtId="0" fontId="12" fillId="3" borderId="10" xfId="0" applyFont="1" applyFill="1" applyBorder="1" applyAlignment="1">
      <alignment horizontal="center" vertical="center"/>
    </xf>
    <xf numFmtId="0" fontId="17" fillId="10" borderId="3" xfId="0" applyFont="1" applyFill="1" applyBorder="1" applyAlignment="1">
      <alignment horizontal="center" vertical="center"/>
    </xf>
    <xf numFmtId="0" fontId="15" fillId="10" borderId="8" xfId="0" applyFont="1" applyFill="1" applyBorder="1" applyAlignment="1">
      <alignment horizontal="center" vertical="center"/>
    </xf>
    <xf numFmtId="0" fontId="15" fillId="10" borderId="10" xfId="0" applyFont="1" applyFill="1" applyBorder="1" applyAlignment="1">
      <alignment horizontal="center" vertical="center"/>
    </xf>
    <xf numFmtId="0" fontId="12" fillId="3" borderId="3" xfId="0" applyFont="1" applyFill="1" applyBorder="1" applyAlignment="1">
      <alignment horizontal="center" vertical="center"/>
    </xf>
    <xf numFmtId="0" fontId="15" fillId="10" borderId="3" xfId="0" applyFont="1" applyFill="1" applyBorder="1" applyAlignment="1">
      <alignment horizontal="center" vertical="center"/>
    </xf>
    <xf numFmtId="0" fontId="6" fillId="10" borderId="3" xfId="0" applyFont="1" applyFill="1" applyBorder="1" applyAlignment="1">
      <alignment horizontal="left" vertical="center" indent="1" readingOrder="1"/>
    </xf>
    <xf numFmtId="0" fontId="3" fillId="10" borderId="8" xfId="0" applyFont="1" applyFill="1" applyBorder="1" applyAlignment="1">
      <alignment horizontal="right" vertical="center" indent="1" readingOrder="1"/>
    </xf>
    <xf numFmtId="0" fontId="3" fillId="10" borderId="10" xfId="0" applyFont="1" applyFill="1" applyBorder="1" applyAlignment="1">
      <alignment horizontal="right" vertical="center" indent="1" readingOrder="1"/>
    </xf>
    <xf numFmtId="0" fontId="3" fillId="7" borderId="8" xfId="0" applyFont="1" applyFill="1" applyBorder="1" applyAlignment="1">
      <alignment horizontal="right" vertical="center" indent="1"/>
    </xf>
    <xf numFmtId="0" fontId="3" fillId="7" borderId="10" xfId="0" applyFont="1" applyFill="1" applyBorder="1" applyAlignment="1">
      <alignment horizontal="right" vertical="center" indent="1"/>
    </xf>
    <xf numFmtId="0" fontId="3" fillId="7" borderId="3" xfId="0" applyFont="1" applyFill="1" applyBorder="1" applyAlignment="1">
      <alignment horizontal="right" vertical="center" indent="1" readingOrder="2"/>
    </xf>
    <xf numFmtId="0" fontId="6" fillId="10" borderId="8" xfId="0" applyFont="1" applyFill="1" applyBorder="1" applyAlignment="1">
      <alignment horizontal="right" vertical="center" indent="1" readingOrder="2"/>
    </xf>
    <xf numFmtId="0" fontId="6" fillId="10" borderId="10" xfId="0" applyFont="1" applyFill="1" applyBorder="1" applyAlignment="1">
      <alignment horizontal="right" vertical="center" indent="1" readingOrder="2"/>
    </xf>
    <xf numFmtId="0" fontId="6" fillId="12" borderId="3" xfId="0" applyFont="1" applyFill="1" applyBorder="1" applyAlignment="1">
      <alignment horizontal="left" vertical="center" indent="1" readingOrder="1"/>
    </xf>
    <xf numFmtId="0" fontId="0" fillId="0" borderId="0" xfId="0" applyAlignment="1">
      <alignment horizontal="center"/>
    </xf>
    <xf numFmtId="0" fontId="0" fillId="0" borderId="0" xfId="0" applyAlignment="1">
      <alignment horizontal="center" vertical="center"/>
    </xf>
  </cellXfs>
  <cellStyles count="1">
    <cellStyle name="Normal" xfId="0" builtinId="0"/>
  </cellStyles>
  <dxfs count="7">
    <dxf>
      <font>
        <color theme="0" tint="-0.24994659260841701"/>
      </font>
      <fill>
        <patternFill>
          <bgColor theme="0" tint="-0.24994659260841701"/>
        </patternFill>
      </fill>
    </dxf>
    <dxf>
      <font>
        <color theme="0" tint="-0.24994659260841701"/>
      </font>
      <fill>
        <patternFill>
          <bgColor theme="0" tint="-0.24994659260841701"/>
        </patternFill>
      </fill>
    </dxf>
    <dxf>
      <font>
        <color theme="1"/>
      </font>
      <fill>
        <patternFill>
          <bgColor theme="1"/>
        </patternFill>
      </fill>
    </dxf>
    <dxf>
      <font>
        <color theme="1"/>
      </font>
      <fill>
        <patternFill>
          <bgColor theme="1"/>
        </patternFill>
      </fill>
    </dxf>
    <dxf>
      <fill>
        <patternFill>
          <bgColor theme="0" tint="-0.24994659260841701"/>
        </patternFill>
      </fill>
    </dxf>
    <dxf>
      <fill>
        <patternFill>
          <bgColor theme="0" tint="-0.24994659260841701"/>
        </patternFill>
      </fill>
    </dxf>
    <dxf>
      <font>
        <color theme="0"/>
      </font>
      <fill>
        <patternFill>
          <bgColor rgb="FFFF0000"/>
        </patternFill>
      </fill>
    </dxf>
  </dxfs>
  <tableStyles count="0" defaultTableStyle="TableStyleMedium2" defaultPivotStyle="PivotStyleLight16"/>
  <colors>
    <mruColors>
      <color rgb="FFC8102E"/>
      <color rgb="FF006F92"/>
      <color rgb="FF004F68"/>
      <color rgb="FF764C00"/>
      <color rgb="FF580000"/>
      <color rgb="FFF25600"/>
      <color rgb="FFFF9201"/>
      <color rgb="FF8A0000"/>
      <color rgb="FF360000"/>
      <color rgb="FF00FA1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18</xdr:col>
      <xdr:colOff>78454</xdr:colOff>
      <xdr:row>32</xdr:row>
      <xdr:rowOff>1</xdr:rowOff>
    </xdr:from>
    <xdr:to>
      <xdr:col>19</xdr:col>
      <xdr:colOff>1874628</xdr:colOff>
      <xdr:row>36</xdr:row>
      <xdr:rowOff>237768</xdr:rowOff>
    </xdr:to>
    <xdr:pic>
      <xdr:nvPicPr>
        <xdr:cNvPr id="2" name="Picture 1">
          <a:extLst>
            <a:ext uri="{FF2B5EF4-FFF2-40B4-BE49-F238E27FC236}">
              <a16:creationId xmlns:a16="http://schemas.microsoft.com/office/drawing/2014/main" id="{95577A42-4DA9-62F8-36F9-E8382ACB8725}"/>
            </a:ext>
          </a:extLst>
        </xdr:cNvPr>
        <xdr:cNvPicPr>
          <a:picLocks noChangeAspect="1"/>
        </xdr:cNvPicPr>
      </xdr:nvPicPr>
      <xdr:blipFill>
        <a:blip xmlns:r="http://schemas.openxmlformats.org/officeDocument/2006/relationships" r:embed="rId1"/>
        <a:stretch>
          <a:fillRect/>
        </a:stretch>
      </xdr:blipFill>
      <xdr:spPr>
        <a:xfrm>
          <a:off x="4882519" y="9043148"/>
          <a:ext cx="3096057" cy="144800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22</xdr:col>
      <xdr:colOff>162485</xdr:colOff>
      <xdr:row>1</xdr:row>
      <xdr:rowOff>185697</xdr:rowOff>
    </xdr:from>
    <xdr:to>
      <xdr:col>29</xdr:col>
      <xdr:colOff>67887</xdr:colOff>
      <xdr:row>5</xdr:row>
      <xdr:rowOff>150427</xdr:rowOff>
    </xdr:to>
    <xdr:pic>
      <xdr:nvPicPr>
        <xdr:cNvPr id="2" name="Picture 1">
          <a:extLst>
            <a:ext uri="{FF2B5EF4-FFF2-40B4-BE49-F238E27FC236}">
              <a16:creationId xmlns:a16="http://schemas.microsoft.com/office/drawing/2014/main" id="{7FD25F1E-A023-0457-CE88-DFCC4E0B3CF0}"/>
            </a:ext>
          </a:extLst>
        </xdr:cNvPr>
        <xdr:cNvPicPr>
          <a:picLocks noChangeAspect="1"/>
        </xdr:cNvPicPr>
      </xdr:nvPicPr>
      <xdr:blipFill>
        <a:blip xmlns:r="http://schemas.openxmlformats.org/officeDocument/2006/relationships" r:embed="rId1"/>
        <a:stretch>
          <a:fillRect/>
        </a:stretch>
      </xdr:blipFill>
      <xdr:spPr>
        <a:xfrm>
          <a:off x="11179536673" y="398609"/>
          <a:ext cx="4690313" cy="816377"/>
        </a:xfrm>
        <a:prstGeom prst="rect">
          <a:avLst/>
        </a:prstGeom>
      </xdr:spPr>
    </xdr:pic>
    <xdr:clientData/>
  </xdr:twoCellAnchor>
  <xdr:twoCellAnchor editAs="oneCell">
    <xdr:from>
      <xdr:col>20</xdr:col>
      <xdr:colOff>0</xdr:colOff>
      <xdr:row>17</xdr:row>
      <xdr:rowOff>189783</xdr:rowOff>
    </xdr:from>
    <xdr:to>
      <xdr:col>32</xdr:col>
      <xdr:colOff>465417</xdr:colOff>
      <xdr:row>37</xdr:row>
      <xdr:rowOff>133307</xdr:rowOff>
    </xdr:to>
    <xdr:pic>
      <xdr:nvPicPr>
        <xdr:cNvPr id="3" name="Picture 2">
          <a:extLst>
            <a:ext uri="{FF2B5EF4-FFF2-40B4-BE49-F238E27FC236}">
              <a16:creationId xmlns:a16="http://schemas.microsoft.com/office/drawing/2014/main" id="{AF5E132A-7B26-8E0E-E7E3-B7DEEAB046D0}"/>
            </a:ext>
          </a:extLst>
        </xdr:cNvPr>
        <xdr:cNvPicPr>
          <a:picLocks noChangeAspect="1"/>
        </xdr:cNvPicPr>
      </xdr:nvPicPr>
      <xdr:blipFill>
        <a:blip xmlns:r="http://schemas.openxmlformats.org/officeDocument/2006/relationships" r:embed="rId2"/>
        <a:stretch>
          <a:fillRect/>
        </a:stretch>
      </xdr:blipFill>
      <xdr:spPr>
        <a:xfrm>
          <a:off x="11124734583" y="3659604"/>
          <a:ext cx="8629703" cy="4075363"/>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Custom_MA">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Segoe UI">
      <a:majorFont>
        <a:latin typeface="Segoe UI"/>
        <a:ea typeface=""/>
        <a:cs typeface="Segoe UI"/>
      </a:majorFont>
      <a:minorFont>
        <a:latin typeface="Segoe UI"/>
        <a:ea typeface=""/>
        <a:cs typeface="Segoe U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image" Target="../media/image1.jpeg"/></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V102"/>
  <sheetViews>
    <sheetView showGridLines="0" rightToLeft="1" tabSelected="1" zoomScale="66" zoomScaleNormal="79" workbookViewId="0">
      <selection activeCell="F45" sqref="F45"/>
    </sheetView>
  </sheetViews>
  <sheetFormatPr defaultColWidth="0" defaultRowHeight="13.8" zeroHeight="1"/>
  <cols>
    <col min="1" max="1" width="6.59765625" style="2" customWidth="1"/>
    <col min="2" max="2" width="19" style="2" bestFit="1" customWidth="1"/>
    <col min="3" max="3" width="18.69921875" style="2" customWidth="1"/>
    <col min="4" max="4" width="5" style="2" customWidth="1"/>
    <col min="5" max="6" width="21.19921875" style="2" customWidth="1"/>
    <col min="7" max="7" width="5.19921875" style="2" customWidth="1"/>
    <col min="8" max="8" width="12.19921875" style="2" customWidth="1"/>
    <col min="9" max="9" width="8.5" style="2" customWidth="1"/>
    <col min="10" max="10" width="13" style="2" customWidth="1"/>
    <col min="11" max="12" width="3.09765625" style="2" customWidth="1"/>
    <col min="13" max="13" width="10.69921875" style="2" customWidth="1"/>
    <col min="14" max="14" width="16.19921875" style="2" customWidth="1"/>
    <col min="15" max="15" width="15.5" style="2" customWidth="1"/>
    <col min="16" max="16" width="11.8984375" style="2" customWidth="1"/>
    <col min="17" max="17" width="16" style="2" bestFit="1" customWidth="1"/>
    <col min="18" max="18" width="10.69921875" style="2" customWidth="1"/>
    <col min="19" max="19" width="17.09765625" style="2" bestFit="1" customWidth="1"/>
    <col min="20" max="20" width="25.8984375" style="2" bestFit="1" customWidth="1"/>
    <col min="21" max="27" width="9" style="2" customWidth="1"/>
    <col min="28" max="29" width="9" style="2" hidden="1" customWidth="1"/>
    <col min="30" max="48" width="0" style="2" hidden="1" customWidth="1"/>
    <col min="49" max="16384" width="9" style="2" hidden="1"/>
  </cols>
  <sheetData>
    <row r="1" spans="1:20" ht="14.4" thickBot="1">
      <c r="A1" s="1" t="s">
        <v>0</v>
      </c>
    </row>
    <row r="2" spans="1:20" ht="15" customHeight="1" thickTop="1">
      <c r="B2" s="68" t="s">
        <v>168</v>
      </c>
      <c r="C2" s="68"/>
      <c r="D2" s="68"/>
      <c r="E2" s="68"/>
      <c r="F2" s="68"/>
      <c r="G2" s="68"/>
      <c r="H2" s="68"/>
      <c r="I2" s="68"/>
      <c r="J2" s="68"/>
      <c r="K2" s="68"/>
      <c r="L2" s="68"/>
      <c r="M2" s="68"/>
      <c r="N2" s="68"/>
      <c r="O2" s="68"/>
      <c r="P2" s="68"/>
      <c r="Q2" s="68"/>
      <c r="R2" s="68"/>
      <c r="S2" s="68"/>
      <c r="T2" s="68"/>
    </row>
    <row r="3" spans="1:20" ht="15" customHeight="1">
      <c r="B3" s="69"/>
      <c r="C3" s="69"/>
      <c r="D3" s="69"/>
      <c r="E3" s="69"/>
      <c r="F3" s="69"/>
      <c r="G3" s="69"/>
      <c r="H3" s="69"/>
      <c r="I3" s="69"/>
      <c r="J3" s="69"/>
      <c r="K3" s="69"/>
      <c r="L3" s="69"/>
      <c r="M3" s="69"/>
      <c r="N3" s="69"/>
      <c r="O3" s="69"/>
      <c r="P3" s="69"/>
      <c r="Q3" s="69"/>
      <c r="R3" s="69"/>
      <c r="S3" s="69"/>
      <c r="T3" s="69"/>
    </row>
    <row r="4" spans="1:20" ht="15" customHeight="1" thickBot="1">
      <c r="B4" s="70"/>
      <c r="C4" s="70"/>
      <c r="D4" s="70"/>
      <c r="E4" s="70"/>
      <c r="F4" s="70"/>
      <c r="G4" s="70"/>
      <c r="H4" s="70"/>
      <c r="I4" s="70"/>
      <c r="J4" s="70"/>
      <c r="K4" s="70"/>
      <c r="L4" s="70"/>
      <c r="M4" s="70"/>
      <c r="N4" s="70"/>
      <c r="O4" s="70"/>
      <c r="P4" s="70"/>
      <c r="Q4" s="70"/>
      <c r="R4" s="70"/>
      <c r="S4" s="70"/>
      <c r="T4" s="70"/>
    </row>
    <row r="5" spans="1:20" ht="14.4" thickTop="1"/>
    <row r="6" spans="1:20" ht="24" customHeight="1">
      <c r="B6" s="71" t="s">
        <v>15</v>
      </c>
      <c r="C6" s="71"/>
      <c r="E6" s="71" t="s">
        <v>163</v>
      </c>
      <c r="F6" s="71"/>
      <c r="G6" s="71"/>
      <c r="H6" s="71"/>
      <c r="I6" s="71"/>
      <c r="J6" s="71"/>
      <c r="K6" s="30"/>
      <c r="M6" s="71" t="s">
        <v>107</v>
      </c>
      <c r="N6" s="71"/>
      <c r="O6" s="71"/>
      <c r="P6" s="71"/>
      <c r="Q6" s="71"/>
      <c r="R6" s="71"/>
      <c r="S6" s="71"/>
      <c r="T6" s="71"/>
    </row>
    <row r="7" spans="1:20" ht="15.75" customHeight="1">
      <c r="K7" s="30"/>
    </row>
    <row r="8" spans="1:20" ht="24" customHeight="1">
      <c r="B8" s="10" t="s">
        <v>1</v>
      </c>
      <c r="C8" s="55" t="s">
        <v>6</v>
      </c>
      <c r="E8" s="72" t="s">
        <v>124</v>
      </c>
      <c r="F8" s="72"/>
      <c r="G8" s="72"/>
      <c r="H8" s="72"/>
      <c r="I8" s="72"/>
      <c r="J8" s="72"/>
      <c r="K8" s="30"/>
      <c r="M8" s="72" t="s">
        <v>128</v>
      </c>
      <c r="N8" s="72"/>
      <c r="O8" s="72"/>
    </row>
    <row r="9" spans="1:20" ht="24" customHeight="1">
      <c r="B9" s="10" t="s">
        <v>2</v>
      </c>
      <c r="C9" s="55" t="s">
        <v>10</v>
      </c>
      <c r="K9" s="30"/>
    </row>
    <row r="10" spans="1:20" ht="24" customHeight="1">
      <c r="B10" s="10" t="s">
        <v>16</v>
      </c>
      <c r="C10" s="55" t="s">
        <v>22</v>
      </c>
      <c r="E10" s="31" t="s">
        <v>25</v>
      </c>
      <c r="F10" s="7" cm="1">
        <f t="array" ref="F10">AG_CM(C13,C14)</f>
        <v>12000</v>
      </c>
      <c r="K10" s="30"/>
      <c r="M10" s="86" t="s">
        <v>110</v>
      </c>
      <c r="N10" s="86"/>
      <c r="O10" s="6">
        <f>2*(0.25*PI()*(F93*0.1)^2)*(C14/F94+1)</f>
        <v>61.32388859807277</v>
      </c>
    </row>
    <row r="11" spans="1:20" ht="24" customHeight="1">
      <c r="B11" s="10" t="s">
        <v>59</v>
      </c>
      <c r="C11" s="55" t="s">
        <v>65</v>
      </c>
      <c r="K11" s="30"/>
      <c r="M11" s="86" t="s">
        <v>111</v>
      </c>
      <c r="N11" s="86"/>
      <c r="O11" s="6">
        <f>0.002*F10</f>
        <v>24</v>
      </c>
    </row>
    <row r="12" spans="1:20" ht="24" customHeight="1">
      <c r="B12" s="9" t="s">
        <v>26</v>
      </c>
      <c r="C12" s="54">
        <v>8</v>
      </c>
      <c r="E12" s="9" t="s">
        <v>27</v>
      </c>
      <c r="F12" s="54">
        <v>1.2</v>
      </c>
      <c r="K12" s="30"/>
      <c r="M12" s="86" t="s">
        <v>112</v>
      </c>
      <c r="N12" s="86"/>
      <c r="O12" s="6">
        <f>0.015*F10</f>
        <v>180</v>
      </c>
    </row>
    <row r="13" spans="1:20" ht="24" customHeight="1">
      <c r="B13" s="9" t="s">
        <v>20</v>
      </c>
      <c r="C13" s="54">
        <v>20</v>
      </c>
      <c r="E13" s="9" t="s">
        <v>31</v>
      </c>
      <c r="F13" s="54">
        <v>1</v>
      </c>
      <c r="K13" s="30"/>
      <c r="M13" s="77" t="s">
        <v>166</v>
      </c>
      <c r="N13" s="77"/>
      <c r="O13" s="60" t="str">
        <f>IF(OR(O10&gt;=O12,O10&lt;=O11),"לא","כן")</f>
        <v>כן</v>
      </c>
    </row>
    <row r="14" spans="1:20" ht="24" customHeight="1">
      <c r="B14" s="9" t="s">
        <v>76</v>
      </c>
      <c r="C14" s="54">
        <v>600</v>
      </c>
      <c r="E14" s="13" t="s">
        <v>60</v>
      </c>
      <c r="F14" s="54">
        <v>3</v>
      </c>
      <c r="K14" s="30"/>
    </row>
    <row r="15" spans="1:20" ht="24" customHeight="1">
      <c r="B15" s="9" t="s">
        <v>24</v>
      </c>
      <c r="C15" s="54">
        <v>2880</v>
      </c>
      <c r="E15" s="13" t="s">
        <v>29</v>
      </c>
      <c r="F15" s="54">
        <v>0.3</v>
      </c>
      <c r="K15" s="30"/>
      <c r="M15" s="75" t="s">
        <v>113</v>
      </c>
      <c r="N15" s="76"/>
      <c r="O15" s="48">
        <f>10*C16/(F10*C22)</f>
        <v>0.27298850574712646</v>
      </c>
    </row>
    <row r="16" spans="1:20" ht="24" customHeight="1">
      <c r="B16" s="9" t="s">
        <v>19</v>
      </c>
      <c r="C16" s="54">
        <v>5700</v>
      </c>
      <c r="E16" s="13" t="s">
        <v>28</v>
      </c>
      <c r="F16" s="54">
        <v>0.14199999999999999</v>
      </c>
      <c r="K16" s="30"/>
      <c r="M16" s="75" t="s">
        <v>114</v>
      </c>
      <c r="N16" s="76"/>
      <c r="O16" s="48">
        <f>O10*C23/(F10*C22)</f>
        <v>0.10279387456573502</v>
      </c>
    </row>
    <row r="17" spans="2:21" ht="24" customHeight="1">
      <c r="B17" s="9" t="s">
        <v>33</v>
      </c>
      <c r="C17" s="54">
        <v>2100</v>
      </c>
      <c r="D17" s="20"/>
      <c r="K17" s="30"/>
    </row>
    <row r="18" spans="2:21" ht="24" customHeight="1">
      <c r="B18" s="9" t="s">
        <v>18</v>
      </c>
      <c r="C18" s="54">
        <v>30763</v>
      </c>
      <c r="E18" s="32" t="s">
        <v>63</v>
      </c>
      <c r="F18" s="6">
        <f>F14*SQRT((F12*F13/F14)^2+0.1*(F15/F16)^2)</f>
        <v>2.3360351254040688</v>
      </c>
      <c r="H18" s="73" t="str">
        <f>IF(C12&lt;=5,"ω (70)","ω (71)")</f>
        <v>ω (71)</v>
      </c>
      <c r="I18" s="74"/>
      <c r="J18" s="6">
        <f>IF(C12&lt;=5,0.9+0.1*C12,1.2+0.04*C12)</f>
        <v>1.52</v>
      </c>
      <c r="K18" s="30"/>
      <c r="M18" s="73" t="s">
        <v>115</v>
      </c>
      <c r="N18" s="74"/>
      <c r="O18" s="48">
        <f>(O15+O16)/(1+2.5*O16)</f>
        <v>0.29895541638205214</v>
      </c>
    </row>
    <row r="19" spans="2:21" ht="24" customHeight="1">
      <c r="B19" s="9" t="s">
        <v>34</v>
      </c>
      <c r="C19" s="54" t="s">
        <v>35</v>
      </c>
      <c r="E19" s="31" t="s">
        <v>64</v>
      </c>
      <c r="F19" s="6">
        <f>IF(F18&gt;F14,F14,IF(F18&lt;1.5,1.5,F18))</f>
        <v>2.3360351254040688</v>
      </c>
      <c r="H19" s="75" t="s">
        <v>32</v>
      </c>
      <c r="I19" s="76"/>
      <c r="J19" s="6">
        <f>IF(J18&gt;1.5,1.5,J18)</f>
        <v>1.5</v>
      </c>
      <c r="K19" s="30"/>
      <c r="M19" s="73" t="s">
        <v>118</v>
      </c>
      <c r="N19" s="74"/>
      <c r="O19" s="49">
        <f>4*C13</f>
        <v>80</v>
      </c>
    </row>
    <row r="20" spans="2:21" ht="24" customHeight="1">
      <c r="B20" s="10" t="s">
        <v>39</v>
      </c>
      <c r="C20" s="55" t="s">
        <v>40</v>
      </c>
      <c r="K20" s="30"/>
      <c r="M20" s="73" t="s">
        <v>119</v>
      </c>
      <c r="N20" s="74"/>
      <c r="O20" s="49">
        <f>C14</f>
        <v>600</v>
      </c>
    </row>
    <row r="21" spans="2:21" ht="24" customHeight="1">
      <c r="E21" s="31" t="s">
        <v>17</v>
      </c>
      <c r="F21" s="6">
        <f>IF(C10="נמוכה",J19*C17,F19*C17)</f>
        <v>4905.6737633485445</v>
      </c>
      <c r="K21" s="30"/>
      <c r="M21" s="73" t="s">
        <v>116</v>
      </c>
      <c r="N21" s="74"/>
      <c r="O21" s="50" t="str">
        <f>IF(O18&gt;=0.15,"כן","לא")</f>
        <v>כן</v>
      </c>
    </row>
    <row r="22" spans="2:21" ht="24" customHeight="1">
      <c r="B22" s="11" t="s">
        <v>45</v>
      </c>
      <c r="C22" s="5">
        <f>INDEX('S2'!D6:I6,1,MATCH('מסך ראשי'!C8,'S2'!D2:I2,0))</f>
        <v>17.399999999999999</v>
      </c>
      <c r="E22" s="31" t="s">
        <v>38</v>
      </c>
      <c r="F22" s="6">
        <f>IF(AND(C20="רגיש",C10="גבוהה"),0.2*C24,0.5*C24)</f>
        <v>0.55000000000000004</v>
      </c>
      <c r="K22" s="30"/>
      <c r="M22" s="73" t="s">
        <v>117</v>
      </c>
      <c r="N22" s="74"/>
      <c r="O22" s="50" t="str">
        <f>IF(O20&gt;=O19,"כן","לא")</f>
        <v>כן</v>
      </c>
    </row>
    <row r="23" spans="2:21" ht="24" customHeight="1">
      <c r="B23" s="11" t="s">
        <v>14</v>
      </c>
      <c r="C23" s="5">
        <f>INDEX('S2'!L4:N4,MATCH(C9,'S2'!L2:N2))</f>
        <v>350</v>
      </c>
      <c r="E23" s="31" t="s">
        <v>46</v>
      </c>
      <c r="F23" s="7">
        <f>5*F10*F22*0.1</f>
        <v>3300</v>
      </c>
      <c r="K23" s="30"/>
      <c r="M23" s="87" t="s">
        <v>120</v>
      </c>
      <c r="N23" s="88"/>
      <c r="O23" s="50" t="str">
        <f>IF(AND(O21="כן",O22="כן"),"קיים","לא קיים")</f>
        <v>קיים</v>
      </c>
    </row>
    <row r="24" spans="2:21" ht="24" customHeight="1">
      <c r="B24" s="11" t="s">
        <v>37</v>
      </c>
      <c r="C24" s="6">
        <f>INDEX('S2'!D3:I5,MATCH('מסך ראשי'!C19,'S2'!C3:C5,0),MATCH('מסך ראשי'!C8,'S2'!D2:I2,0))</f>
        <v>1.1000000000000001</v>
      </c>
      <c r="E24" s="31" t="s">
        <v>42</v>
      </c>
      <c r="F24" s="59" t="str">
        <f>IF(F21&lt;F23,"כן","לא")</f>
        <v>לא</v>
      </c>
      <c r="K24" s="30"/>
    </row>
    <row r="25" spans="2:21" ht="24" customHeight="1">
      <c r="K25" s="30"/>
      <c r="M25" s="73" t="s">
        <v>121</v>
      </c>
      <c r="N25" s="74"/>
      <c r="O25" s="33">
        <f>0.5*O10*C23*O18*O20*(2.5+1/O16-(25/6+1/O16)*O18)*10^-3</f>
        <v>15542.757401657334</v>
      </c>
    </row>
    <row r="26" spans="2:21" ht="24" customHeight="1">
      <c r="E26" s="72" t="s">
        <v>125</v>
      </c>
      <c r="F26" s="72"/>
      <c r="G26" s="72"/>
      <c r="H26" s="72"/>
      <c r="I26" s="72"/>
      <c r="J26" s="72"/>
      <c r="K26" s="30"/>
      <c r="M26" s="73" t="s">
        <v>122</v>
      </c>
      <c r="N26" s="74"/>
      <c r="O26" s="58" t="str">
        <f>IF(O25&gt;=C18,"כן","לא")</f>
        <v>לא</v>
      </c>
    </row>
    <row r="27" spans="2:21" ht="24" customHeight="1">
      <c r="K27" s="30"/>
      <c r="M27" s="87" t="s">
        <v>123</v>
      </c>
      <c r="N27" s="88"/>
      <c r="O27" s="58" t="str">
        <f>IF(O25&gt;=C18,"לא נדרשת","נדרשת")</f>
        <v>נדרשת</v>
      </c>
    </row>
    <row r="28" spans="2:21" ht="24" customHeight="1">
      <c r="E28" s="32" t="s">
        <v>57</v>
      </c>
      <c r="F28" s="7">
        <f>C16*C14/600</f>
        <v>5700</v>
      </c>
      <c r="K28" s="30"/>
    </row>
    <row r="29" spans="2:21" ht="24" customHeight="1">
      <c r="E29" s="32" t="s">
        <v>58</v>
      </c>
      <c r="F29" s="65">
        <f>1+F28/C18</f>
        <v>1.1852875207229463</v>
      </c>
      <c r="K29" s="30"/>
      <c r="M29" s="72" t="s">
        <v>129</v>
      </c>
      <c r="N29" s="72"/>
      <c r="O29" s="72"/>
      <c r="P29" s="72"/>
      <c r="Q29" s="72"/>
      <c r="R29" s="72"/>
      <c r="S29" s="72"/>
      <c r="T29" s="72"/>
    </row>
    <row r="30" spans="2:21" ht="24" customHeight="1">
      <c r="E30" s="31" t="s">
        <v>56</v>
      </c>
      <c r="F30" s="65">
        <f>IF(F29&gt;2,2,IF(F29&lt;1,1,F29))</f>
        <v>1.1852875207229463</v>
      </c>
      <c r="K30" s="30"/>
      <c r="U30" s="38"/>
    </row>
    <row r="31" spans="2:21" ht="24" customHeight="1">
      <c r="E31" s="31" t="s">
        <v>47</v>
      </c>
      <c r="F31" s="7">
        <f>0.1*F10*C22*0.1</f>
        <v>2088</v>
      </c>
      <c r="K31" s="30"/>
      <c r="M31" s="71" t="s">
        <v>141</v>
      </c>
      <c r="N31" s="71"/>
      <c r="O31" s="71"/>
      <c r="Q31" s="38"/>
      <c r="R31" s="38"/>
      <c r="S31" s="38"/>
      <c r="T31" s="38"/>
      <c r="U31" s="38"/>
    </row>
    <row r="32" spans="2:21" ht="24" customHeight="1">
      <c r="H32" s="73" t="s">
        <v>75</v>
      </c>
      <c r="I32" s="74"/>
      <c r="J32" s="19">
        <f>IF(F33="כן",0.125*F10*F22*F30,0.1*F10*F22*F30)</f>
        <v>977.86220459643084</v>
      </c>
      <c r="K32" s="30"/>
      <c r="Q32" s="38"/>
      <c r="R32" s="38"/>
      <c r="S32" s="38"/>
      <c r="T32" s="38"/>
      <c r="U32" s="38"/>
    </row>
    <row r="33" spans="2:21" ht="24" customHeight="1">
      <c r="E33" s="31" t="s">
        <v>48</v>
      </c>
      <c r="F33" s="59" t="str">
        <f>IF(C16&gt;F31,"כן","לא")</f>
        <v>כן</v>
      </c>
      <c r="H33" s="73" t="s">
        <v>74</v>
      </c>
      <c r="I33" s="74"/>
      <c r="J33" s="7">
        <f>IFERROR(1.6*F10*F22*SQRT(10*ABS(C16)/(F10*C22)-0.1)*0.1,0)</f>
        <v>439.21032586316505</v>
      </c>
      <c r="K33" s="30"/>
      <c r="M33" s="89" t="s">
        <v>161</v>
      </c>
      <c r="N33" s="90"/>
      <c r="O33" s="54">
        <v>10</v>
      </c>
      <c r="Q33" s="38"/>
      <c r="R33" s="38"/>
      <c r="S33" s="38"/>
      <c r="T33" s="38"/>
      <c r="U33" s="38"/>
    </row>
    <row r="34" spans="2:21" ht="24" customHeight="1">
      <c r="E34" s="61" t="s">
        <v>59</v>
      </c>
      <c r="F34" s="60" t="str">
        <f>INDEX('S2'!L7:N10,MATCH('מסך ראשי'!C11,'S2'!K7:K10,0),MATCH('מסך ראשי'!C10,'S2'!L6:N6,0))</f>
        <v>בדיקה מחמירה</v>
      </c>
      <c r="H34" s="92" t="s">
        <v>151</v>
      </c>
      <c r="I34" s="93"/>
      <c r="J34" s="7">
        <f>IF(F35="אין הפחתה",0,
IF(F35='S2'!N14,J32,
IF(F35='S2'!N13,J32,
IF(F35='S2'!M13,J33,
IF(F35='S2'!L13,MIN(J32:J33),
"ERROR")))))</f>
        <v>439.21032586316505</v>
      </c>
      <c r="K34" s="30"/>
      <c r="M34" s="89" t="s">
        <v>160</v>
      </c>
      <c r="N34" s="90"/>
      <c r="O34" s="54">
        <v>10</v>
      </c>
      <c r="Q34" s="38"/>
      <c r="R34" s="38"/>
      <c r="S34" s="38"/>
      <c r="T34" s="38"/>
      <c r="U34" s="38"/>
    </row>
    <row r="35" spans="2:21" ht="24" customHeight="1">
      <c r="E35" s="61" t="s">
        <v>73</v>
      </c>
      <c r="F35" s="60" t="str">
        <f>INDEX('S2'!L13:N14,MATCH('מסך ראשי'!F33,'S2'!J13:J14,0),MATCH('מסך ראשי'!F34,'S2'!L12:N12,0))</f>
        <v>min{Vcω(74),Vcd}</v>
      </c>
      <c r="H35" s="75" t="s">
        <v>152</v>
      </c>
      <c r="I35" s="76"/>
      <c r="J35" s="7">
        <f>F21-J34</f>
        <v>4466.4634374853795</v>
      </c>
      <c r="K35" s="30"/>
      <c r="O35" s="66"/>
      <c r="Q35" s="38"/>
      <c r="R35" s="38"/>
      <c r="S35" s="38"/>
      <c r="T35" s="38"/>
      <c r="U35" s="38"/>
    </row>
    <row r="36" spans="2:21" ht="24" customHeight="1">
      <c r="K36" s="30"/>
      <c r="M36" s="91" t="s">
        <v>159</v>
      </c>
      <c r="N36" s="91"/>
      <c r="O36" s="54">
        <v>25</v>
      </c>
      <c r="Q36" s="38"/>
      <c r="R36" s="38"/>
      <c r="S36" s="38"/>
      <c r="T36" s="38"/>
      <c r="U36" s="38"/>
    </row>
    <row r="37" spans="2:21" ht="24" customHeight="1">
      <c r="E37" s="72" t="s">
        <v>126</v>
      </c>
      <c r="F37" s="72"/>
      <c r="G37" s="72"/>
      <c r="H37" s="72"/>
      <c r="I37" s="72"/>
      <c r="J37" s="72"/>
      <c r="K37" s="30"/>
      <c r="M37" s="91" t="s">
        <v>150</v>
      </c>
      <c r="N37" s="91"/>
      <c r="O37" s="54">
        <v>20</v>
      </c>
      <c r="Q37" s="38"/>
      <c r="R37" s="38"/>
      <c r="S37" s="38"/>
      <c r="T37" s="38"/>
      <c r="U37" s="38"/>
    </row>
    <row r="38" spans="2:21" ht="24" customHeight="1">
      <c r="K38" s="30"/>
      <c r="M38" s="91" t="s">
        <v>158</v>
      </c>
      <c r="N38" s="91"/>
      <c r="O38" s="54">
        <v>300</v>
      </c>
      <c r="Q38" s="38"/>
      <c r="R38" s="38"/>
      <c r="S38" s="38"/>
      <c r="T38" s="38"/>
      <c r="U38" s="38"/>
    </row>
    <row r="39" spans="2:21" ht="24" customHeight="1">
      <c r="E39" s="32" t="s">
        <v>78</v>
      </c>
      <c r="F39" s="21">
        <v>2.5000000000000001E-3</v>
      </c>
      <c r="K39" s="30"/>
      <c r="Q39" s="38"/>
      <c r="R39" s="38"/>
      <c r="S39" s="38"/>
      <c r="T39" s="38"/>
    </row>
    <row r="40" spans="2:21" ht="24" customHeight="1">
      <c r="B40" s="16"/>
      <c r="E40" s="32" t="s">
        <v>77</v>
      </c>
      <c r="F40" s="41">
        <v>0.4</v>
      </c>
      <c r="K40" s="30"/>
      <c r="M40" s="94" t="s">
        <v>131</v>
      </c>
      <c r="N40" s="94"/>
      <c r="O40" s="7">
        <f>0.02*'מסך ראשי'!F10</f>
        <v>240</v>
      </c>
      <c r="Q40" s="38"/>
      <c r="R40" s="38"/>
      <c r="S40" s="38"/>
      <c r="T40" s="38"/>
    </row>
    <row r="41" spans="2:21" ht="24" customHeight="1">
      <c r="E41" s="32" t="s">
        <v>155</v>
      </c>
      <c r="F41" s="51">
        <f>10*J35/(C13*C14*C23)</f>
        <v>1.0634436755917569E-2</v>
      </c>
      <c r="K41" s="30"/>
      <c r="M41" s="94" t="s">
        <v>132</v>
      </c>
      <c r="N41" s="94"/>
      <c r="O41" s="6">
        <f>'מסך ראשי'!O18*'מסך ראשי'!O20</f>
        <v>179.3732498292313</v>
      </c>
      <c r="Q41" s="38"/>
      <c r="R41" s="38"/>
      <c r="S41" s="38"/>
      <c r="T41" s="38"/>
    </row>
    <row r="42" spans="2:21" ht="24" customHeight="1">
      <c r="E42" s="31" t="s">
        <v>154</v>
      </c>
      <c r="F42" s="51">
        <f>IF(F41&gt;0.4,0.4,MAX(F39,F41))</f>
        <v>1.0634436755917569E-2</v>
      </c>
      <c r="K42" s="30"/>
      <c r="M42" s="94" t="s">
        <v>76</v>
      </c>
      <c r="N42" s="94"/>
      <c r="O42" s="12">
        <f>'מסך ראשי'!C14</f>
        <v>600</v>
      </c>
      <c r="Q42" s="38"/>
      <c r="R42" s="38"/>
      <c r="S42" s="38"/>
      <c r="T42" s="38"/>
    </row>
    <row r="43" spans="2:21" ht="24" customHeight="1">
      <c r="E43" s="29" t="s">
        <v>167</v>
      </c>
      <c r="F43" s="7">
        <f>C13</f>
        <v>20</v>
      </c>
      <c r="K43" s="30"/>
      <c r="M43" s="73" t="s">
        <v>18</v>
      </c>
      <c r="N43" s="74"/>
      <c r="O43" s="12">
        <f>C18</f>
        <v>30763</v>
      </c>
      <c r="Q43" s="38"/>
      <c r="R43" s="38"/>
      <c r="S43" s="38"/>
      <c r="T43" s="38"/>
    </row>
    <row r="44" spans="2:21" ht="24" customHeight="1">
      <c r="K44" s="30"/>
    </row>
    <row r="45" spans="2:21" ht="24" customHeight="1">
      <c r="E45" s="27" t="s">
        <v>83</v>
      </c>
      <c r="F45" s="52">
        <v>10</v>
      </c>
      <c r="K45" s="30"/>
      <c r="M45" s="22" t="s">
        <v>80</v>
      </c>
      <c r="N45" s="22" t="s">
        <v>81</v>
      </c>
      <c r="O45" s="22" t="s">
        <v>165</v>
      </c>
      <c r="P45" s="34" t="s">
        <v>134</v>
      </c>
      <c r="Q45" s="31" t="s">
        <v>153</v>
      </c>
      <c r="R45" s="32" t="s">
        <v>133</v>
      </c>
      <c r="S45" s="32" t="s">
        <v>135</v>
      </c>
      <c r="T45" s="31" t="s">
        <v>136</v>
      </c>
    </row>
    <row r="46" spans="2:21" ht="24" customHeight="1">
      <c r="E46" s="27" t="s">
        <v>84</v>
      </c>
      <c r="F46" s="52">
        <v>10</v>
      </c>
      <c r="K46" s="30"/>
      <c r="M46" s="56">
        <v>1</v>
      </c>
      <c r="N46" s="57" cm="1">
        <f t="array" ref="N46">IFERROR(INDEX(VR!AA$233:AA$242,$M46),"")</f>
        <v>25</v>
      </c>
      <c r="O46" s="57" cm="1">
        <f t="array" ref="O46">IFERROR(INDEX(VR!AB$233:AB$242,$M46),"")</f>
        <v>20</v>
      </c>
      <c r="P46" s="57" cm="1">
        <f t="array" ref="P46">IFERROR(INDEX(VR!AC$233:AC$242,$M46),"")</f>
        <v>100</v>
      </c>
      <c r="Q46" s="62" cm="1">
        <f t="array" ref="Q46">IFERROR(INDEX(VR!AD$233:AD$242,$M46),"")</f>
        <v>98.174770424681029</v>
      </c>
      <c r="R46" s="63" cm="1">
        <f t="array" ref="R46">IFERROR(INDEX(VR!AE$233:AE$242,$M46),"")</f>
        <v>460.31337508538434</v>
      </c>
      <c r="S46" s="63" cm="1">
        <f t="array" ref="S46">IFERROR(INDEX(VR!AF$233:AF$242,$M46),"")</f>
        <v>15816.905972846194</v>
      </c>
      <c r="T46" s="63" cm="1">
        <f t="array" ref="T46">IFERROR(INDEX(VR!AG$233:AG$242,$M46),"")</f>
        <v>31359.663374503529</v>
      </c>
    </row>
    <row r="47" spans="2:21" ht="24" customHeight="1">
      <c r="E47" s="27" t="s">
        <v>85</v>
      </c>
      <c r="F47" s="53">
        <v>8</v>
      </c>
      <c r="K47" s="30"/>
      <c r="M47" s="56">
        <v>2</v>
      </c>
      <c r="N47" s="57" t="str" cm="1">
        <f t="array" ref="N47">IFERROR(INDEX(VR!AA$233:AA$242,$M47),"")</f>
        <v/>
      </c>
      <c r="O47" s="57" t="str" cm="1">
        <f t="array" ref="O47">IFERROR(INDEX(VR!AB$233:AB$242,$M47),"")</f>
        <v/>
      </c>
      <c r="P47" s="57" t="str" cm="1">
        <f t="array" ref="P47">IFERROR(INDEX(VR!AC$233:AC$242,$M47),"")</f>
        <v/>
      </c>
      <c r="Q47" s="62" t="str" cm="1">
        <f t="array" ref="Q47">IFERROR(INDEX(VR!AD$233:AD$242,$M47),"")</f>
        <v/>
      </c>
      <c r="R47" s="63" t="str" cm="1">
        <f t="array" ref="R47">IFERROR(INDEX(VR!AE$233:AE$242,$M47),"")</f>
        <v/>
      </c>
      <c r="S47" s="63" t="str" cm="1">
        <f t="array" ref="S47">IFERROR(INDEX(VR!AF$233:AF$242,$M47),"")</f>
        <v/>
      </c>
      <c r="T47" s="63" t="str" cm="1">
        <f t="array" ref="T47">IFERROR(INDEX(VR!AG$233:AG$242,$M47),"")</f>
        <v/>
      </c>
    </row>
    <row r="48" spans="2:21" ht="24" customHeight="1">
      <c r="K48" s="30"/>
      <c r="M48" s="56">
        <v>3</v>
      </c>
      <c r="N48" s="57" t="str" cm="1">
        <f t="array" ref="N48">IFERROR(INDEX(VR!AA$233:AA$242,$M48),"")</f>
        <v/>
      </c>
      <c r="O48" s="57" t="str" cm="1">
        <f t="array" ref="O48">IFERROR(INDEX(VR!AB$233:AB$242,$M48),"")</f>
        <v/>
      </c>
      <c r="P48" s="57" t="str" cm="1">
        <f t="array" ref="P48">IFERROR(INDEX(VR!AC$233:AC$242,$M48),"")</f>
        <v/>
      </c>
      <c r="Q48" s="62" t="str" cm="1">
        <f t="array" ref="Q48">IFERROR(INDEX(VR!AD$233:AD$242,$M48),"")</f>
        <v/>
      </c>
      <c r="R48" s="63" t="str" cm="1">
        <f t="array" ref="R48">IFERROR(INDEX(VR!AE$233:AE$242,$M48),"")</f>
        <v/>
      </c>
      <c r="S48" s="63" t="str" cm="1">
        <f t="array" ref="S48">IFERROR(INDEX(VR!AF$233:AF$242,$M48),"")</f>
        <v/>
      </c>
      <c r="T48" s="63" t="str" cm="1">
        <f t="array" ref="T48">IFERROR(INDEX(VR!AG$233:AG$242,$M48),"")</f>
        <v/>
      </c>
    </row>
    <row r="49" spans="5:20" ht="24" customHeight="1">
      <c r="E49" s="22" t="s">
        <v>80</v>
      </c>
      <c r="F49" s="22" t="s">
        <v>81</v>
      </c>
      <c r="G49" s="85" t="s">
        <v>82</v>
      </c>
      <c r="H49" s="85"/>
      <c r="I49" s="81" t="s">
        <v>101</v>
      </c>
      <c r="J49" s="81"/>
      <c r="K49" s="30"/>
      <c r="M49" s="56">
        <v>4</v>
      </c>
      <c r="N49" s="57" t="str" cm="1">
        <f t="array" ref="N49">IFERROR(INDEX(VR!AA$233:AA$242,$M49),"")</f>
        <v/>
      </c>
      <c r="O49" s="57" t="str" cm="1">
        <f t="array" ref="O49">IFERROR(INDEX(VR!AB$233:AB$242,$M49),"")</f>
        <v/>
      </c>
      <c r="P49" s="57" t="str" cm="1">
        <f t="array" ref="P49">IFERROR(INDEX(VR!AC$233:AC$242,$M49),"")</f>
        <v/>
      </c>
      <c r="Q49" s="62" t="str" cm="1">
        <f t="array" ref="Q49">IFERROR(INDEX(VR!AD$233:AD$242,$M49),"")</f>
        <v/>
      </c>
      <c r="R49" s="63" t="str" cm="1">
        <f t="array" ref="R49">IFERROR(INDEX(VR!AE$233:AE$242,$M49),"")</f>
        <v/>
      </c>
      <c r="S49" s="63" t="str" cm="1">
        <f t="array" ref="S49">IFERROR(INDEX(VR!AF$233:AF$242,$M49),"")</f>
        <v/>
      </c>
      <c r="T49" s="63" t="str" cm="1">
        <f t="array" ref="T49">IFERROR(INDEX(VR!AG$233:AG$242,$M49),"")</f>
        <v/>
      </c>
    </row>
    <row r="50" spans="5:20" ht="24" customHeight="1">
      <c r="E50" s="56">
        <v>1</v>
      </c>
      <c r="F50" s="57" cm="1">
        <f t="array" ref="F50">IFERROR(INDEX(VR!AD$10:AD$19,$E50),"")</f>
        <v>12</v>
      </c>
      <c r="G50" s="84" cm="1">
        <f t="array" ref="G50">IFERROR(INDEX(VR!AE$10:AE$19,$E50),"")</f>
        <v>10</v>
      </c>
      <c r="H50" s="84"/>
      <c r="I50" s="78" cm="1">
        <f t="array" ref="I50">IFERROR(INDEX(VR!AF$10:AF$19,$E50),"")</f>
        <v>1.1309733552923255E-2</v>
      </c>
      <c r="J50" s="78"/>
      <c r="K50" s="30"/>
      <c r="M50" s="56">
        <v>5</v>
      </c>
      <c r="N50" s="57" t="str" cm="1">
        <f t="array" ref="N50">IFERROR(INDEX(VR!AA$233:AA$242,$M50),"")</f>
        <v/>
      </c>
      <c r="O50" s="57" t="str" cm="1">
        <f t="array" ref="O50">IFERROR(INDEX(VR!AB$233:AB$242,$M50),"")</f>
        <v/>
      </c>
      <c r="P50" s="57" t="str" cm="1">
        <f t="array" ref="P50">IFERROR(INDEX(VR!AC$233:AC$242,$M50),"")</f>
        <v/>
      </c>
      <c r="Q50" s="62" t="str" cm="1">
        <f t="array" ref="Q50">IFERROR(INDEX(VR!AD$233:AD$242,$M50),"")</f>
        <v/>
      </c>
      <c r="R50" s="63" t="str" cm="1">
        <f t="array" ref="R50">IFERROR(INDEX(VR!AE$233:AE$242,$M50),"")</f>
        <v/>
      </c>
      <c r="S50" s="63" t="str" cm="1">
        <f t="array" ref="S50">IFERROR(INDEX(VR!AF$233:AF$242,$M50),"")</f>
        <v/>
      </c>
      <c r="T50" s="63" t="str" cm="1">
        <f t="array" ref="T50">IFERROR(INDEX(VR!AG$233:AG$242,$M50),"")</f>
        <v/>
      </c>
    </row>
    <row r="51" spans="5:20" ht="24" customHeight="1">
      <c r="E51" s="56">
        <v>2</v>
      </c>
      <c r="F51" s="57" cm="1">
        <f t="array" ref="F51">IFERROR(INDEX(VR!AD$10:AD$19,$E51),"")</f>
        <v>14</v>
      </c>
      <c r="G51" s="84" cm="1">
        <f t="array" ref="G51">IFERROR(INDEX(VR!AE$10:AE$19,$E51),"")</f>
        <v>10</v>
      </c>
      <c r="H51" s="84"/>
      <c r="I51" s="78" cm="1">
        <f t="array" ref="I51">IFERROR(INDEX(VR!AF$10:AF$19,$E51),"")</f>
        <v>1.5393804002589986E-2</v>
      </c>
      <c r="J51" s="78"/>
      <c r="K51" s="30"/>
      <c r="M51" s="56">
        <v>6</v>
      </c>
      <c r="N51" s="57" t="str" cm="1">
        <f t="array" ref="N51">IFERROR(INDEX(VR!AA$233:AA$242,$M51),"")</f>
        <v/>
      </c>
      <c r="O51" s="57" t="str" cm="1">
        <f t="array" ref="O51">IFERROR(INDEX(VR!AB$233:AB$242,$M51),"")</f>
        <v/>
      </c>
      <c r="P51" s="57" t="str" cm="1">
        <f t="array" ref="P51">IFERROR(INDEX(VR!AC$233:AC$242,$M51),"")</f>
        <v/>
      </c>
      <c r="Q51" s="62" t="str" cm="1">
        <f t="array" ref="Q51">IFERROR(INDEX(VR!AD$233:AD$242,$M51),"")</f>
        <v/>
      </c>
      <c r="R51" s="63" t="str" cm="1">
        <f t="array" ref="R51">IFERROR(INDEX(VR!AE$233:AE$242,$M51),"")</f>
        <v/>
      </c>
      <c r="S51" s="63" t="str" cm="1">
        <f t="array" ref="S51">IFERROR(INDEX(VR!AF$233:AF$242,$M51),"")</f>
        <v/>
      </c>
      <c r="T51" s="63" t="str" cm="1">
        <f t="array" ref="T51">IFERROR(INDEX(VR!AG$233:AG$242,$M51),"")</f>
        <v/>
      </c>
    </row>
    <row r="52" spans="5:20" ht="24" customHeight="1">
      <c r="E52" s="56">
        <v>3</v>
      </c>
      <c r="F52" s="57" cm="1">
        <f t="array" ref="F52">IFERROR(INDEX(VR!AD$10:AD$19,$E52),"")</f>
        <v>16</v>
      </c>
      <c r="G52" s="84" cm="1">
        <f t="array" ref="G52">IFERROR(INDEX(VR!AE$10:AE$19,$E52),"")</f>
        <v>10</v>
      </c>
      <c r="H52" s="84"/>
      <c r="I52" s="78" cm="1">
        <f t="array" ref="I52">IFERROR(INDEX(VR!AF$10:AF$19,$E52),"")</f>
        <v>2.0106192982974676E-2</v>
      </c>
      <c r="J52" s="78"/>
      <c r="K52" s="30"/>
      <c r="M52" s="56">
        <v>7</v>
      </c>
      <c r="N52" s="57" t="str" cm="1">
        <f t="array" ref="N52">IFERROR(INDEX(VR!AA$233:AA$242,$M52),"")</f>
        <v/>
      </c>
      <c r="O52" s="57" t="str" cm="1">
        <f t="array" ref="O52">IFERROR(INDEX(VR!AB$233:AB$242,$M52),"")</f>
        <v/>
      </c>
      <c r="P52" s="57" t="str" cm="1">
        <f t="array" ref="P52">IFERROR(INDEX(VR!AC$233:AC$242,$M52),"")</f>
        <v/>
      </c>
      <c r="Q52" s="62" t="str" cm="1">
        <f t="array" ref="Q52">IFERROR(INDEX(VR!AD$233:AD$242,$M52),"")</f>
        <v/>
      </c>
      <c r="R52" s="63" t="str" cm="1">
        <f t="array" ref="R52">IFERROR(INDEX(VR!AE$233:AE$242,$M52),"")</f>
        <v/>
      </c>
      <c r="S52" s="63" t="str" cm="1">
        <f t="array" ref="S52">IFERROR(INDEX(VR!AF$233:AF$242,$M52),"")</f>
        <v/>
      </c>
      <c r="T52" s="63" t="str" cm="1">
        <f t="array" ref="T52">IFERROR(INDEX(VR!AG$233:AG$242,$M52),"")</f>
        <v/>
      </c>
    </row>
    <row r="53" spans="5:20" ht="24" customHeight="1">
      <c r="E53" s="56">
        <v>4</v>
      </c>
      <c r="F53" s="57" cm="1">
        <f t="array" ref="F53">IFERROR(INDEX(VR!AD$10:AD$19,$E53),"")</f>
        <v>18</v>
      </c>
      <c r="G53" s="84" cm="1">
        <f t="array" ref="G53">IFERROR(INDEX(VR!AE$10:AE$19,$E53),"")</f>
        <v>10</v>
      </c>
      <c r="H53" s="84"/>
      <c r="I53" s="78" cm="1">
        <f t="array" ref="I53">IFERROR(INDEX(VR!AF$10:AF$19,$E53),"")</f>
        <v>2.5446900494077322E-2</v>
      </c>
      <c r="J53" s="78"/>
      <c r="K53" s="30"/>
      <c r="M53" s="56">
        <v>8</v>
      </c>
      <c r="N53" s="57" t="str" cm="1">
        <f t="array" ref="N53">IFERROR(INDEX(VR!AA$233:AA$242,$M53),"")</f>
        <v/>
      </c>
      <c r="O53" s="57" t="str" cm="1">
        <f t="array" ref="O53">IFERROR(INDEX(VR!AB$233:AB$242,$M53),"")</f>
        <v/>
      </c>
      <c r="P53" s="57" t="str" cm="1">
        <f t="array" ref="P53">IFERROR(INDEX(VR!AC$233:AC$242,$M53),"")</f>
        <v/>
      </c>
      <c r="Q53" s="62" t="str" cm="1">
        <f t="array" ref="Q53">IFERROR(INDEX(VR!AD$233:AD$242,$M53),"")</f>
        <v/>
      </c>
      <c r="R53" s="63" t="str" cm="1">
        <f t="array" ref="R53">IFERROR(INDEX(VR!AE$233:AE$242,$M53),"")</f>
        <v/>
      </c>
      <c r="S53" s="63" t="str" cm="1">
        <f t="array" ref="S53">IFERROR(INDEX(VR!AF$233:AF$242,$M53),"")</f>
        <v/>
      </c>
      <c r="T53" s="63" t="str" cm="1">
        <f t="array" ref="T53">IFERROR(INDEX(VR!AG$233:AG$242,$M53),"")</f>
        <v/>
      </c>
    </row>
    <row r="54" spans="5:20" ht="24" customHeight="1">
      <c r="E54" s="56">
        <v>5</v>
      </c>
      <c r="F54" s="57" cm="1">
        <f t="array" ref="F54">IFERROR(INDEX(VR!AD$10:AD$19,$E54),"")</f>
        <v>20</v>
      </c>
      <c r="G54" s="84" cm="1">
        <f t="array" ref="G54">IFERROR(INDEX(VR!AE$10:AE$19,$E54),"")</f>
        <v>10</v>
      </c>
      <c r="H54" s="84"/>
      <c r="I54" s="78" cm="1">
        <f t="array" ref="I54">IFERROR(INDEX(VR!AF$10:AF$19,$E54),"")</f>
        <v>3.1415926535897934E-2</v>
      </c>
      <c r="J54" s="78"/>
      <c r="K54" s="30"/>
      <c r="M54" s="56">
        <v>9</v>
      </c>
      <c r="N54" s="57" t="str" cm="1">
        <f t="array" ref="N54">IFERROR(INDEX(VR!AA$233:AA$242,$M54),"")</f>
        <v/>
      </c>
      <c r="O54" s="57" t="str" cm="1">
        <f t="array" ref="O54">IFERROR(INDEX(VR!AB$233:AB$242,$M54),"")</f>
        <v/>
      </c>
      <c r="P54" s="57" t="str" cm="1">
        <f t="array" ref="P54">IFERROR(INDEX(VR!AC$233:AC$242,$M54),"")</f>
        <v/>
      </c>
      <c r="Q54" s="62" t="str" cm="1">
        <f t="array" ref="Q54">IFERROR(INDEX(VR!AD$233:AD$242,$M54),"")</f>
        <v/>
      </c>
      <c r="R54" s="63" t="str" cm="1">
        <f t="array" ref="R54">IFERROR(INDEX(VR!AE$233:AE$242,$M54),"")</f>
        <v/>
      </c>
      <c r="S54" s="63" t="str" cm="1">
        <f t="array" ref="S54">IFERROR(INDEX(VR!AF$233:AF$242,$M54),"")</f>
        <v/>
      </c>
      <c r="T54" s="63" t="str" cm="1">
        <f t="array" ref="T54">IFERROR(INDEX(VR!AG$233:AG$242,$M54),"")</f>
        <v/>
      </c>
    </row>
    <row r="55" spans="5:20" ht="24" customHeight="1">
      <c r="E55" s="56">
        <v>6</v>
      </c>
      <c r="F55" s="57" t="str" cm="1">
        <f t="array" ref="F55">IFERROR(INDEX(VR!AD$10:AD$19,$E55),"")</f>
        <v/>
      </c>
      <c r="G55" s="84" t="str" cm="1">
        <f t="array" ref="G55">IFERROR(INDEX(VR!AE$10:AE$19,$E55),"")</f>
        <v/>
      </c>
      <c r="H55" s="84"/>
      <c r="I55" s="78" t="str" cm="1">
        <f t="array" ref="I55">IFERROR(INDEX(VR!AF$10:AF$19,$E55),"")</f>
        <v/>
      </c>
      <c r="J55" s="78"/>
      <c r="K55" s="30"/>
      <c r="M55" s="56">
        <v>10</v>
      </c>
      <c r="N55" s="57" t="str" cm="1">
        <f t="array" ref="N55">IFERROR(INDEX(VR!AA$233:AA$242,$M55),"")</f>
        <v/>
      </c>
      <c r="O55" s="57" t="str" cm="1">
        <f t="array" ref="O55">IFERROR(INDEX(VR!AB$233:AB$242,$M55),"")</f>
        <v/>
      </c>
      <c r="P55" s="57" t="str" cm="1">
        <f t="array" ref="P55">IFERROR(INDEX(VR!AC$233:AC$242,$M55),"")</f>
        <v/>
      </c>
      <c r="Q55" s="62" t="str" cm="1">
        <f t="array" ref="Q55">IFERROR(INDEX(VR!AD$233:AD$242,$M55),"")</f>
        <v/>
      </c>
      <c r="R55" s="63" t="str" cm="1">
        <f t="array" ref="R55">IFERROR(INDEX(VR!AE$233:AE$242,$M55),"")</f>
        <v/>
      </c>
      <c r="S55" s="63" t="str" cm="1">
        <f t="array" ref="S55">IFERROR(INDEX(VR!AF$233:AF$242,$M55),"")</f>
        <v/>
      </c>
      <c r="T55" s="63" t="str" cm="1">
        <f t="array" ref="T55">IFERROR(INDEX(VR!AG$233:AG$242,$M55),"")</f>
        <v/>
      </c>
    </row>
    <row r="56" spans="5:20" ht="24" customHeight="1">
      <c r="E56" s="56">
        <v>7</v>
      </c>
      <c r="F56" s="57" t="str" cm="1">
        <f t="array" ref="F56">IFERROR(INDEX(VR!AD$10:AD$19,$E56),"")</f>
        <v/>
      </c>
      <c r="G56" s="84" t="str" cm="1">
        <f t="array" ref="G56">IFERROR(INDEX(VR!AE$10:AE$19,$E56),"")</f>
        <v/>
      </c>
      <c r="H56" s="84"/>
      <c r="I56" s="78" t="str" cm="1">
        <f t="array" ref="I56">IFERROR(INDEX(VR!AF$10:AF$19,$E56),"")</f>
        <v/>
      </c>
      <c r="J56" s="78"/>
      <c r="K56" s="30"/>
    </row>
    <row r="57" spans="5:20" ht="24" customHeight="1">
      <c r="E57" s="56">
        <v>8</v>
      </c>
      <c r="F57" s="57" t="str" cm="1">
        <f t="array" ref="F57">IFERROR(INDEX(VR!AD$10:AD$19,$E57),"")</f>
        <v/>
      </c>
      <c r="G57" s="84" t="str" cm="1">
        <f t="array" ref="G57">IFERROR(INDEX(VR!AE$10:AE$19,$E57),"")</f>
        <v/>
      </c>
      <c r="H57" s="84"/>
      <c r="I57" s="78" t="str" cm="1">
        <f t="array" ref="I57">IFERROR(INDEX(VR!AF$10:AF$19,$E57),"")</f>
        <v/>
      </c>
      <c r="J57" s="78"/>
      <c r="K57" s="30"/>
    </row>
    <row r="58" spans="5:20" ht="24" customHeight="1">
      <c r="E58" s="56">
        <v>9</v>
      </c>
      <c r="F58" s="57" t="str" cm="1">
        <f t="array" ref="F58">IFERROR(INDEX(VR!AD$10:AD$19,$E58),"")</f>
        <v/>
      </c>
      <c r="G58" s="84" t="str" cm="1">
        <f t="array" ref="G58">IFERROR(INDEX(VR!AE$10:AE$19,$E58),"")</f>
        <v/>
      </c>
      <c r="H58" s="84"/>
      <c r="I58" s="78" t="str" cm="1">
        <f t="array" ref="I58">IFERROR(INDEX(VR!AF$10:AF$19,$E58),"")</f>
        <v/>
      </c>
      <c r="J58" s="78"/>
      <c r="K58" s="30"/>
    </row>
    <row r="59" spans="5:20" ht="24" customHeight="1">
      <c r="E59" s="56">
        <v>10</v>
      </c>
      <c r="F59" s="57" t="str" cm="1">
        <f t="array" ref="F59">IFERROR(INDEX(VR!AD$10:AD$19,$E59),"")</f>
        <v/>
      </c>
      <c r="G59" s="84" t="str" cm="1">
        <f t="array" ref="G59">IFERROR(INDEX(VR!AE$10:AE$19,$E59),"")</f>
        <v/>
      </c>
      <c r="H59" s="84"/>
      <c r="I59" s="78" t="str" cm="1">
        <f t="array" ref="I59">IFERROR(INDEX(VR!AF$10:AF$19,$E59),"")</f>
        <v/>
      </c>
      <c r="J59" s="78"/>
      <c r="K59" s="30"/>
    </row>
    <row r="60" spans="5:20" ht="24" customHeight="1">
      <c r="K60" s="30"/>
    </row>
    <row r="61" spans="5:20" ht="24" customHeight="1">
      <c r="E61" s="27" t="s">
        <v>102</v>
      </c>
      <c r="F61" s="54">
        <v>1</v>
      </c>
      <c r="K61" s="30"/>
    </row>
    <row r="62" spans="5:20" ht="24" customHeight="1">
      <c r="F62" s="67"/>
      <c r="K62" s="30"/>
    </row>
    <row r="63" spans="5:20" ht="24" customHeight="1">
      <c r="E63" s="29" t="s">
        <v>81</v>
      </c>
      <c r="F63" s="12" cm="1">
        <f t="array" ref="F63">INDEX(F50:F59,F61)</f>
        <v>12</v>
      </c>
      <c r="K63" s="30"/>
    </row>
    <row r="64" spans="5:20" ht="24" customHeight="1">
      <c r="E64" s="29" t="s">
        <v>82</v>
      </c>
      <c r="F64" s="12" cm="1">
        <f t="array" ref="F64">INDEX(G50:G59,F61)</f>
        <v>10</v>
      </c>
      <c r="K64" s="30"/>
    </row>
    <row r="65" spans="5:11" ht="24" customHeight="1">
      <c r="K65" s="30"/>
    </row>
    <row r="66" spans="5:11" ht="24" customHeight="1">
      <c r="E66" s="72" t="s">
        <v>127</v>
      </c>
      <c r="F66" s="72"/>
      <c r="G66" s="72"/>
      <c r="H66" s="72"/>
      <c r="I66" s="72"/>
      <c r="J66" s="72"/>
      <c r="K66" s="30"/>
    </row>
    <row r="67" spans="5:11" ht="24" customHeight="1">
      <c r="K67" s="30"/>
    </row>
    <row r="68" spans="5:11" ht="24" customHeight="1">
      <c r="E68" s="32" t="s">
        <v>105</v>
      </c>
      <c r="F68" s="21">
        <v>2.5000000000000001E-3</v>
      </c>
      <c r="K68" s="30"/>
    </row>
    <row r="69" spans="5:11" ht="24" customHeight="1">
      <c r="E69" s="32" t="s">
        <v>104</v>
      </c>
      <c r="F69" s="41">
        <v>0.4</v>
      </c>
      <c r="K69" s="30"/>
    </row>
    <row r="70" spans="5:11" ht="24" customHeight="1">
      <c r="E70" s="32" t="s">
        <v>156</v>
      </c>
      <c r="F70" s="51">
        <f>10*(J35-C16)/(F10*C23)</f>
        <v>-2.9369918155110011E-3</v>
      </c>
      <c r="K70" s="30"/>
    </row>
    <row r="71" spans="5:11" ht="24" customHeight="1">
      <c r="E71" s="32" t="s">
        <v>106</v>
      </c>
      <c r="F71" s="51">
        <f>(F21*(3^0.5)-C16)/(F10*C23)</f>
        <v>6.6592290558983305E-4</v>
      </c>
      <c r="K71" s="30"/>
    </row>
    <row r="72" spans="5:11" ht="24" customHeight="1">
      <c r="E72" s="31" t="s">
        <v>164</v>
      </c>
      <c r="F72" s="51">
        <f>IF(F70&gt;0.4,0.4,MAX(F68,F70,F71))</f>
        <v>2.5000000000000001E-3</v>
      </c>
      <c r="K72" s="30"/>
    </row>
    <row r="73" spans="5:11" ht="24" customHeight="1">
      <c r="E73" s="29" t="s">
        <v>157</v>
      </c>
      <c r="F73" s="7">
        <f>C13</f>
        <v>20</v>
      </c>
      <c r="K73" s="30"/>
    </row>
    <row r="74" spans="5:11" ht="24" customHeight="1">
      <c r="K74" s="30"/>
    </row>
    <row r="75" spans="5:11" ht="24" customHeight="1">
      <c r="E75" s="27" t="s">
        <v>83</v>
      </c>
      <c r="F75" s="52">
        <v>10</v>
      </c>
      <c r="K75" s="30"/>
    </row>
    <row r="76" spans="5:11" ht="24" customHeight="1">
      <c r="E76" s="27" t="s">
        <v>84</v>
      </c>
      <c r="F76" s="52">
        <v>10</v>
      </c>
      <c r="K76" s="30"/>
    </row>
    <row r="77" spans="5:11" ht="24" customHeight="1">
      <c r="E77" s="27" t="s">
        <v>85</v>
      </c>
      <c r="F77" s="53">
        <v>8</v>
      </c>
      <c r="K77" s="30"/>
    </row>
    <row r="78" spans="5:11" ht="24" customHeight="1">
      <c r="K78" s="30"/>
    </row>
    <row r="79" spans="5:11" ht="24" customHeight="1">
      <c r="E79" s="22" t="s">
        <v>80</v>
      </c>
      <c r="F79" s="22" t="s">
        <v>81</v>
      </c>
      <c r="G79" s="82" t="s">
        <v>82</v>
      </c>
      <c r="H79" s="83"/>
      <c r="I79" s="81" t="s">
        <v>101</v>
      </c>
      <c r="J79" s="81"/>
      <c r="K79" s="30"/>
    </row>
    <row r="80" spans="5:11" ht="24" customHeight="1">
      <c r="E80" s="56">
        <v>1</v>
      </c>
      <c r="F80" s="57" cm="1">
        <f t="array" ref="F80">IFERROR(INDEX(VR!AD$125:AD$134,$E80),"")</f>
        <v>8</v>
      </c>
      <c r="G80" s="79" cm="1">
        <f t="array" ref="G80">IFERROR(INDEX(VR!AE$125:AE$134,$E80),"")</f>
        <v>10</v>
      </c>
      <c r="H80" s="80"/>
      <c r="I80" s="78" cm="1">
        <f t="array" ref="I80">IFERROR(INDEX(VR!AF$125:AF$134,$E80),"")</f>
        <v>5.0265482457436689E-3</v>
      </c>
      <c r="J80" s="78"/>
      <c r="K80" s="30"/>
    </row>
    <row r="81" spans="5:11" ht="24" customHeight="1">
      <c r="E81" s="56">
        <v>2</v>
      </c>
      <c r="F81" s="57" cm="1">
        <f t="array" ref="F81">IFERROR(INDEX(VR!AD$125:AD$134,$E81),"")</f>
        <v>10</v>
      </c>
      <c r="G81" s="79" cm="1">
        <f t="array" ref="G81">IFERROR(INDEX(VR!AE$125:AE$134,$E81),"")</f>
        <v>10</v>
      </c>
      <c r="H81" s="80"/>
      <c r="I81" s="78" cm="1">
        <f t="array" ref="I81">IFERROR(INDEX(VR!AF$125:AF$134,$E81),"")</f>
        <v>7.8539816339744835E-3</v>
      </c>
      <c r="J81" s="78"/>
      <c r="K81" s="30"/>
    </row>
    <row r="82" spans="5:11" ht="24" customHeight="1">
      <c r="E82" s="56">
        <v>3</v>
      </c>
      <c r="F82" s="57" cm="1">
        <f t="array" ref="F82">IFERROR(INDEX(VR!AD$125:AD$134,$E82),"")</f>
        <v>12</v>
      </c>
      <c r="G82" s="79" cm="1">
        <f t="array" ref="G82">IFERROR(INDEX(VR!AE$125:AE$134,$E82),"")</f>
        <v>10</v>
      </c>
      <c r="H82" s="80"/>
      <c r="I82" s="78" cm="1">
        <f t="array" ref="I82">IFERROR(INDEX(VR!AF$125:AF$134,$E82),"")</f>
        <v>1.1309733552923255E-2</v>
      </c>
      <c r="J82" s="78"/>
      <c r="K82" s="30"/>
    </row>
    <row r="83" spans="5:11" ht="24" customHeight="1">
      <c r="E83" s="56">
        <v>4</v>
      </c>
      <c r="F83" s="57" cm="1">
        <f t="array" ref="F83">IFERROR(INDEX(VR!AD$125:AD$134,$E83),"")</f>
        <v>14</v>
      </c>
      <c r="G83" s="79" cm="1">
        <f t="array" ref="G83">IFERROR(INDEX(VR!AE$125:AE$134,$E83),"")</f>
        <v>10</v>
      </c>
      <c r="H83" s="80"/>
      <c r="I83" s="78" cm="1">
        <f t="array" ref="I83">IFERROR(INDEX(VR!AF$125:AF$134,$E83),"")</f>
        <v>1.5393804002589986E-2</v>
      </c>
      <c r="J83" s="78"/>
      <c r="K83" s="30"/>
    </row>
    <row r="84" spans="5:11" ht="24" customHeight="1">
      <c r="E84" s="56">
        <v>5</v>
      </c>
      <c r="F84" s="57" cm="1">
        <f t="array" ref="F84">IFERROR(INDEX(VR!AD$125:AD$134,$E84),"")</f>
        <v>16</v>
      </c>
      <c r="G84" s="79" cm="1">
        <f t="array" ref="G84">IFERROR(INDEX(VR!AE$125:AE$134,$E84),"")</f>
        <v>10</v>
      </c>
      <c r="H84" s="80"/>
      <c r="I84" s="78" cm="1">
        <f t="array" ref="I84">IFERROR(INDEX(VR!AF$125:AF$134,$E84),"")</f>
        <v>2.0106192982974676E-2</v>
      </c>
      <c r="J84" s="78"/>
      <c r="K84" s="30"/>
    </row>
    <row r="85" spans="5:11" ht="24" customHeight="1">
      <c r="E85" s="56">
        <v>6</v>
      </c>
      <c r="F85" s="57" cm="1">
        <f t="array" ref="F85">IFERROR(INDEX(VR!AD$125:AD$134,$E85),"")</f>
        <v>18</v>
      </c>
      <c r="G85" s="79" cm="1">
        <f t="array" ref="G85">IFERROR(INDEX(VR!AE$125:AE$134,$E85),"")</f>
        <v>10</v>
      </c>
      <c r="H85" s="80"/>
      <c r="I85" s="78" cm="1">
        <f t="array" ref="I85">IFERROR(INDEX(VR!AF$125:AF$134,$E85),"")</f>
        <v>2.5446900494077322E-2</v>
      </c>
      <c r="J85" s="78"/>
      <c r="K85" s="30"/>
    </row>
    <row r="86" spans="5:11" ht="24" customHeight="1">
      <c r="E86" s="56">
        <v>7</v>
      </c>
      <c r="F86" s="57" cm="1">
        <f t="array" ref="F86">IFERROR(INDEX(VR!AD$125:AD$134,$E86),"")</f>
        <v>20</v>
      </c>
      <c r="G86" s="79" cm="1">
        <f t="array" ref="G86">IFERROR(INDEX(VR!AE$125:AE$134,$E86),"")</f>
        <v>10</v>
      </c>
      <c r="H86" s="80"/>
      <c r="I86" s="78" cm="1">
        <f t="array" ref="I86">IFERROR(INDEX(VR!AF$125:AF$134,$E86),"")</f>
        <v>3.1415926535897934E-2</v>
      </c>
      <c r="J86" s="78"/>
      <c r="K86" s="30"/>
    </row>
    <row r="87" spans="5:11" ht="24" customHeight="1">
      <c r="E87" s="56">
        <v>8</v>
      </c>
      <c r="F87" s="57" t="str" cm="1">
        <f t="array" ref="F87">IFERROR(INDEX(VR!AD$125:AD$134,$E87),"")</f>
        <v/>
      </c>
      <c r="G87" s="79" t="str" cm="1">
        <f t="array" ref="G87">IFERROR(INDEX(VR!AE$125:AE$134,$E87),"")</f>
        <v/>
      </c>
      <c r="H87" s="80"/>
      <c r="I87" s="78" t="str" cm="1">
        <f t="array" ref="I87">IFERROR(INDEX(VR!AF$125:AF$134,$E87),"")</f>
        <v/>
      </c>
      <c r="J87" s="78"/>
      <c r="K87" s="30"/>
    </row>
    <row r="88" spans="5:11" ht="24" customHeight="1">
      <c r="E88" s="56">
        <v>9</v>
      </c>
      <c r="F88" s="57" t="str" cm="1">
        <f t="array" ref="F88">IFERROR(INDEX(VR!AD$125:AD$134,$E88),"")</f>
        <v/>
      </c>
      <c r="G88" s="79" t="str" cm="1">
        <f t="array" ref="G88">IFERROR(INDEX(VR!AE$125:AE$134,$E88),"")</f>
        <v/>
      </c>
      <c r="H88" s="80"/>
      <c r="I88" s="78" t="str" cm="1">
        <f t="array" ref="I88">IFERROR(INDEX(VR!AF$125:AF$134,$E88),"")</f>
        <v/>
      </c>
      <c r="J88" s="78"/>
      <c r="K88" s="30"/>
    </row>
    <row r="89" spans="5:11" ht="24" customHeight="1">
      <c r="E89" s="56">
        <v>10</v>
      </c>
      <c r="F89" s="57" t="str" cm="1">
        <f t="array" ref="F89">IFERROR(INDEX(VR!AD$125:AD$134,$E89),"")</f>
        <v/>
      </c>
      <c r="G89" s="79" t="str" cm="1">
        <f t="array" ref="G89">IFERROR(INDEX(VR!AE$125:AE$134,$E89),"")</f>
        <v/>
      </c>
      <c r="H89" s="80"/>
      <c r="I89" s="78" t="str" cm="1">
        <f t="array" ref="I89">IFERROR(INDEX(VR!AF$125:AF$134,$E89),"")</f>
        <v/>
      </c>
      <c r="J89" s="78"/>
      <c r="K89" s="30"/>
    </row>
    <row r="90" spans="5:11" ht="24" customHeight="1">
      <c r="K90" s="30"/>
    </row>
    <row r="91" spans="5:11" ht="24" customHeight="1">
      <c r="E91" s="27" t="s">
        <v>102</v>
      </c>
      <c r="F91" s="54">
        <v>1</v>
      </c>
      <c r="K91" s="30"/>
    </row>
    <row r="92" spans="5:11" ht="24" customHeight="1">
      <c r="F92" s="67"/>
      <c r="K92" s="30"/>
    </row>
    <row r="93" spans="5:11" ht="24" customHeight="1">
      <c r="E93" s="29" t="s">
        <v>81</v>
      </c>
      <c r="F93" s="12" cm="1">
        <f t="array" ref="F93">INDEX(F80:F89,F91)</f>
        <v>8</v>
      </c>
      <c r="K93" s="30"/>
    </row>
    <row r="94" spans="5:11" ht="24" customHeight="1">
      <c r="E94" s="29" t="s">
        <v>82</v>
      </c>
      <c r="F94" s="12" cm="1">
        <f t="array" ref="F94">INDEX(G80:G89,F91)</f>
        <v>10</v>
      </c>
      <c r="K94" s="30"/>
    </row>
    <row r="95" spans="5:11" ht="24" customHeight="1"/>
    <row r="96" spans="5:11" ht="24" customHeight="1"/>
    <row r="97" spans="2:2" ht="24" customHeight="1"/>
    <row r="98" spans="2:2" ht="24" customHeight="1"/>
    <row r="99" spans="2:2" ht="24" customHeight="1"/>
    <row r="100" spans="2:2" ht="24" customHeight="1"/>
    <row r="101" spans="2:2" ht="24" customHeight="1">
      <c r="B101" s="64" t="s">
        <v>162</v>
      </c>
    </row>
    <row r="102" spans="2:2" ht="24" customHeight="1"/>
  </sheetData>
  <sheetProtection algorithmName="SHA-512" hashValue="a5Tm8wPYCxGS86BZtn9KSti6AoIQYp4mG0Ul0SZlIJlwa6ShSUeMF8EOj+7opzomUI4OFL8CHRjhHeE3TeC3bg==" saltValue="yDNTPXW6hhe0f++d+mhHNg==" spinCount="100000" sheet="1" objects="1" scenarios="1" selectLockedCells="1"/>
  <mergeCells count="85">
    <mergeCell ref="M43:N43"/>
    <mergeCell ref="M37:N37"/>
    <mergeCell ref="M38:N38"/>
    <mergeCell ref="M40:N40"/>
    <mergeCell ref="M41:N41"/>
    <mergeCell ref="M42:N42"/>
    <mergeCell ref="M31:O31"/>
    <mergeCell ref="M33:N33"/>
    <mergeCell ref="M34:N34"/>
    <mergeCell ref="M36:N36"/>
    <mergeCell ref="H33:I33"/>
    <mergeCell ref="H34:I34"/>
    <mergeCell ref="H35:I35"/>
    <mergeCell ref="H32:I32"/>
    <mergeCell ref="M29:T29"/>
    <mergeCell ref="M10:N10"/>
    <mergeCell ref="M12:N12"/>
    <mergeCell ref="M11:N11"/>
    <mergeCell ref="M15:N15"/>
    <mergeCell ref="M16:N16"/>
    <mergeCell ref="M27:N27"/>
    <mergeCell ref="M26:N26"/>
    <mergeCell ref="M25:N25"/>
    <mergeCell ref="M23:N23"/>
    <mergeCell ref="M22:N22"/>
    <mergeCell ref="M21:N21"/>
    <mergeCell ref="M20:N20"/>
    <mergeCell ref="M19:N19"/>
    <mergeCell ref="M18:N18"/>
    <mergeCell ref="G86:H86"/>
    <mergeCell ref="I80:J80"/>
    <mergeCell ref="I81:J81"/>
    <mergeCell ref="I82:J82"/>
    <mergeCell ref="I56:J56"/>
    <mergeCell ref="I57:J57"/>
    <mergeCell ref="I58:J58"/>
    <mergeCell ref="I59:J59"/>
    <mergeCell ref="I79:J79"/>
    <mergeCell ref="E66:J66"/>
    <mergeCell ref="G58:H58"/>
    <mergeCell ref="G59:H59"/>
    <mergeCell ref="G85:H85"/>
    <mergeCell ref="E37:J37"/>
    <mergeCell ref="G55:H55"/>
    <mergeCell ref="G56:H56"/>
    <mergeCell ref="G57:H57"/>
    <mergeCell ref="G49:H49"/>
    <mergeCell ref="G53:H53"/>
    <mergeCell ref="G54:H54"/>
    <mergeCell ref="G50:H50"/>
    <mergeCell ref="G51:H51"/>
    <mergeCell ref="G52:H52"/>
    <mergeCell ref="G89:H89"/>
    <mergeCell ref="I49:J49"/>
    <mergeCell ref="I50:J50"/>
    <mergeCell ref="I51:J51"/>
    <mergeCell ref="I52:J52"/>
    <mergeCell ref="I53:J53"/>
    <mergeCell ref="I54:J54"/>
    <mergeCell ref="I55:J55"/>
    <mergeCell ref="G87:H87"/>
    <mergeCell ref="G88:H88"/>
    <mergeCell ref="G79:H79"/>
    <mergeCell ref="G80:H80"/>
    <mergeCell ref="G81:H81"/>
    <mergeCell ref="G82:H82"/>
    <mergeCell ref="G83:H83"/>
    <mergeCell ref="G84:H84"/>
    <mergeCell ref="I88:J88"/>
    <mergeCell ref="I89:J89"/>
    <mergeCell ref="I83:J83"/>
    <mergeCell ref="I84:J84"/>
    <mergeCell ref="I85:J85"/>
    <mergeCell ref="I86:J86"/>
    <mergeCell ref="I87:J87"/>
    <mergeCell ref="B2:T4"/>
    <mergeCell ref="B6:C6"/>
    <mergeCell ref="E8:J8"/>
    <mergeCell ref="E26:J26"/>
    <mergeCell ref="E6:J6"/>
    <mergeCell ref="M6:T6"/>
    <mergeCell ref="M8:O8"/>
    <mergeCell ref="H18:I18"/>
    <mergeCell ref="H19:I19"/>
    <mergeCell ref="M13:N13"/>
  </mergeCells>
  <conditionalFormatting sqref="F24 O13">
    <cfRule type="expression" dxfId="6" priority="20">
      <formula>IF(F13="לא",1,0)</formula>
    </cfRule>
  </conditionalFormatting>
  <conditionalFormatting sqref="E50:E59">
    <cfRule type="colorScale" priority="19">
      <colorScale>
        <cfvo type="min"/>
        <cfvo type="percentile" val="50"/>
        <cfvo type="max"/>
        <color rgb="FF008A3E"/>
        <color rgb="FFFFC000"/>
        <color rgb="FF8A0000"/>
      </colorScale>
    </cfRule>
  </conditionalFormatting>
  <conditionalFormatting sqref="F50:G59 F80:G89 I50:I59 I80:I89">
    <cfRule type="expression" dxfId="5" priority="18">
      <formula>IF(F50="",1,0)</formula>
    </cfRule>
  </conditionalFormatting>
  <conditionalFormatting sqref="E80:E89">
    <cfRule type="colorScale" priority="15">
      <colorScale>
        <cfvo type="min"/>
        <cfvo type="percentile" val="50"/>
        <cfvo type="max"/>
        <color rgb="FF008A3E"/>
        <color rgb="FFFFC000"/>
        <color rgb="FF8A0000"/>
      </colorScale>
    </cfRule>
  </conditionalFormatting>
  <conditionalFormatting sqref="M46:M55">
    <cfRule type="colorScale" priority="7">
      <colorScale>
        <cfvo type="min"/>
        <cfvo type="percentile" val="50"/>
        <cfvo type="max"/>
        <color rgb="FF008A3E"/>
        <color rgb="FFFFC000"/>
        <color rgb="FF8A0000"/>
      </colorScale>
    </cfRule>
  </conditionalFormatting>
  <conditionalFormatting sqref="N46:T55">
    <cfRule type="expression" dxfId="4" priority="6">
      <formula>IF(N46="",1,0)</formula>
    </cfRule>
  </conditionalFormatting>
  <conditionalFormatting sqref="E18:E19 E12:E16">
    <cfRule type="expression" dxfId="3" priority="5">
      <formula>IF($C$10="נמוכה",1,0)</formula>
    </cfRule>
  </conditionalFormatting>
  <conditionalFormatting sqref="H18:I19">
    <cfRule type="expression" dxfId="2" priority="3">
      <formula>IF($C$10="נמוכה",0,1)</formula>
    </cfRule>
  </conditionalFormatting>
  <conditionalFormatting sqref="F18:F19 F12:F16">
    <cfRule type="expression" dxfId="1" priority="2">
      <formula>IF($C$10="נמוכה",1,0)</formula>
    </cfRule>
  </conditionalFormatting>
  <conditionalFormatting sqref="J18:J19">
    <cfRule type="expression" dxfId="0" priority="1">
      <formula>IF($C$10="נמוכה",0,1)</formula>
    </cfRule>
  </conditionalFormatting>
  <dataValidations count="4">
    <dataValidation type="whole" operator="greaterThanOrEqual" showInputMessage="1" showErrorMessage="1" sqref="C12" xr:uid="{A1E4EFE0-4E8F-45FD-9354-F165F468C8BB}">
      <formula1>1</formula1>
    </dataValidation>
    <dataValidation type="list" showInputMessage="1" showErrorMessage="1" sqref="F61 F91" xr:uid="{E4A4B068-A12F-4568-B241-5DF021459ADE}">
      <formula1>$E$50:$E$59</formula1>
    </dataValidation>
    <dataValidation type="whole" operator="greaterThan" showInputMessage="1" showErrorMessage="1" sqref="O43" xr:uid="{144BC64E-75C1-410B-81A7-305059405B0C}">
      <formula1>0</formula1>
    </dataValidation>
    <dataValidation type="decimal" showInputMessage="1" showErrorMessage="1" sqref="O38" xr:uid="{30DE59AD-E9C5-43D2-A096-334DC12F7B3E}">
      <formula1>0</formula1>
      <formula2>C14</formula2>
    </dataValidation>
  </dataValidations>
  <pageMargins left="0.7" right="0.7" top="0.75" bottom="0.75" header="0.3" footer="0.3"/>
  <pageSetup orientation="portrait" r:id="rId1"/>
  <drawing r:id="rId2"/>
  <legacyDrawing r:id="rId3"/>
  <picture r:id="rId4"/>
  <extLst>
    <ext xmlns:x14="http://schemas.microsoft.com/office/spreadsheetml/2009/9/main" uri="{CCE6A557-97BC-4b89-ADB6-D9C93CAAB3DF}">
      <x14:dataValidations xmlns:xm="http://schemas.microsoft.com/office/excel/2006/main" count="11">
        <x14:dataValidation type="list" showInputMessage="1" showErrorMessage="1" xr:uid="{175934E6-F9BC-48B3-BE7D-3D35AB85FD9C}">
          <x14:formula1>
            <xm:f>'S2'!$D$2:$I$2</xm:f>
          </x14:formula1>
          <xm:sqref>C8</xm:sqref>
        </x14:dataValidation>
        <x14:dataValidation type="list" showInputMessage="1" showErrorMessage="1" xr:uid="{0F55BE58-C451-468F-A611-78B3D1C9CC35}">
          <x14:formula1>
            <xm:f>'S2'!$L$2:$N$2</xm:f>
          </x14:formula1>
          <xm:sqref>C9</xm:sqref>
        </x14:dataValidation>
        <x14:dataValidation type="list" showInputMessage="1" showErrorMessage="1" xr:uid="{5111EE50-079B-4C91-A6C2-E38A44ABD52C}">
          <x14:formula1>
            <xm:f>'S2'!$P$2:$P$4</xm:f>
          </x14:formula1>
          <xm:sqref>C10</xm:sqref>
        </x14:dataValidation>
        <x14:dataValidation type="list" showInputMessage="1" showErrorMessage="1" xr:uid="{91B53BC0-98AC-42D8-8960-6605DC938FEF}">
          <x14:formula1>
            <xm:f>'S2'!$C$3:$C$5</xm:f>
          </x14:formula1>
          <xm:sqref>C19</xm:sqref>
        </x14:dataValidation>
        <x14:dataValidation type="list" showInputMessage="1" showErrorMessage="1" xr:uid="{3ABE2019-5AE2-483B-B79F-96DEE35C7A26}">
          <x14:formula1>
            <xm:f>'S2'!$Q$2:$Q$3</xm:f>
          </x14:formula1>
          <xm:sqref>C20</xm:sqref>
        </x14:dataValidation>
        <x14:dataValidation type="list" showInputMessage="1" showErrorMessage="1" xr:uid="{C5A651BA-E7D2-4DC4-A578-FFAE42C24EF1}">
          <x14:formula1>
            <xm:f>'S2'!$K$7:$K$10</xm:f>
          </x14:formula1>
          <xm:sqref>C11</xm:sqref>
        </x14:dataValidation>
        <x14:dataValidation type="list" showInputMessage="1" showErrorMessage="1" xr:uid="{00D47458-3478-4953-8FC6-F1575EFC719B}">
          <x14:formula1>
            <xm:f>VR!$J$2:$J$21</xm:f>
          </x14:formula1>
          <xm:sqref>F47 F77</xm:sqref>
        </x14:dataValidation>
        <x14:dataValidation type="list" showInputMessage="1" showErrorMessage="1" xr:uid="{034203BF-673C-4412-AD7E-97838C8288BF}">
          <x14:formula1>
            <xm:f>VR!$K$2:$K$4</xm:f>
          </x14:formula1>
          <xm:sqref>F75:F76</xm:sqref>
        </x14:dataValidation>
        <x14:dataValidation type="list" showInputMessage="1" showErrorMessage="1" xr:uid="{DBE73A39-9D69-44AC-9F51-3FA88EB0AE3A}">
          <x14:formula1>
            <xm:f>IF($C$20="רגיש",VR!$K$2:$K$4,VR!$K$2:$K$6)</xm:f>
          </x14:formula1>
          <xm:sqref>F45:F46</xm:sqref>
        </x14:dataValidation>
        <x14:dataValidation type="list" showInputMessage="1" showErrorMessage="1" xr:uid="{99709A7C-A6E5-4BAF-8650-7F95DD1A061D}">
          <x14:formula1>
            <xm:f>VR!$AL$233:$AL$252</xm:f>
          </x14:formula1>
          <xm:sqref>O36</xm:sqref>
        </x14:dataValidation>
        <x14:dataValidation type="list" showInputMessage="1" showErrorMessage="1" xr:uid="{FE418BA6-92DB-4BD6-AACF-2335CBA2CCB2}">
          <x14:formula1>
            <xm:f>VR!$B$233:$B$282</xm:f>
          </x14:formula1>
          <xm:sqref>O37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1D93D-D618-4AF2-A894-DB46A26AFE94}">
  <sheetPr codeName="Sheet1"/>
  <dimension ref="A1:AL1232"/>
  <sheetViews>
    <sheetView rightToLeft="1" zoomScale="70" zoomScaleNormal="70" workbookViewId="0">
      <selection activeCell="W235" sqref="W235"/>
    </sheetView>
  </sheetViews>
  <sheetFormatPr defaultRowHeight="16.8"/>
  <cols>
    <col min="5" max="5" width="22" bestFit="1" customWidth="1"/>
    <col min="6" max="6" width="10.5" bestFit="1" customWidth="1"/>
    <col min="12" max="12" width="10.59765625" bestFit="1" customWidth="1"/>
    <col min="15" max="15" width="25.69921875" bestFit="1" customWidth="1"/>
    <col min="31" max="31" width="25.69921875" bestFit="1" customWidth="1"/>
  </cols>
  <sheetData>
    <row r="1" spans="1:32">
      <c r="B1">
        <v>10</v>
      </c>
      <c r="C1">
        <v>15</v>
      </c>
      <c r="D1">
        <v>20</v>
      </c>
      <c r="E1">
        <v>25</v>
      </c>
      <c r="F1">
        <v>30</v>
      </c>
      <c r="H1" t="s">
        <v>88</v>
      </c>
    </row>
    <row r="2" spans="1:32">
      <c r="A2">
        <v>8</v>
      </c>
      <c r="B2">
        <f>0.5*PI()*($A2^2)/($H$2*B$1)</f>
        <v>0.50265482457436694</v>
      </c>
      <c r="C2">
        <f t="shared" ref="C2:F17" si="0">0.5*PI()*($A2^2)/($H$2*C$1)</f>
        <v>0.33510321638291124</v>
      </c>
      <c r="D2">
        <f t="shared" si="0"/>
        <v>0.25132741228718347</v>
      </c>
      <c r="E2">
        <f t="shared" si="0"/>
        <v>0.20106192982974677</v>
      </c>
      <c r="F2">
        <f t="shared" si="0"/>
        <v>0.16755160819145562</v>
      </c>
      <c r="H2" s="23">
        <f>'מסך ראשי'!C13</f>
        <v>20</v>
      </c>
      <c r="J2" s="18">
        <v>8</v>
      </c>
      <c r="K2" s="4">
        <v>10</v>
      </c>
      <c r="O2" s="96" t="s">
        <v>103</v>
      </c>
      <c r="Q2" t="s">
        <v>90</v>
      </c>
      <c r="V2" t="s">
        <v>91</v>
      </c>
    </row>
    <row r="3" spans="1:32">
      <c r="A3">
        <v>10</v>
      </c>
      <c r="B3">
        <f t="shared" ref="B3:F21" si="1">0.5*PI()*($A3^2)/($H$2*B$1)</f>
        <v>0.78539816339744828</v>
      </c>
      <c r="C3">
        <f t="shared" si="0"/>
        <v>0.52359877559829893</v>
      </c>
      <c r="D3">
        <f t="shared" si="0"/>
        <v>0.39269908169872414</v>
      </c>
      <c r="E3">
        <f t="shared" si="0"/>
        <v>0.31415926535897931</v>
      </c>
      <c r="F3">
        <f t="shared" si="0"/>
        <v>0.26179938779914946</v>
      </c>
      <c r="J3" s="18">
        <v>10</v>
      </c>
      <c r="K3" s="4">
        <v>15</v>
      </c>
      <c r="O3" s="96"/>
    </row>
    <row r="4" spans="1:32">
      <c r="A4">
        <v>12</v>
      </c>
      <c r="B4">
        <f t="shared" si="1"/>
        <v>1.1309733552923256</v>
      </c>
      <c r="C4">
        <f t="shared" si="0"/>
        <v>0.7539822368615503</v>
      </c>
      <c r="D4">
        <f t="shared" si="0"/>
        <v>0.56548667764616278</v>
      </c>
      <c r="E4">
        <f t="shared" si="0"/>
        <v>0.45238934211693022</v>
      </c>
      <c r="F4">
        <f t="shared" si="0"/>
        <v>0.37699111843077515</v>
      </c>
      <c r="J4" s="18">
        <v>12</v>
      </c>
      <c r="K4" s="4">
        <v>20</v>
      </c>
      <c r="O4" s="96"/>
    </row>
    <row r="5" spans="1:32">
      <c r="A5">
        <v>14</v>
      </c>
      <c r="B5">
        <f t="shared" si="1"/>
        <v>1.5393804002589986</v>
      </c>
      <c r="C5">
        <f t="shared" si="0"/>
        <v>1.0262536001726656</v>
      </c>
      <c r="D5">
        <f t="shared" si="0"/>
        <v>0.76969020012949929</v>
      </c>
      <c r="E5">
        <f t="shared" si="0"/>
        <v>0.61575216010359946</v>
      </c>
      <c r="F5">
        <f t="shared" si="0"/>
        <v>0.51312680008633282</v>
      </c>
      <c r="J5" s="18">
        <v>14</v>
      </c>
      <c r="K5" s="4">
        <v>25</v>
      </c>
      <c r="O5" s="96"/>
      <c r="Q5" s="95" t="s">
        <v>94</v>
      </c>
      <c r="R5" s="95"/>
      <c r="T5" s="95" t="s">
        <v>95</v>
      </c>
      <c r="U5" s="95"/>
      <c r="W5" s="95" t="s">
        <v>96</v>
      </c>
      <c r="X5" s="95"/>
    </row>
    <row r="6" spans="1:32">
      <c r="A6">
        <v>16</v>
      </c>
      <c r="B6">
        <f t="shared" si="1"/>
        <v>2.0106192982974678</v>
      </c>
      <c r="C6">
        <f t="shared" si="0"/>
        <v>1.340412865531645</v>
      </c>
      <c r="D6">
        <f t="shared" si="0"/>
        <v>1.0053096491487339</v>
      </c>
      <c r="E6">
        <f t="shared" si="0"/>
        <v>0.80424771931898709</v>
      </c>
      <c r="F6">
        <f t="shared" si="0"/>
        <v>0.67020643276582248</v>
      </c>
      <c r="J6" s="18">
        <v>16</v>
      </c>
      <c r="K6" s="4">
        <v>30</v>
      </c>
      <c r="O6" s="96"/>
      <c r="Q6">
        <f>'מסך ראשי'!F42</f>
        <v>1.0634436755917569E-2</v>
      </c>
      <c r="R6" t="s">
        <v>92</v>
      </c>
      <c r="T6" s="26">
        <f>'מסך ראשי'!F47</f>
        <v>8</v>
      </c>
      <c r="U6" t="s">
        <v>92</v>
      </c>
      <c r="W6">
        <f>'מסך ראשי'!F45</f>
        <v>10</v>
      </c>
      <c r="X6" t="s">
        <v>92</v>
      </c>
      <c r="AA6" t="s">
        <v>99</v>
      </c>
    </row>
    <row r="7" spans="1:32">
      <c r="A7">
        <v>18</v>
      </c>
      <c r="B7">
        <f t="shared" si="1"/>
        <v>2.5446900494077322</v>
      </c>
      <c r="C7">
        <f t="shared" si="0"/>
        <v>1.6964600329384882</v>
      </c>
      <c r="D7">
        <f t="shared" si="0"/>
        <v>1.2723450247038661</v>
      </c>
      <c r="E7">
        <f t="shared" si="0"/>
        <v>1.0178760197630929</v>
      </c>
      <c r="F7">
        <f t="shared" si="0"/>
        <v>0.84823001646924412</v>
      </c>
      <c r="J7" s="18">
        <v>18</v>
      </c>
      <c r="O7" s="96"/>
      <c r="Q7">
        <f>'מסך ראשי'!F40</f>
        <v>0.4</v>
      </c>
      <c r="R7" t="s">
        <v>93</v>
      </c>
      <c r="T7" s="26">
        <f>'מסך ראשי'!F43</f>
        <v>20</v>
      </c>
      <c r="U7" t="s">
        <v>93</v>
      </c>
      <c r="W7">
        <f>'מסך ראשי'!F46</f>
        <v>10</v>
      </c>
      <c r="X7" t="s">
        <v>93</v>
      </c>
      <c r="AA7" t="s">
        <v>100</v>
      </c>
    </row>
    <row r="8" spans="1:32">
      <c r="A8">
        <v>20</v>
      </c>
      <c r="B8">
        <f t="shared" si="1"/>
        <v>3.1415926535897931</v>
      </c>
      <c r="C8">
        <f t="shared" si="0"/>
        <v>2.0943951023931957</v>
      </c>
      <c r="D8">
        <f t="shared" si="0"/>
        <v>1.5707963267948966</v>
      </c>
      <c r="E8">
        <f t="shared" si="0"/>
        <v>1.2566370614359172</v>
      </c>
      <c r="F8">
        <f t="shared" si="0"/>
        <v>1.0471975511965979</v>
      </c>
      <c r="J8" s="18">
        <v>20</v>
      </c>
    </row>
    <row r="9" spans="1:32">
      <c r="A9">
        <v>22</v>
      </c>
      <c r="B9">
        <f t="shared" si="1"/>
        <v>3.8013271108436499</v>
      </c>
      <c r="C9">
        <f t="shared" si="0"/>
        <v>2.5342180738957665</v>
      </c>
      <c r="D9">
        <f t="shared" si="0"/>
        <v>1.900663555421825</v>
      </c>
      <c r="E9">
        <f t="shared" si="0"/>
        <v>1.5205308443374599</v>
      </c>
      <c r="F9">
        <f t="shared" si="0"/>
        <v>1.2671090369478832</v>
      </c>
      <c r="J9" s="18">
        <v>22</v>
      </c>
      <c r="Q9" s="25" t="s">
        <v>87</v>
      </c>
      <c r="R9" s="25" t="s">
        <v>86</v>
      </c>
      <c r="S9" s="25" t="s">
        <v>79</v>
      </c>
      <c r="T9" s="25" t="s">
        <v>89</v>
      </c>
      <c r="V9" s="25" t="s">
        <v>87</v>
      </c>
      <c r="W9" s="25" t="s">
        <v>86</v>
      </c>
      <c r="X9" s="25" t="s">
        <v>79</v>
      </c>
      <c r="Y9" s="25" t="s">
        <v>89</v>
      </c>
      <c r="AA9" s="28" t="s">
        <v>98</v>
      </c>
      <c r="AC9" s="25" t="s">
        <v>87</v>
      </c>
      <c r="AD9" s="25" t="s">
        <v>86</v>
      </c>
      <c r="AE9" s="25" t="s">
        <v>79</v>
      </c>
      <c r="AF9" s="25" t="s">
        <v>89</v>
      </c>
    </row>
    <row r="10" spans="1:32">
      <c r="A10">
        <v>24</v>
      </c>
      <c r="B10">
        <f t="shared" si="1"/>
        <v>4.5238934211693023</v>
      </c>
      <c r="C10">
        <f t="shared" si="0"/>
        <v>3.0159289474462012</v>
      </c>
      <c r="D10">
        <f t="shared" si="0"/>
        <v>2.2619467105846511</v>
      </c>
      <c r="E10">
        <f t="shared" si="0"/>
        <v>1.8095573684677209</v>
      </c>
      <c r="F10">
        <f t="shared" si="0"/>
        <v>1.5079644737231006</v>
      </c>
      <c r="J10" s="18">
        <v>24</v>
      </c>
      <c r="Q10" s="18">
        <v>1</v>
      </c>
      <c r="R10" s="24">
        <v>8</v>
      </c>
      <c r="S10" s="4">
        <v>10</v>
      </c>
      <c r="T10" s="3">
        <f>0.5*PI()*(R10^2)/($H$2*S10*100)</f>
        <v>5.0265482457436689E-3</v>
      </c>
      <c r="V10" s="18">
        <f>INDEX(Q$10:Q$109,MATCH($Y10,$T$10:$T$109,0))</f>
        <v>81</v>
      </c>
      <c r="W10" s="24">
        <f t="shared" ref="W10:X10" si="2">INDEX(R$10:R$109,MATCH($Y10,$T$10:$T$109,0))</f>
        <v>8</v>
      </c>
      <c r="X10" s="4">
        <f t="shared" si="2"/>
        <v>30</v>
      </c>
      <c r="Y10" s="3">
        <f>SMALL(T$10:T$109,Q10)</f>
        <v>1.6755160819145562E-3</v>
      </c>
      <c r="AA10" s="3" t="str">
        <f t="shared" ref="AA10:AA73" si="3">IF(AND(IF(Y10&lt;$Q$6,0,IF(Y10&gt;$Q$7,0,1)),IF(W10&lt;$T$6,0,IF(W10&gt;$T$7,0,1)),IF(X10&lt;$W$6,0,IF(X10&gt;$W$7,0,1))),Q10,"")</f>
        <v/>
      </c>
      <c r="AC10" s="18">
        <f>SMALL(AA$10:AA$109,Q10)</f>
        <v>25</v>
      </c>
      <c r="AD10" s="24" cm="1">
        <f t="array" ref="AD10">INDEX(W$10:W$109,$AC10)</f>
        <v>12</v>
      </c>
      <c r="AE10" s="4" cm="1">
        <f t="array" ref="AE10">INDEX(X$10:X$109,$AC10)</f>
        <v>10</v>
      </c>
      <c r="AF10" s="3" cm="1">
        <f t="array" ref="AF10">INDEX(Y$10:Y$109,$AC10)</f>
        <v>1.1309733552923255E-2</v>
      </c>
    </row>
    <row r="11" spans="1:32">
      <c r="A11">
        <v>25</v>
      </c>
      <c r="B11">
        <f t="shared" si="1"/>
        <v>4.908738521234052</v>
      </c>
      <c r="C11">
        <f t="shared" si="0"/>
        <v>3.2724923474893681</v>
      </c>
      <c r="D11">
        <f t="shared" si="0"/>
        <v>2.454369260617026</v>
      </c>
      <c r="E11">
        <f t="shared" si="0"/>
        <v>1.9634954084936207</v>
      </c>
      <c r="F11">
        <f t="shared" si="0"/>
        <v>1.6362461737446841</v>
      </c>
      <c r="J11" s="18">
        <v>25</v>
      </c>
      <c r="Q11" s="18">
        <v>2</v>
      </c>
      <c r="R11" s="24">
        <v>10</v>
      </c>
      <c r="S11" s="4">
        <v>10</v>
      </c>
      <c r="T11" s="3">
        <f t="shared" ref="T11:T74" si="4">0.5*PI()*(R11^2)/($H$2*S11*100)</f>
        <v>7.8539816339744835E-3</v>
      </c>
      <c r="V11" s="18">
        <f t="shared" ref="V11:V74" si="5">INDEX(Q$10:Q$109,MATCH($Y11,$T$10:$T$109,0))</f>
        <v>61</v>
      </c>
      <c r="W11" s="24">
        <f t="shared" ref="W11:W74" si="6">INDEX(R$10:R$109,MATCH($Y11,$T$10:$T$109,0))</f>
        <v>8</v>
      </c>
      <c r="X11" s="4">
        <f t="shared" ref="X11:X74" si="7">INDEX(S$10:S$109,MATCH($Y11,$T$10:$T$109,0))</f>
        <v>25</v>
      </c>
      <c r="Y11" s="3">
        <f t="shared" ref="Y11:Y74" si="8">SMALL(T$10:T$109,Q11)</f>
        <v>2.0106192982974674E-3</v>
      </c>
      <c r="AA11" s="3" t="str">
        <f t="shared" si="3"/>
        <v/>
      </c>
      <c r="AC11" s="18">
        <f t="shared" ref="AC11:AC19" si="9">SMALL(AA$10:AA$109,Q11)</f>
        <v>32</v>
      </c>
      <c r="AD11" s="24" cm="1">
        <f t="array" ref="AD11">INDEX(W$10:W$109,$AC11)</f>
        <v>14</v>
      </c>
      <c r="AE11" s="4" cm="1">
        <f t="array" ref="AE11">INDEX(X$10:X$109,$AC11)</f>
        <v>10</v>
      </c>
      <c r="AF11" s="3" cm="1">
        <f t="array" ref="AF11">INDEX(Y$10:Y$109,$AC11)</f>
        <v>1.5393804002589986E-2</v>
      </c>
    </row>
    <row r="12" spans="1:32">
      <c r="A12">
        <v>26</v>
      </c>
      <c r="B12">
        <f t="shared" si="1"/>
        <v>5.3092915845667505</v>
      </c>
      <c r="C12">
        <f t="shared" si="0"/>
        <v>3.5395277230445004</v>
      </c>
      <c r="D12">
        <f t="shared" si="0"/>
        <v>2.6546457922833753</v>
      </c>
      <c r="E12">
        <f t="shared" si="0"/>
        <v>2.1237166338267004</v>
      </c>
      <c r="F12">
        <f t="shared" si="0"/>
        <v>1.7697638615222502</v>
      </c>
      <c r="J12" s="18">
        <v>26</v>
      </c>
      <c r="Q12" s="18">
        <v>3</v>
      </c>
      <c r="R12" s="24">
        <v>12</v>
      </c>
      <c r="S12" s="4">
        <v>10</v>
      </c>
      <c r="T12" s="3">
        <f t="shared" si="4"/>
        <v>1.1309733552923255E-2</v>
      </c>
      <c r="V12" s="18">
        <f t="shared" si="5"/>
        <v>41</v>
      </c>
      <c r="W12" s="24">
        <f t="shared" si="6"/>
        <v>8</v>
      </c>
      <c r="X12" s="4">
        <f t="shared" si="7"/>
        <v>20</v>
      </c>
      <c r="Y12" s="3">
        <f t="shared" si="8"/>
        <v>2.5132741228718345E-3</v>
      </c>
      <c r="AA12" s="3" t="str">
        <f t="shared" si="3"/>
        <v/>
      </c>
      <c r="AC12" s="18">
        <f t="shared" si="9"/>
        <v>40</v>
      </c>
      <c r="AD12" s="24" cm="1">
        <f t="array" ref="AD12">INDEX(W$10:W$109,$AC12)</f>
        <v>16</v>
      </c>
      <c r="AE12" s="4" cm="1">
        <f t="array" ref="AE12">INDEX(X$10:X$109,$AC12)</f>
        <v>10</v>
      </c>
      <c r="AF12" s="3" cm="1">
        <f t="array" ref="AF12">INDEX(Y$10:Y$109,$AC12)</f>
        <v>2.0106192982974676E-2</v>
      </c>
    </row>
    <row r="13" spans="1:32">
      <c r="A13">
        <v>28</v>
      </c>
      <c r="B13">
        <f t="shared" si="1"/>
        <v>6.1575216010359943</v>
      </c>
      <c r="C13">
        <f t="shared" si="0"/>
        <v>4.1050144006906626</v>
      </c>
      <c r="D13">
        <f t="shared" si="0"/>
        <v>3.0787608005179972</v>
      </c>
      <c r="E13">
        <f t="shared" si="0"/>
        <v>2.4630086404143978</v>
      </c>
      <c r="F13">
        <f t="shared" si="0"/>
        <v>2.0525072003453313</v>
      </c>
      <c r="J13" s="18">
        <v>28</v>
      </c>
      <c r="Q13" s="18">
        <v>4</v>
      </c>
      <c r="R13" s="24">
        <v>14</v>
      </c>
      <c r="S13" s="4">
        <v>10</v>
      </c>
      <c r="T13" s="3">
        <f t="shared" si="4"/>
        <v>1.5393804002589986E-2</v>
      </c>
      <c r="V13" s="18">
        <f t="shared" si="5"/>
        <v>82</v>
      </c>
      <c r="W13" s="24">
        <f t="shared" si="6"/>
        <v>10</v>
      </c>
      <c r="X13" s="4">
        <f t="shared" si="7"/>
        <v>30</v>
      </c>
      <c r="Y13" s="3">
        <f t="shared" si="8"/>
        <v>2.6179938779914945E-3</v>
      </c>
      <c r="AA13" s="3" t="str">
        <f t="shared" si="3"/>
        <v/>
      </c>
      <c r="AC13" s="18">
        <f t="shared" si="9"/>
        <v>49</v>
      </c>
      <c r="AD13" s="24" cm="1">
        <f t="array" ref="AD13">INDEX(W$10:W$109,$AC13)</f>
        <v>18</v>
      </c>
      <c r="AE13" s="4" cm="1">
        <f t="array" ref="AE13">INDEX(X$10:X$109,$AC13)</f>
        <v>10</v>
      </c>
      <c r="AF13" s="3" cm="1">
        <f t="array" ref="AF13">INDEX(Y$10:Y$109,$AC13)</f>
        <v>2.5446900494077322E-2</v>
      </c>
    </row>
    <row r="14" spans="1:32">
      <c r="A14">
        <v>30</v>
      </c>
      <c r="B14">
        <f t="shared" si="1"/>
        <v>7.0685834705770345</v>
      </c>
      <c r="C14">
        <f t="shared" si="0"/>
        <v>4.7123889803846897</v>
      </c>
      <c r="D14">
        <f t="shared" si="0"/>
        <v>3.5342917352885173</v>
      </c>
      <c r="E14">
        <f t="shared" si="0"/>
        <v>2.8274333882308138</v>
      </c>
      <c r="F14">
        <f t="shared" si="0"/>
        <v>2.3561944901923448</v>
      </c>
      <c r="J14" s="18">
        <v>30</v>
      </c>
      <c r="Q14" s="18">
        <v>5</v>
      </c>
      <c r="R14" s="24">
        <v>16</v>
      </c>
      <c r="S14" s="4">
        <v>10</v>
      </c>
      <c r="T14" s="3">
        <f t="shared" si="4"/>
        <v>2.0106192982974676E-2</v>
      </c>
      <c r="V14" s="18">
        <f t="shared" si="5"/>
        <v>62</v>
      </c>
      <c r="W14" s="24">
        <f t="shared" si="6"/>
        <v>10</v>
      </c>
      <c r="X14" s="4">
        <f t="shared" si="7"/>
        <v>25</v>
      </c>
      <c r="Y14" s="3">
        <f t="shared" si="8"/>
        <v>3.1415926535897933E-3</v>
      </c>
      <c r="AA14" s="3" t="str">
        <f t="shared" si="3"/>
        <v/>
      </c>
      <c r="AC14" s="18">
        <f t="shared" si="9"/>
        <v>56</v>
      </c>
      <c r="AD14" s="24" cm="1">
        <f t="array" ref="AD14">INDEX(W$10:W$109,$AC14)</f>
        <v>20</v>
      </c>
      <c r="AE14" s="4" cm="1">
        <f t="array" ref="AE14">INDEX(X$10:X$109,$AC14)</f>
        <v>10</v>
      </c>
      <c r="AF14" s="3" cm="1">
        <f t="array" ref="AF14">INDEX(Y$10:Y$109,$AC14)</f>
        <v>3.1415926535897934E-2</v>
      </c>
    </row>
    <row r="15" spans="1:32">
      <c r="A15">
        <v>32</v>
      </c>
      <c r="B15">
        <f t="shared" si="1"/>
        <v>8.0424771931898711</v>
      </c>
      <c r="C15">
        <f t="shared" si="0"/>
        <v>5.3616514621265798</v>
      </c>
      <c r="D15">
        <f t="shared" si="0"/>
        <v>4.0212385965949355</v>
      </c>
      <c r="E15">
        <f t="shared" si="0"/>
        <v>3.2169908772759483</v>
      </c>
      <c r="F15">
        <f t="shared" si="0"/>
        <v>2.6808257310632899</v>
      </c>
      <c r="J15" s="18">
        <v>32</v>
      </c>
      <c r="Q15" s="18">
        <v>6</v>
      </c>
      <c r="R15" s="24">
        <v>18</v>
      </c>
      <c r="S15" s="4">
        <v>10</v>
      </c>
      <c r="T15" s="3">
        <f t="shared" si="4"/>
        <v>2.5446900494077322E-2</v>
      </c>
      <c r="V15" s="18">
        <f t="shared" si="5"/>
        <v>21</v>
      </c>
      <c r="W15" s="24">
        <f t="shared" si="6"/>
        <v>8</v>
      </c>
      <c r="X15" s="4">
        <f t="shared" si="7"/>
        <v>15</v>
      </c>
      <c r="Y15" s="3">
        <f t="shared" si="8"/>
        <v>3.3510321638291125E-3</v>
      </c>
      <c r="AA15" s="3" t="str">
        <f t="shared" si="3"/>
        <v/>
      </c>
      <c r="AC15" s="18" t="e">
        <f t="shared" si="9"/>
        <v>#NUM!</v>
      </c>
      <c r="AD15" s="24" t="e" cm="1">
        <f t="array" ref="AD15">INDEX(W$10:W$109,$AC15)</f>
        <v>#NUM!</v>
      </c>
      <c r="AE15" s="4" t="e" cm="1">
        <f t="array" ref="AE15">INDEX(X$10:X$109,$AC15)</f>
        <v>#NUM!</v>
      </c>
      <c r="AF15" s="3" t="e" cm="1">
        <f t="array" ref="AF15">INDEX(Y$10:Y$109,$AC15)</f>
        <v>#NUM!</v>
      </c>
    </row>
    <row r="16" spans="1:32">
      <c r="A16">
        <v>34</v>
      </c>
      <c r="B16">
        <f t="shared" si="1"/>
        <v>9.0792027688745023</v>
      </c>
      <c r="C16">
        <f t="shared" si="0"/>
        <v>6.0528018459163349</v>
      </c>
      <c r="D16">
        <f t="shared" si="0"/>
        <v>4.5396013844372511</v>
      </c>
      <c r="E16">
        <f t="shared" si="0"/>
        <v>3.631681107549801</v>
      </c>
      <c r="F16">
        <f t="shared" si="0"/>
        <v>3.0264009229581674</v>
      </c>
      <c r="J16" s="18">
        <v>34</v>
      </c>
      <c r="Q16" s="18">
        <v>7</v>
      </c>
      <c r="R16" s="24">
        <v>20</v>
      </c>
      <c r="S16" s="4">
        <v>10</v>
      </c>
      <c r="T16" s="3">
        <f t="shared" si="4"/>
        <v>3.1415926535897934E-2</v>
      </c>
      <c r="V16" s="18">
        <f t="shared" si="5"/>
        <v>83</v>
      </c>
      <c r="W16" s="24">
        <f t="shared" si="6"/>
        <v>12</v>
      </c>
      <c r="X16" s="4">
        <f t="shared" si="7"/>
        <v>30</v>
      </c>
      <c r="Y16" s="3">
        <f t="shared" si="8"/>
        <v>3.7699111843077517E-3</v>
      </c>
      <c r="AA16" s="3" t="str">
        <f t="shared" si="3"/>
        <v/>
      </c>
      <c r="AC16" s="18" t="e">
        <f t="shared" si="9"/>
        <v>#NUM!</v>
      </c>
      <c r="AD16" s="24" t="e" cm="1">
        <f t="array" ref="AD16">INDEX(W$10:W$109,$AC16)</f>
        <v>#NUM!</v>
      </c>
      <c r="AE16" s="4" t="e" cm="1">
        <f t="array" ref="AE16">INDEX(X$10:X$109,$AC16)</f>
        <v>#NUM!</v>
      </c>
      <c r="AF16" s="3" t="e" cm="1">
        <f t="array" ref="AF16">INDEX(Y$10:Y$109,$AC16)</f>
        <v>#NUM!</v>
      </c>
    </row>
    <row r="17" spans="1:32">
      <c r="A17">
        <v>36</v>
      </c>
      <c r="B17">
        <f t="shared" si="1"/>
        <v>10.178760197630929</v>
      </c>
      <c r="C17">
        <f t="shared" si="0"/>
        <v>6.785840131753953</v>
      </c>
      <c r="D17">
        <f t="shared" si="0"/>
        <v>5.0893800988154645</v>
      </c>
      <c r="E17">
        <f t="shared" si="0"/>
        <v>4.0715040790523718</v>
      </c>
      <c r="F17">
        <f t="shared" si="0"/>
        <v>3.3929200658769765</v>
      </c>
      <c r="J17" s="18">
        <v>36</v>
      </c>
      <c r="Q17" s="18">
        <v>8</v>
      </c>
      <c r="R17" s="24">
        <v>22</v>
      </c>
      <c r="S17" s="4">
        <v>10</v>
      </c>
      <c r="T17" s="3">
        <f t="shared" si="4"/>
        <v>3.8013271108436497E-2</v>
      </c>
      <c r="V17" s="18">
        <f t="shared" si="5"/>
        <v>42</v>
      </c>
      <c r="W17" s="24">
        <f t="shared" si="6"/>
        <v>10</v>
      </c>
      <c r="X17" s="4">
        <f t="shared" si="7"/>
        <v>20</v>
      </c>
      <c r="Y17" s="3">
        <f t="shared" si="8"/>
        <v>3.9269908169872417E-3</v>
      </c>
      <c r="AA17" s="3" t="str">
        <f t="shared" si="3"/>
        <v/>
      </c>
      <c r="AC17" s="18" t="e">
        <f t="shared" si="9"/>
        <v>#NUM!</v>
      </c>
      <c r="AD17" s="24" t="e" cm="1">
        <f t="array" ref="AD17">INDEX(W$10:W$109,$AC17)</f>
        <v>#NUM!</v>
      </c>
      <c r="AE17" s="4" t="e" cm="1">
        <f t="array" ref="AE17">INDEX(X$10:X$109,$AC17)</f>
        <v>#NUM!</v>
      </c>
      <c r="AF17" s="3" t="e" cm="1">
        <f t="array" ref="AF17">INDEX(Y$10:Y$109,$AC17)</f>
        <v>#NUM!</v>
      </c>
    </row>
    <row r="18" spans="1:32">
      <c r="A18">
        <v>38</v>
      </c>
      <c r="B18">
        <f t="shared" si="1"/>
        <v>11.341149479459153</v>
      </c>
      <c r="C18">
        <f t="shared" si="1"/>
        <v>7.560766319639435</v>
      </c>
      <c r="D18">
        <f t="shared" si="1"/>
        <v>5.6705747397295765</v>
      </c>
      <c r="E18">
        <f t="shared" si="1"/>
        <v>4.5364597917836607</v>
      </c>
      <c r="F18">
        <f t="shared" si="1"/>
        <v>3.7803831598197175</v>
      </c>
      <c r="J18" s="18">
        <v>38</v>
      </c>
      <c r="Q18" s="18">
        <v>9</v>
      </c>
      <c r="R18" s="24">
        <v>24</v>
      </c>
      <c r="S18" s="4">
        <v>10</v>
      </c>
      <c r="T18" s="3">
        <f t="shared" si="4"/>
        <v>4.5238934211693019E-2</v>
      </c>
      <c r="V18" s="18">
        <f t="shared" si="5"/>
        <v>63</v>
      </c>
      <c r="W18" s="24">
        <f t="shared" si="6"/>
        <v>12</v>
      </c>
      <c r="X18" s="4">
        <f t="shared" si="7"/>
        <v>25</v>
      </c>
      <c r="Y18" s="3">
        <f t="shared" si="8"/>
        <v>4.5238934211693019E-3</v>
      </c>
      <c r="AA18" s="3" t="str">
        <f t="shared" si="3"/>
        <v/>
      </c>
      <c r="AC18" s="18" t="e">
        <f t="shared" si="9"/>
        <v>#NUM!</v>
      </c>
      <c r="AD18" s="24" t="e" cm="1">
        <f t="array" ref="AD18">INDEX(W$10:W$109,$AC18)</f>
        <v>#NUM!</v>
      </c>
      <c r="AE18" s="4" t="e" cm="1">
        <f t="array" ref="AE18">INDEX(X$10:X$109,$AC18)</f>
        <v>#NUM!</v>
      </c>
      <c r="AF18" s="3" t="e" cm="1">
        <f t="array" ref="AF18">INDEX(Y$10:Y$109,$AC18)</f>
        <v>#NUM!</v>
      </c>
    </row>
    <row r="19" spans="1:32">
      <c r="A19">
        <v>40</v>
      </c>
      <c r="B19">
        <f t="shared" si="1"/>
        <v>12.566370614359172</v>
      </c>
      <c r="C19">
        <f t="shared" si="1"/>
        <v>8.3775804095727828</v>
      </c>
      <c r="D19">
        <f t="shared" si="1"/>
        <v>6.2831853071795862</v>
      </c>
      <c r="E19">
        <f t="shared" si="1"/>
        <v>5.026548245743669</v>
      </c>
      <c r="F19">
        <f t="shared" si="1"/>
        <v>4.1887902047863914</v>
      </c>
      <c r="J19" s="18">
        <v>40</v>
      </c>
      <c r="Q19" s="18">
        <v>10</v>
      </c>
      <c r="R19" s="24">
        <v>25</v>
      </c>
      <c r="S19" s="4">
        <v>10</v>
      </c>
      <c r="T19" s="3">
        <f t="shared" si="4"/>
        <v>4.9087385212340517E-2</v>
      </c>
      <c r="V19" s="18">
        <f t="shared" si="5"/>
        <v>1</v>
      </c>
      <c r="W19" s="24">
        <f t="shared" si="6"/>
        <v>8</v>
      </c>
      <c r="X19" s="4">
        <f t="shared" si="7"/>
        <v>10</v>
      </c>
      <c r="Y19" s="3">
        <f t="shared" si="8"/>
        <v>5.0265482457436689E-3</v>
      </c>
      <c r="AA19" s="3" t="str">
        <f t="shared" si="3"/>
        <v/>
      </c>
      <c r="AC19" s="18" t="e">
        <f t="shared" si="9"/>
        <v>#NUM!</v>
      </c>
      <c r="AD19" s="24" t="e" cm="1">
        <f t="array" ref="AD19">INDEX(W$10:W$109,$AC19)</f>
        <v>#NUM!</v>
      </c>
      <c r="AE19" s="4" t="e" cm="1">
        <f t="array" ref="AE19">INDEX(X$10:X$109,$AC19)</f>
        <v>#NUM!</v>
      </c>
      <c r="AF19" s="3" t="e" cm="1">
        <f t="array" ref="AF19">INDEX(Y$10:Y$109,$AC19)</f>
        <v>#NUM!</v>
      </c>
    </row>
    <row r="20" spans="1:32">
      <c r="A20">
        <v>45</v>
      </c>
      <c r="B20">
        <f t="shared" si="1"/>
        <v>15.904312808798327</v>
      </c>
      <c r="C20">
        <f t="shared" si="1"/>
        <v>10.602875205865551</v>
      </c>
      <c r="D20">
        <f t="shared" si="1"/>
        <v>7.9521564043991635</v>
      </c>
      <c r="E20">
        <f t="shared" si="1"/>
        <v>6.3617251235193306</v>
      </c>
      <c r="F20">
        <f t="shared" si="1"/>
        <v>5.3014376029327757</v>
      </c>
      <c r="J20" s="18">
        <v>45</v>
      </c>
      <c r="Q20" s="18">
        <v>11</v>
      </c>
      <c r="R20" s="24">
        <v>26</v>
      </c>
      <c r="S20" s="4">
        <v>10</v>
      </c>
      <c r="T20" s="3">
        <f>0.5*PI()*(R20^2)/($H$2*S20*100)</f>
        <v>5.3092915845667506E-2</v>
      </c>
      <c r="V20" s="18">
        <f t="shared" si="5"/>
        <v>84</v>
      </c>
      <c r="W20" s="24">
        <f t="shared" si="6"/>
        <v>14</v>
      </c>
      <c r="X20" s="4">
        <f t="shared" si="7"/>
        <v>30</v>
      </c>
      <c r="Y20" s="3">
        <f t="shared" si="8"/>
        <v>5.1312680008633281E-3</v>
      </c>
      <c r="AA20" s="3" t="str">
        <f t="shared" si="3"/>
        <v/>
      </c>
    </row>
    <row r="21" spans="1:32">
      <c r="A21">
        <v>50</v>
      </c>
      <c r="B21">
        <f t="shared" si="1"/>
        <v>19.634954084936208</v>
      </c>
      <c r="C21">
        <f t="shared" si="1"/>
        <v>13.089969389957473</v>
      </c>
      <c r="D21">
        <f t="shared" si="1"/>
        <v>9.8174770424681039</v>
      </c>
      <c r="E21">
        <f t="shared" si="1"/>
        <v>7.8539816339744828</v>
      </c>
      <c r="F21">
        <f t="shared" si="1"/>
        <v>6.5449846949787363</v>
      </c>
      <c r="J21" s="18">
        <v>50</v>
      </c>
      <c r="Q21" s="18">
        <v>12</v>
      </c>
      <c r="R21" s="24">
        <v>28</v>
      </c>
      <c r="S21" s="4">
        <v>10</v>
      </c>
      <c r="T21" s="3">
        <f t="shared" si="4"/>
        <v>6.1575216010359944E-2</v>
      </c>
      <c r="V21" s="18">
        <f t="shared" si="5"/>
        <v>22</v>
      </c>
      <c r="W21" s="24">
        <f t="shared" si="6"/>
        <v>10</v>
      </c>
      <c r="X21" s="4">
        <f t="shared" si="7"/>
        <v>15</v>
      </c>
      <c r="Y21" s="3">
        <f t="shared" si="8"/>
        <v>5.235987755982989E-3</v>
      </c>
      <c r="AA21" s="3" t="str">
        <f t="shared" si="3"/>
        <v/>
      </c>
    </row>
    <row r="22" spans="1:32">
      <c r="Q22" s="18">
        <v>13</v>
      </c>
      <c r="R22" s="24">
        <v>30</v>
      </c>
      <c r="S22" s="4">
        <v>10</v>
      </c>
      <c r="T22" s="3">
        <f t="shared" si="4"/>
        <v>7.0685834705770348E-2</v>
      </c>
      <c r="V22" s="18">
        <f t="shared" si="5"/>
        <v>43</v>
      </c>
      <c r="W22" s="24">
        <f t="shared" si="6"/>
        <v>12</v>
      </c>
      <c r="X22" s="4">
        <f t="shared" si="7"/>
        <v>20</v>
      </c>
      <c r="Y22" s="3">
        <f t="shared" si="8"/>
        <v>5.6548667764616273E-3</v>
      </c>
      <c r="AA22" s="3" t="str">
        <f t="shared" si="3"/>
        <v/>
      </c>
    </row>
    <row r="23" spans="1:32">
      <c r="Q23" s="18">
        <v>14</v>
      </c>
      <c r="R23" s="24">
        <v>32</v>
      </c>
      <c r="S23" s="4">
        <v>10</v>
      </c>
      <c r="T23" s="3">
        <f t="shared" si="4"/>
        <v>8.0424771931898703E-2</v>
      </c>
      <c r="V23" s="18">
        <f t="shared" si="5"/>
        <v>64</v>
      </c>
      <c r="W23" s="24">
        <f t="shared" si="6"/>
        <v>14</v>
      </c>
      <c r="X23" s="4">
        <f t="shared" si="7"/>
        <v>25</v>
      </c>
      <c r="Y23" s="3">
        <f t="shared" si="8"/>
        <v>6.1575216010359944E-3</v>
      </c>
      <c r="AA23" s="3" t="str">
        <f t="shared" si="3"/>
        <v/>
      </c>
    </row>
    <row r="24" spans="1:32">
      <c r="Q24" s="18">
        <v>15</v>
      </c>
      <c r="R24" s="24">
        <v>34</v>
      </c>
      <c r="S24" s="4">
        <v>10</v>
      </c>
      <c r="T24" s="3">
        <f t="shared" si="4"/>
        <v>9.0792027688745017E-2</v>
      </c>
      <c r="V24" s="18">
        <f t="shared" si="5"/>
        <v>85</v>
      </c>
      <c r="W24" s="24">
        <f t="shared" si="6"/>
        <v>16</v>
      </c>
      <c r="X24" s="4">
        <f t="shared" si="7"/>
        <v>30</v>
      </c>
      <c r="Y24" s="3">
        <f t="shared" si="8"/>
        <v>6.702064327658225E-3</v>
      </c>
      <c r="AA24" s="3" t="str">
        <f t="shared" si="3"/>
        <v/>
      </c>
    </row>
    <row r="25" spans="1:32">
      <c r="Q25" s="18">
        <v>16</v>
      </c>
      <c r="R25" s="24">
        <v>36</v>
      </c>
      <c r="S25" s="4">
        <v>10</v>
      </c>
      <c r="T25" s="3">
        <f t="shared" si="4"/>
        <v>0.10178760197630929</v>
      </c>
      <c r="V25" s="18">
        <f t="shared" si="5"/>
        <v>23</v>
      </c>
      <c r="W25" s="24">
        <f t="shared" si="6"/>
        <v>12</v>
      </c>
      <c r="X25" s="4">
        <f t="shared" si="7"/>
        <v>15</v>
      </c>
      <c r="Y25" s="3">
        <f t="shared" si="8"/>
        <v>7.5398223686155034E-3</v>
      </c>
      <c r="AA25" s="3" t="str">
        <f t="shared" si="3"/>
        <v/>
      </c>
    </row>
    <row r="26" spans="1:32">
      <c r="Q26" s="18">
        <v>17</v>
      </c>
      <c r="R26" s="24">
        <v>38</v>
      </c>
      <c r="S26" s="4">
        <v>10</v>
      </c>
      <c r="T26" s="3">
        <f t="shared" si="4"/>
        <v>0.11341149479459152</v>
      </c>
      <c r="V26" s="18">
        <f t="shared" si="5"/>
        <v>44</v>
      </c>
      <c r="W26" s="24">
        <f t="shared" si="6"/>
        <v>14</v>
      </c>
      <c r="X26" s="4">
        <f t="shared" si="7"/>
        <v>20</v>
      </c>
      <c r="Y26" s="3">
        <f t="shared" si="8"/>
        <v>7.696902001294993E-3</v>
      </c>
      <c r="AA26" s="3" t="str">
        <f t="shared" si="3"/>
        <v/>
      </c>
    </row>
    <row r="27" spans="1:32">
      <c r="Q27" s="18">
        <v>18</v>
      </c>
      <c r="R27" s="24">
        <v>40</v>
      </c>
      <c r="S27" s="4">
        <v>10</v>
      </c>
      <c r="T27" s="3">
        <f t="shared" si="4"/>
        <v>0.12566370614359174</v>
      </c>
      <c r="V27" s="18">
        <f t="shared" si="5"/>
        <v>2</v>
      </c>
      <c r="W27" s="24">
        <f t="shared" si="6"/>
        <v>10</v>
      </c>
      <c r="X27" s="4">
        <f t="shared" si="7"/>
        <v>10</v>
      </c>
      <c r="Y27" s="3">
        <f t="shared" si="8"/>
        <v>7.8539816339744835E-3</v>
      </c>
      <c r="AA27" s="3" t="str">
        <f t="shared" si="3"/>
        <v/>
      </c>
    </row>
    <row r="28" spans="1:32">
      <c r="Q28" s="18">
        <v>19</v>
      </c>
      <c r="R28" s="24">
        <v>45</v>
      </c>
      <c r="S28" s="4">
        <v>10</v>
      </c>
      <c r="T28" s="3">
        <f t="shared" si="4"/>
        <v>0.15904312808798327</v>
      </c>
      <c r="V28" s="18">
        <f t="shared" si="5"/>
        <v>65</v>
      </c>
      <c r="W28" s="24">
        <f t="shared" si="6"/>
        <v>16</v>
      </c>
      <c r="X28" s="4">
        <f t="shared" si="7"/>
        <v>25</v>
      </c>
      <c r="Y28" s="3">
        <f t="shared" si="8"/>
        <v>8.0424771931898696E-3</v>
      </c>
      <c r="AA28" s="3" t="str">
        <f t="shared" si="3"/>
        <v/>
      </c>
    </row>
    <row r="29" spans="1:32">
      <c r="Q29" s="18">
        <v>20</v>
      </c>
      <c r="R29" s="24">
        <v>50</v>
      </c>
      <c r="S29" s="4">
        <v>10</v>
      </c>
      <c r="T29" s="3">
        <f t="shared" si="4"/>
        <v>0.19634954084936207</v>
      </c>
      <c r="V29" s="18">
        <f t="shared" si="5"/>
        <v>86</v>
      </c>
      <c r="W29" s="24">
        <f t="shared" si="6"/>
        <v>18</v>
      </c>
      <c r="X29" s="4">
        <f t="shared" si="7"/>
        <v>30</v>
      </c>
      <c r="Y29" s="3">
        <f t="shared" si="8"/>
        <v>8.4823001646924419E-3</v>
      </c>
      <c r="AA29" s="3" t="str">
        <f t="shared" si="3"/>
        <v/>
      </c>
    </row>
    <row r="30" spans="1:32">
      <c r="Q30" s="18">
        <v>21</v>
      </c>
      <c r="R30" s="24">
        <v>8</v>
      </c>
      <c r="S30" s="4">
        <v>15</v>
      </c>
      <c r="T30" s="3">
        <f t="shared" si="4"/>
        <v>3.3510321638291125E-3</v>
      </c>
      <c r="V30" s="18">
        <f t="shared" si="5"/>
        <v>45</v>
      </c>
      <c r="W30" s="24">
        <f t="shared" si="6"/>
        <v>16</v>
      </c>
      <c r="X30" s="4">
        <f t="shared" si="7"/>
        <v>20</v>
      </c>
      <c r="Y30" s="3">
        <f t="shared" si="8"/>
        <v>1.0053096491487338E-2</v>
      </c>
      <c r="AA30" s="3" t="str">
        <f t="shared" si="3"/>
        <v/>
      </c>
    </row>
    <row r="31" spans="1:32">
      <c r="Q31" s="18">
        <v>22</v>
      </c>
      <c r="R31" s="24">
        <v>10</v>
      </c>
      <c r="S31" s="4">
        <v>15</v>
      </c>
      <c r="T31" s="3">
        <f t="shared" si="4"/>
        <v>5.235987755982989E-3</v>
      </c>
      <c r="V31" s="18">
        <f t="shared" si="5"/>
        <v>66</v>
      </c>
      <c r="W31" s="24">
        <f t="shared" si="6"/>
        <v>18</v>
      </c>
      <c r="X31" s="4">
        <f t="shared" si="7"/>
        <v>25</v>
      </c>
      <c r="Y31" s="3">
        <f t="shared" si="8"/>
        <v>1.0178760197630929E-2</v>
      </c>
      <c r="AA31" s="3" t="str">
        <f t="shared" si="3"/>
        <v/>
      </c>
    </row>
    <row r="32" spans="1:32">
      <c r="Q32" s="18">
        <v>23</v>
      </c>
      <c r="R32" s="24">
        <v>12</v>
      </c>
      <c r="S32" s="4">
        <v>15</v>
      </c>
      <c r="T32" s="3">
        <f t="shared" si="4"/>
        <v>7.5398223686155034E-3</v>
      </c>
      <c r="V32" s="18">
        <f t="shared" si="5"/>
        <v>24</v>
      </c>
      <c r="W32" s="24">
        <f t="shared" si="6"/>
        <v>14</v>
      </c>
      <c r="X32" s="4">
        <f t="shared" si="7"/>
        <v>15</v>
      </c>
      <c r="Y32" s="3">
        <f t="shared" si="8"/>
        <v>1.0262536001726656E-2</v>
      </c>
      <c r="AA32" s="3" t="str">
        <f t="shared" si="3"/>
        <v/>
      </c>
    </row>
    <row r="33" spans="17:27">
      <c r="Q33" s="18">
        <v>24</v>
      </c>
      <c r="R33" s="24">
        <v>14</v>
      </c>
      <c r="S33" s="4">
        <v>15</v>
      </c>
      <c r="T33" s="3">
        <f t="shared" si="4"/>
        <v>1.0262536001726656E-2</v>
      </c>
      <c r="V33" s="18">
        <f t="shared" si="5"/>
        <v>87</v>
      </c>
      <c r="W33" s="24">
        <f t="shared" si="6"/>
        <v>20</v>
      </c>
      <c r="X33" s="4">
        <f t="shared" si="7"/>
        <v>30</v>
      </c>
      <c r="Y33" s="3">
        <f t="shared" si="8"/>
        <v>1.0471975511965978E-2</v>
      </c>
      <c r="AA33" s="3" t="str">
        <f t="shared" si="3"/>
        <v/>
      </c>
    </row>
    <row r="34" spans="17:27">
      <c r="Q34" s="18">
        <v>25</v>
      </c>
      <c r="R34" s="24">
        <v>16</v>
      </c>
      <c r="S34" s="4">
        <v>15</v>
      </c>
      <c r="T34" s="3">
        <f t="shared" si="4"/>
        <v>1.340412865531645E-2</v>
      </c>
      <c r="V34" s="18">
        <f t="shared" si="5"/>
        <v>3</v>
      </c>
      <c r="W34" s="24">
        <f t="shared" si="6"/>
        <v>12</v>
      </c>
      <c r="X34" s="4">
        <f t="shared" si="7"/>
        <v>10</v>
      </c>
      <c r="Y34" s="3">
        <f t="shared" si="8"/>
        <v>1.1309733552923255E-2</v>
      </c>
      <c r="AA34" s="3">
        <f t="shared" si="3"/>
        <v>25</v>
      </c>
    </row>
    <row r="35" spans="17:27">
      <c r="Q35" s="18">
        <v>26</v>
      </c>
      <c r="R35" s="24">
        <v>18</v>
      </c>
      <c r="S35" s="4">
        <v>15</v>
      </c>
      <c r="T35" s="3">
        <f t="shared" si="4"/>
        <v>1.6964600329384884E-2</v>
      </c>
      <c r="V35" s="18">
        <f t="shared" si="5"/>
        <v>67</v>
      </c>
      <c r="W35" s="24">
        <f t="shared" si="6"/>
        <v>20</v>
      </c>
      <c r="X35" s="4">
        <f t="shared" si="7"/>
        <v>25</v>
      </c>
      <c r="Y35" s="3">
        <f t="shared" si="8"/>
        <v>1.2566370614359173E-2</v>
      </c>
      <c r="AA35" s="3" t="str">
        <f t="shared" si="3"/>
        <v/>
      </c>
    </row>
    <row r="36" spans="17:27">
      <c r="Q36" s="18">
        <v>27</v>
      </c>
      <c r="R36" s="24">
        <v>20</v>
      </c>
      <c r="S36" s="4">
        <v>15</v>
      </c>
      <c r="T36" s="3">
        <f t="shared" si="4"/>
        <v>2.0943951023931956E-2</v>
      </c>
      <c r="V36" s="18">
        <f t="shared" si="5"/>
        <v>88</v>
      </c>
      <c r="W36" s="24">
        <f t="shared" si="6"/>
        <v>22</v>
      </c>
      <c r="X36" s="4">
        <f t="shared" si="7"/>
        <v>30</v>
      </c>
      <c r="Y36" s="3">
        <f t="shared" si="8"/>
        <v>1.2671090369478832E-2</v>
      </c>
      <c r="AA36" s="3" t="str">
        <f t="shared" si="3"/>
        <v/>
      </c>
    </row>
    <row r="37" spans="17:27">
      <c r="Q37" s="18">
        <v>28</v>
      </c>
      <c r="R37" s="24">
        <v>22</v>
      </c>
      <c r="S37" s="4">
        <v>15</v>
      </c>
      <c r="T37" s="3">
        <f t="shared" si="4"/>
        <v>2.5342180738957665E-2</v>
      </c>
      <c r="V37" s="18">
        <f t="shared" si="5"/>
        <v>46</v>
      </c>
      <c r="W37" s="24">
        <f t="shared" si="6"/>
        <v>18</v>
      </c>
      <c r="X37" s="4">
        <f t="shared" si="7"/>
        <v>20</v>
      </c>
      <c r="Y37" s="3">
        <f t="shared" si="8"/>
        <v>1.2723450247038661E-2</v>
      </c>
      <c r="AA37" s="3" t="str">
        <f t="shared" si="3"/>
        <v/>
      </c>
    </row>
    <row r="38" spans="17:27">
      <c r="Q38" s="18">
        <v>29</v>
      </c>
      <c r="R38" s="24">
        <v>24</v>
      </c>
      <c r="S38" s="4">
        <v>15</v>
      </c>
      <c r="T38" s="3">
        <f t="shared" si="4"/>
        <v>3.0159289474462014E-2</v>
      </c>
      <c r="V38" s="18">
        <f t="shared" si="5"/>
        <v>25</v>
      </c>
      <c r="W38" s="24">
        <f t="shared" si="6"/>
        <v>16</v>
      </c>
      <c r="X38" s="4">
        <f t="shared" si="7"/>
        <v>15</v>
      </c>
      <c r="Y38" s="3">
        <f t="shared" si="8"/>
        <v>1.340412865531645E-2</v>
      </c>
      <c r="AA38" s="3" t="str">
        <f t="shared" si="3"/>
        <v/>
      </c>
    </row>
    <row r="39" spans="17:27">
      <c r="Q39" s="18">
        <v>30</v>
      </c>
      <c r="R39" s="24">
        <v>25</v>
      </c>
      <c r="S39" s="4">
        <v>15</v>
      </c>
      <c r="T39" s="3">
        <f t="shared" si="4"/>
        <v>3.2724923474893676E-2</v>
      </c>
      <c r="V39" s="18">
        <f t="shared" si="5"/>
        <v>89</v>
      </c>
      <c r="W39" s="24">
        <f t="shared" si="6"/>
        <v>24</v>
      </c>
      <c r="X39" s="4">
        <f t="shared" si="7"/>
        <v>30</v>
      </c>
      <c r="Y39" s="3">
        <f t="shared" si="8"/>
        <v>1.5079644737231007E-2</v>
      </c>
      <c r="AA39" s="3" t="str">
        <f t="shared" si="3"/>
        <v/>
      </c>
    </row>
    <row r="40" spans="17:27">
      <c r="Q40" s="18">
        <v>31</v>
      </c>
      <c r="R40" s="24">
        <v>26</v>
      </c>
      <c r="S40" s="4">
        <v>15</v>
      </c>
      <c r="T40" s="3">
        <f t="shared" si="4"/>
        <v>3.5395277230445006E-2</v>
      </c>
      <c r="V40" s="18">
        <f t="shared" si="5"/>
        <v>68</v>
      </c>
      <c r="W40" s="24">
        <f t="shared" si="6"/>
        <v>22</v>
      </c>
      <c r="X40" s="4">
        <f t="shared" si="7"/>
        <v>25</v>
      </c>
      <c r="Y40" s="3">
        <f t="shared" si="8"/>
        <v>1.52053084433746E-2</v>
      </c>
      <c r="AA40" s="3" t="str">
        <f t="shared" si="3"/>
        <v/>
      </c>
    </row>
    <row r="41" spans="17:27">
      <c r="Q41" s="18">
        <v>32</v>
      </c>
      <c r="R41" s="24">
        <v>28</v>
      </c>
      <c r="S41" s="4">
        <v>15</v>
      </c>
      <c r="T41" s="3">
        <f t="shared" si="4"/>
        <v>4.1050144006906625E-2</v>
      </c>
      <c r="V41" s="18">
        <f t="shared" si="5"/>
        <v>4</v>
      </c>
      <c r="W41" s="24">
        <f t="shared" si="6"/>
        <v>14</v>
      </c>
      <c r="X41" s="4">
        <f t="shared" si="7"/>
        <v>10</v>
      </c>
      <c r="Y41" s="3">
        <f t="shared" si="8"/>
        <v>1.5393804002589986E-2</v>
      </c>
      <c r="AA41" s="3">
        <f t="shared" si="3"/>
        <v>32</v>
      </c>
    </row>
    <row r="42" spans="17:27">
      <c r="Q42" s="18">
        <v>33</v>
      </c>
      <c r="R42" s="24">
        <v>30</v>
      </c>
      <c r="S42" s="4">
        <v>15</v>
      </c>
      <c r="T42" s="3">
        <f t="shared" si="4"/>
        <v>4.7123889803846894E-2</v>
      </c>
      <c r="V42" s="18">
        <f t="shared" si="5"/>
        <v>47</v>
      </c>
      <c r="W42" s="24">
        <f t="shared" si="6"/>
        <v>20</v>
      </c>
      <c r="X42" s="4">
        <f t="shared" si="7"/>
        <v>20</v>
      </c>
      <c r="Y42" s="3">
        <f t="shared" si="8"/>
        <v>1.5707963267948967E-2</v>
      </c>
      <c r="AA42" s="3" t="str">
        <f t="shared" si="3"/>
        <v/>
      </c>
    </row>
    <row r="43" spans="17:27">
      <c r="Q43" s="18">
        <v>34</v>
      </c>
      <c r="R43" s="24">
        <v>32</v>
      </c>
      <c r="S43" s="4">
        <v>15</v>
      </c>
      <c r="T43" s="3">
        <f t="shared" si="4"/>
        <v>5.36165146212658E-2</v>
      </c>
      <c r="V43" s="18">
        <f t="shared" si="5"/>
        <v>90</v>
      </c>
      <c r="W43" s="24">
        <f t="shared" si="6"/>
        <v>25</v>
      </c>
      <c r="X43" s="4">
        <f t="shared" si="7"/>
        <v>30</v>
      </c>
      <c r="Y43" s="3">
        <f t="shared" si="8"/>
        <v>1.6362461737446838E-2</v>
      </c>
      <c r="AA43" s="3" t="str">
        <f t="shared" si="3"/>
        <v/>
      </c>
    </row>
    <row r="44" spans="17:27">
      <c r="Q44" s="18">
        <v>35</v>
      </c>
      <c r="R44" s="24">
        <v>34</v>
      </c>
      <c r="S44" s="4">
        <v>15</v>
      </c>
      <c r="T44" s="3">
        <f t="shared" si="4"/>
        <v>6.0528018459163349E-2</v>
      </c>
      <c r="V44" s="18">
        <f t="shared" si="5"/>
        <v>26</v>
      </c>
      <c r="W44" s="24">
        <f t="shared" si="6"/>
        <v>18</v>
      </c>
      <c r="X44" s="4">
        <f t="shared" si="7"/>
        <v>15</v>
      </c>
      <c r="Y44" s="3">
        <f t="shared" si="8"/>
        <v>1.6964600329384884E-2</v>
      </c>
      <c r="AA44" s="3" t="str">
        <f t="shared" si="3"/>
        <v/>
      </c>
    </row>
    <row r="45" spans="17:27">
      <c r="Q45" s="18">
        <v>36</v>
      </c>
      <c r="R45" s="24">
        <v>36</v>
      </c>
      <c r="S45" s="4">
        <v>15</v>
      </c>
      <c r="T45" s="3">
        <f t="shared" si="4"/>
        <v>6.7858401317539535E-2</v>
      </c>
      <c r="V45" s="18">
        <f t="shared" si="5"/>
        <v>91</v>
      </c>
      <c r="W45" s="24">
        <f t="shared" si="6"/>
        <v>26</v>
      </c>
      <c r="X45" s="4">
        <f t="shared" si="7"/>
        <v>30</v>
      </c>
      <c r="Y45" s="3">
        <f t="shared" si="8"/>
        <v>1.7697638615222503E-2</v>
      </c>
      <c r="AA45" s="3" t="str">
        <f t="shared" si="3"/>
        <v/>
      </c>
    </row>
    <row r="46" spans="17:27">
      <c r="Q46" s="18">
        <v>37</v>
      </c>
      <c r="R46" s="24">
        <v>38</v>
      </c>
      <c r="S46" s="4">
        <v>15</v>
      </c>
      <c r="T46" s="3">
        <f t="shared" si="4"/>
        <v>7.5607663196394351E-2</v>
      </c>
      <c r="V46" s="18">
        <f t="shared" si="5"/>
        <v>69</v>
      </c>
      <c r="W46" s="24">
        <f t="shared" si="6"/>
        <v>24</v>
      </c>
      <c r="X46" s="4">
        <f t="shared" si="7"/>
        <v>25</v>
      </c>
      <c r="Y46" s="3">
        <f t="shared" si="8"/>
        <v>1.8095573684677208E-2</v>
      </c>
      <c r="AA46" s="3" t="str">
        <f t="shared" si="3"/>
        <v/>
      </c>
    </row>
    <row r="47" spans="17:27">
      <c r="Q47" s="18">
        <v>38</v>
      </c>
      <c r="R47" s="24">
        <v>40</v>
      </c>
      <c r="S47" s="4">
        <v>15</v>
      </c>
      <c r="T47" s="3">
        <f t="shared" si="4"/>
        <v>8.3775804095727824E-2</v>
      </c>
      <c r="V47" s="18">
        <f t="shared" si="5"/>
        <v>48</v>
      </c>
      <c r="W47" s="24">
        <f t="shared" si="6"/>
        <v>22</v>
      </c>
      <c r="X47" s="4">
        <f t="shared" si="7"/>
        <v>20</v>
      </c>
      <c r="Y47" s="3">
        <f t="shared" si="8"/>
        <v>1.9006635554218249E-2</v>
      </c>
      <c r="AA47" s="3" t="str">
        <f t="shared" si="3"/>
        <v/>
      </c>
    </row>
    <row r="48" spans="17:27">
      <c r="Q48" s="18">
        <v>39</v>
      </c>
      <c r="R48" s="24">
        <v>45</v>
      </c>
      <c r="S48" s="4">
        <v>15</v>
      </c>
      <c r="T48" s="3">
        <f t="shared" si="4"/>
        <v>0.10602875205865551</v>
      </c>
      <c r="V48" s="18">
        <f t="shared" si="5"/>
        <v>70</v>
      </c>
      <c r="W48" s="24">
        <f t="shared" si="6"/>
        <v>25</v>
      </c>
      <c r="X48" s="4">
        <f t="shared" si="7"/>
        <v>25</v>
      </c>
      <c r="Y48" s="3">
        <f t="shared" si="8"/>
        <v>1.9634954084936207E-2</v>
      </c>
      <c r="AA48" s="3" t="str">
        <f t="shared" si="3"/>
        <v/>
      </c>
    </row>
    <row r="49" spans="17:27">
      <c r="Q49" s="18">
        <v>40</v>
      </c>
      <c r="R49" s="24">
        <v>50</v>
      </c>
      <c r="S49" s="4">
        <v>15</v>
      </c>
      <c r="T49" s="3">
        <f t="shared" si="4"/>
        <v>0.1308996938995747</v>
      </c>
      <c r="V49" s="18">
        <f t="shared" si="5"/>
        <v>5</v>
      </c>
      <c r="W49" s="24">
        <f t="shared" si="6"/>
        <v>16</v>
      </c>
      <c r="X49" s="4">
        <f t="shared" si="7"/>
        <v>10</v>
      </c>
      <c r="Y49" s="3">
        <f t="shared" si="8"/>
        <v>2.0106192982974676E-2</v>
      </c>
      <c r="AA49" s="3">
        <f t="shared" si="3"/>
        <v>40</v>
      </c>
    </row>
    <row r="50" spans="17:27">
      <c r="Q50" s="18">
        <v>41</v>
      </c>
      <c r="R50" s="24">
        <v>8</v>
      </c>
      <c r="S50" s="4">
        <v>20</v>
      </c>
      <c r="T50" s="3">
        <f t="shared" si="4"/>
        <v>2.5132741228718345E-3</v>
      </c>
      <c r="V50" s="18">
        <f t="shared" si="5"/>
        <v>92</v>
      </c>
      <c r="W50" s="24">
        <f t="shared" si="6"/>
        <v>28</v>
      </c>
      <c r="X50" s="4">
        <f t="shared" si="7"/>
        <v>30</v>
      </c>
      <c r="Y50" s="3">
        <f t="shared" si="8"/>
        <v>2.0525072003453312E-2</v>
      </c>
      <c r="AA50" s="3" t="str">
        <f t="shared" si="3"/>
        <v/>
      </c>
    </row>
    <row r="51" spans="17:27">
      <c r="Q51" s="18">
        <v>42</v>
      </c>
      <c r="R51" s="24">
        <v>10</v>
      </c>
      <c r="S51" s="4">
        <v>20</v>
      </c>
      <c r="T51" s="3">
        <f t="shared" si="4"/>
        <v>3.9269908169872417E-3</v>
      </c>
      <c r="V51" s="18">
        <f t="shared" si="5"/>
        <v>27</v>
      </c>
      <c r="W51" s="24">
        <f t="shared" si="6"/>
        <v>20</v>
      </c>
      <c r="X51" s="4">
        <f t="shared" si="7"/>
        <v>15</v>
      </c>
      <c r="Y51" s="3">
        <f t="shared" si="8"/>
        <v>2.0943951023931956E-2</v>
      </c>
      <c r="AA51" s="3" t="str">
        <f t="shared" si="3"/>
        <v/>
      </c>
    </row>
    <row r="52" spans="17:27">
      <c r="Q52" s="18">
        <v>43</v>
      </c>
      <c r="R52" s="24">
        <v>12</v>
      </c>
      <c r="S52" s="4">
        <v>20</v>
      </c>
      <c r="T52" s="3">
        <f t="shared" si="4"/>
        <v>5.6548667764616273E-3</v>
      </c>
      <c r="V52" s="18">
        <f t="shared" si="5"/>
        <v>71</v>
      </c>
      <c r="W52" s="24">
        <f t="shared" si="6"/>
        <v>26</v>
      </c>
      <c r="X52" s="4">
        <f t="shared" si="7"/>
        <v>25</v>
      </c>
      <c r="Y52" s="3">
        <f t="shared" si="8"/>
        <v>2.1237166338267003E-2</v>
      </c>
      <c r="AA52" s="3" t="str">
        <f t="shared" si="3"/>
        <v/>
      </c>
    </row>
    <row r="53" spans="17:27">
      <c r="Q53" s="18">
        <v>44</v>
      </c>
      <c r="R53" s="24">
        <v>14</v>
      </c>
      <c r="S53" s="4">
        <v>20</v>
      </c>
      <c r="T53" s="3">
        <f t="shared" si="4"/>
        <v>7.696902001294993E-3</v>
      </c>
      <c r="V53" s="18">
        <f t="shared" si="5"/>
        <v>49</v>
      </c>
      <c r="W53" s="24">
        <f t="shared" si="6"/>
        <v>24</v>
      </c>
      <c r="X53" s="4">
        <f t="shared" si="7"/>
        <v>20</v>
      </c>
      <c r="Y53" s="3">
        <f t="shared" si="8"/>
        <v>2.2619467105846509E-2</v>
      </c>
      <c r="AA53" s="3" t="str">
        <f t="shared" si="3"/>
        <v/>
      </c>
    </row>
    <row r="54" spans="17:27">
      <c r="Q54" s="18">
        <v>45</v>
      </c>
      <c r="R54" s="24">
        <v>16</v>
      </c>
      <c r="S54" s="4">
        <v>20</v>
      </c>
      <c r="T54" s="3">
        <f t="shared" si="4"/>
        <v>1.0053096491487338E-2</v>
      </c>
      <c r="V54" s="18">
        <f t="shared" si="5"/>
        <v>93</v>
      </c>
      <c r="W54" s="24">
        <f t="shared" si="6"/>
        <v>30</v>
      </c>
      <c r="X54" s="4">
        <f t="shared" si="7"/>
        <v>30</v>
      </c>
      <c r="Y54" s="3">
        <f t="shared" si="8"/>
        <v>2.3561944901923447E-2</v>
      </c>
      <c r="AA54" s="3" t="str">
        <f t="shared" si="3"/>
        <v/>
      </c>
    </row>
    <row r="55" spans="17:27">
      <c r="Q55" s="18">
        <v>46</v>
      </c>
      <c r="R55" s="24">
        <v>18</v>
      </c>
      <c r="S55" s="4">
        <v>20</v>
      </c>
      <c r="T55" s="3">
        <f t="shared" si="4"/>
        <v>1.2723450247038661E-2</v>
      </c>
      <c r="V55" s="18">
        <f t="shared" si="5"/>
        <v>50</v>
      </c>
      <c r="W55" s="24">
        <f t="shared" si="6"/>
        <v>25</v>
      </c>
      <c r="X55" s="4">
        <f t="shared" si="7"/>
        <v>20</v>
      </c>
      <c r="Y55" s="3">
        <f t="shared" si="8"/>
        <v>2.4543692606170259E-2</v>
      </c>
      <c r="AA55" s="3" t="str">
        <f t="shared" si="3"/>
        <v/>
      </c>
    </row>
    <row r="56" spans="17:27">
      <c r="Q56" s="18">
        <v>47</v>
      </c>
      <c r="R56" s="24">
        <v>20</v>
      </c>
      <c r="S56" s="4">
        <v>20</v>
      </c>
      <c r="T56" s="3">
        <f t="shared" si="4"/>
        <v>1.5707963267948967E-2</v>
      </c>
      <c r="V56" s="18">
        <f t="shared" si="5"/>
        <v>72</v>
      </c>
      <c r="W56" s="24">
        <f t="shared" si="6"/>
        <v>28</v>
      </c>
      <c r="X56" s="4">
        <f t="shared" si="7"/>
        <v>25</v>
      </c>
      <c r="Y56" s="3">
        <f t="shared" si="8"/>
        <v>2.4630086404143978E-2</v>
      </c>
      <c r="AA56" s="3" t="str">
        <f t="shared" si="3"/>
        <v/>
      </c>
    </row>
    <row r="57" spans="17:27">
      <c r="Q57" s="18">
        <v>48</v>
      </c>
      <c r="R57" s="24">
        <v>22</v>
      </c>
      <c r="S57" s="4">
        <v>20</v>
      </c>
      <c r="T57" s="3">
        <f t="shared" si="4"/>
        <v>1.9006635554218249E-2</v>
      </c>
      <c r="V57" s="18">
        <f t="shared" si="5"/>
        <v>28</v>
      </c>
      <c r="W57" s="24">
        <f t="shared" si="6"/>
        <v>22</v>
      </c>
      <c r="X57" s="4">
        <f t="shared" si="7"/>
        <v>15</v>
      </c>
      <c r="Y57" s="3">
        <f t="shared" si="8"/>
        <v>2.5342180738957665E-2</v>
      </c>
      <c r="AA57" s="3" t="str">
        <f t="shared" si="3"/>
        <v/>
      </c>
    </row>
    <row r="58" spans="17:27">
      <c r="Q58" s="18">
        <v>49</v>
      </c>
      <c r="R58" s="24">
        <v>24</v>
      </c>
      <c r="S58" s="4">
        <v>20</v>
      </c>
      <c r="T58" s="3">
        <f t="shared" si="4"/>
        <v>2.2619467105846509E-2</v>
      </c>
      <c r="V58" s="18">
        <f t="shared" si="5"/>
        <v>6</v>
      </c>
      <c r="W58" s="24">
        <f t="shared" si="6"/>
        <v>18</v>
      </c>
      <c r="X58" s="4">
        <f t="shared" si="7"/>
        <v>10</v>
      </c>
      <c r="Y58" s="3">
        <f t="shared" si="8"/>
        <v>2.5446900494077322E-2</v>
      </c>
      <c r="AA58" s="3">
        <f t="shared" si="3"/>
        <v>49</v>
      </c>
    </row>
    <row r="59" spans="17:27">
      <c r="Q59" s="18">
        <v>50</v>
      </c>
      <c r="R59" s="24">
        <v>25</v>
      </c>
      <c r="S59" s="4">
        <v>20</v>
      </c>
      <c r="T59" s="3">
        <f t="shared" si="4"/>
        <v>2.4543692606170259E-2</v>
      </c>
      <c r="V59" s="18">
        <f t="shared" si="5"/>
        <v>51</v>
      </c>
      <c r="W59" s="24">
        <f t="shared" si="6"/>
        <v>26</v>
      </c>
      <c r="X59" s="4">
        <f t="shared" si="7"/>
        <v>20</v>
      </c>
      <c r="Y59" s="3">
        <f t="shared" si="8"/>
        <v>2.6546457922833753E-2</v>
      </c>
      <c r="AA59" s="3" t="str">
        <f t="shared" si="3"/>
        <v/>
      </c>
    </row>
    <row r="60" spans="17:27">
      <c r="Q60" s="18">
        <v>51</v>
      </c>
      <c r="R60" s="24">
        <v>26</v>
      </c>
      <c r="S60" s="4">
        <v>20</v>
      </c>
      <c r="T60" s="3">
        <f t="shared" si="4"/>
        <v>2.6546457922833753E-2</v>
      </c>
      <c r="V60" s="18">
        <f t="shared" si="5"/>
        <v>94</v>
      </c>
      <c r="W60" s="24">
        <f t="shared" si="6"/>
        <v>32</v>
      </c>
      <c r="X60" s="4">
        <f t="shared" si="7"/>
        <v>30</v>
      </c>
      <c r="Y60" s="3">
        <f t="shared" si="8"/>
        <v>2.68082573106329E-2</v>
      </c>
      <c r="AA60" s="3" t="str">
        <f t="shared" si="3"/>
        <v/>
      </c>
    </row>
    <row r="61" spans="17:27">
      <c r="Q61" s="18">
        <v>52</v>
      </c>
      <c r="R61" s="24">
        <v>28</v>
      </c>
      <c r="S61" s="4">
        <v>20</v>
      </c>
      <c r="T61" s="3">
        <f t="shared" si="4"/>
        <v>3.0787608005179972E-2</v>
      </c>
      <c r="V61" s="18">
        <f t="shared" si="5"/>
        <v>73</v>
      </c>
      <c r="W61" s="24">
        <f t="shared" si="6"/>
        <v>30</v>
      </c>
      <c r="X61" s="4">
        <f t="shared" si="7"/>
        <v>25</v>
      </c>
      <c r="Y61" s="3">
        <f t="shared" si="8"/>
        <v>2.8274333882308138E-2</v>
      </c>
      <c r="AA61" s="3" t="str">
        <f t="shared" si="3"/>
        <v/>
      </c>
    </row>
    <row r="62" spans="17:27">
      <c r="Q62" s="18">
        <v>53</v>
      </c>
      <c r="R62" s="24">
        <v>30</v>
      </c>
      <c r="S62" s="4">
        <v>20</v>
      </c>
      <c r="T62" s="3">
        <f t="shared" si="4"/>
        <v>3.5342917352885174E-2</v>
      </c>
      <c r="V62" s="18">
        <f t="shared" si="5"/>
        <v>29</v>
      </c>
      <c r="W62" s="24">
        <f t="shared" si="6"/>
        <v>24</v>
      </c>
      <c r="X62" s="4">
        <f t="shared" si="7"/>
        <v>15</v>
      </c>
      <c r="Y62" s="3">
        <f t="shared" si="8"/>
        <v>3.0159289474462014E-2</v>
      </c>
      <c r="AA62" s="3" t="str">
        <f t="shared" si="3"/>
        <v/>
      </c>
    </row>
    <row r="63" spans="17:27">
      <c r="Q63" s="18">
        <v>54</v>
      </c>
      <c r="R63" s="24">
        <v>32</v>
      </c>
      <c r="S63" s="4">
        <v>20</v>
      </c>
      <c r="T63" s="3">
        <f t="shared" si="4"/>
        <v>4.0212385965949352E-2</v>
      </c>
      <c r="V63" s="18">
        <f t="shared" si="5"/>
        <v>95</v>
      </c>
      <c r="W63" s="24">
        <f t="shared" si="6"/>
        <v>34</v>
      </c>
      <c r="X63" s="4">
        <f t="shared" si="7"/>
        <v>30</v>
      </c>
      <c r="Y63" s="3">
        <f t="shared" si="8"/>
        <v>3.0264009229581675E-2</v>
      </c>
      <c r="AA63" s="3" t="str">
        <f t="shared" si="3"/>
        <v/>
      </c>
    </row>
    <row r="64" spans="17:27">
      <c r="Q64" s="18">
        <v>55</v>
      </c>
      <c r="R64" s="24">
        <v>34</v>
      </c>
      <c r="S64" s="4">
        <v>20</v>
      </c>
      <c r="T64" s="3">
        <f t="shared" si="4"/>
        <v>4.5396013844372508E-2</v>
      </c>
      <c r="V64" s="18">
        <f t="shared" si="5"/>
        <v>52</v>
      </c>
      <c r="W64" s="24">
        <f t="shared" si="6"/>
        <v>28</v>
      </c>
      <c r="X64" s="4">
        <f t="shared" si="7"/>
        <v>20</v>
      </c>
      <c r="Y64" s="3">
        <f t="shared" si="8"/>
        <v>3.0787608005179972E-2</v>
      </c>
      <c r="AA64" s="3" t="str">
        <f t="shared" si="3"/>
        <v/>
      </c>
    </row>
    <row r="65" spans="17:27">
      <c r="Q65" s="18">
        <v>56</v>
      </c>
      <c r="R65" s="24">
        <v>36</v>
      </c>
      <c r="S65" s="4">
        <v>20</v>
      </c>
      <c r="T65" s="3">
        <f t="shared" si="4"/>
        <v>5.0893800988154644E-2</v>
      </c>
      <c r="V65" s="18">
        <f t="shared" si="5"/>
        <v>7</v>
      </c>
      <c r="W65" s="24">
        <f t="shared" si="6"/>
        <v>20</v>
      </c>
      <c r="X65" s="4">
        <f t="shared" si="7"/>
        <v>10</v>
      </c>
      <c r="Y65" s="3">
        <f t="shared" si="8"/>
        <v>3.1415926535897934E-2</v>
      </c>
      <c r="AA65" s="3">
        <f t="shared" si="3"/>
        <v>56</v>
      </c>
    </row>
    <row r="66" spans="17:27">
      <c r="Q66" s="18">
        <v>57</v>
      </c>
      <c r="R66" s="24">
        <v>38</v>
      </c>
      <c r="S66" s="4">
        <v>20</v>
      </c>
      <c r="T66" s="3">
        <f t="shared" si="4"/>
        <v>5.670574739729576E-2</v>
      </c>
      <c r="V66" s="18">
        <f t="shared" si="5"/>
        <v>74</v>
      </c>
      <c r="W66" s="24">
        <f t="shared" si="6"/>
        <v>32</v>
      </c>
      <c r="X66" s="4">
        <f t="shared" si="7"/>
        <v>25</v>
      </c>
      <c r="Y66" s="3">
        <f t="shared" si="8"/>
        <v>3.2169908772759478E-2</v>
      </c>
      <c r="AA66" s="3" t="str">
        <f t="shared" si="3"/>
        <v/>
      </c>
    </row>
    <row r="67" spans="17:27">
      <c r="Q67" s="18">
        <v>58</v>
      </c>
      <c r="R67" s="24">
        <v>40</v>
      </c>
      <c r="S67" s="4">
        <v>20</v>
      </c>
      <c r="T67" s="3">
        <f t="shared" si="4"/>
        <v>6.2831853071795868E-2</v>
      </c>
      <c r="V67" s="18">
        <f t="shared" si="5"/>
        <v>30</v>
      </c>
      <c r="W67" s="24">
        <f t="shared" si="6"/>
        <v>25</v>
      </c>
      <c r="X67" s="4">
        <f t="shared" si="7"/>
        <v>15</v>
      </c>
      <c r="Y67" s="3">
        <f t="shared" si="8"/>
        <v>3.2724923474893676E-2</v>
      </c>
      <c r="AA67" s="3" t="str">
        <f t="shared" si="3"/>
        <v/>
      </c>
    </row>
    <row r="68" spans="17:27">
      <c r="Q68" s="18">
        <v>59</v>
      </c>
      <c r="R68" s="24">
        <v>45</v>
      </c>
      <c r="S68" s="4">
        <v>20</v>
      </c>
      <c r="T68" s="3">
        <f t="shared" si="4"/>
        <v>7.9521564043991633E-2</v>
      </c>
      <c r="V68" s="18">
        <f t="shared" si="5"/>
        <v>96</v>
      </c>
      <c r="W68" s="24">
        <f t="shared" si="6"/>
        <v>36</v>
      </c>
      <c r="X68" s="4">
        <f t="shared" si="7"/>
        <v>30</v>
      </c>
      <c r="Y68" s="3">
        <f t="shared" si="8"/>
        <v>3.3929200658769768E-2</v>
      </c>
      <c r="AA68" s="3" t="str">
        <f t="shared" si="3"/>
        <v/>
      </c>
    </row>
    <row r="69" spans="17:27">
      <c r="Q69" s="18">
        <v>60</v>
      </c>
      <c r="R69" s="24">
        <v>50</v>
      </c>
      <c r="S69" s="4">
        <v>20</v>
      </c>
      <c r="T69" s="3">
        <f t="shared" si="4"/>
        <v>9.8174770424681035E-2</v>
      </c>
      <c r="V69" s="18">
        <f t="shared" si="5"/>
        <v>53</v>
      </c>
      <c r="W69" s="24">
        <f t="shared" si="6"/>
        <v>30</v>
      </c>
      <c r="X69" s="4">
        <f t="shared" si="7"/>
        <v>20</v>
      </c>
      <c r="Y69" s="3">
        <f t="shared" si="8"/>
        <v>3.5342917352885174E-2</v>
      </c>
      <c r="AA69" s="3" t="str">
        <f t="shared" si="3"/>
        <v/>
      </c>
    </row>
    <row r="70" spans="17:27">
      <c r="Q70" s="18">
        <v>61</v>
      </c>
      <c r="R70" s="24">
        <v>8</v>
      </c>
      <c r="S70" s="4">
        <v>25</v>
      </c>
      <c r="T70" s="3">
        <f t="shared" si="4"/>
        <v>2.0106192982974674E-3</v>
      </c>
      <c r="V70" s="18">
        <f t="shared" si="5"/>
        <v>31</v>
      </c>
      <c r="W70" s="24">
        <f t="shared" si="6"/>
        <v>26</v>
      </c>
      <c r="X70" s="4">
        <f t="shared" si="7"/>
        <v>15</v>
      </c>
      <c r="Y70" s="3">
        <f t="shared" si="8"/>
        <v>3.5395277230445006E-2</v>
      </c>
      <c r="AA70" s="3" t="str">
        <f t="shared" si="3"/>
        <v/>
      </c>
    </row>
    <row r="71" spans="17:27">
      <c r="Q71" s="18">
        <v>62</v>
      </c>
      <c r="R71" s="24">
        <v>10</v>
      </c>
      <c r="S71" s="4">
        <v>25</v>
      </c>
      <c r="T71" s="3">
        <f t="shared" si="4"/>
        <v>3.1415926535897933E-3</v>
      </c>
      <c r="V71" s="18">
        <f t="shared" si="5"/>
        <v>75</v>
      </c>
      <c r="W71" s="24">
        <f t="shared" si="6"/>
        <v>34</v>
      </c>
      <c r="X71" s="4">
        <f t="shared" si="7"/>
        <v>25</v>
      </c>
      <c r="Y71" s="3">
        <f t="shared" si="8"/>
        <v>3.6316811075498008E-2</v>
      </c>
      <c r="AA71" s="3" t="str">
        <f t="shared" si="3"/>
        <v/>
      </c>
    </row>
    <row r="72" spans="17:27">
      <c r="Q72" s="18">
        <v>63</v>
      </c>
      <c r="R72" s="24">
        <v>12</v>
      </c>
      <c r="S72" s="4">
        <v>25</v>
      </c>
      <c r="T72" s="3">
        <f t="shared" si="4"/>
        <v>4.5238934211693019E-3</v>
      </c>
      <c r="V72" s="18">
        <f t="shared" si="5"/>
        <v>97</v>
      </c>
      <c r="W72" s="24">
        <f t="shared" si="6"/>
        <v>38</v>
      </c>
      <c r="X72" s="4">
        <f t="shared" si="7"/>
        <v>30</v>
      </c>
      <c r="Y72" s="3">
        <f t="shared" si="8"/>
        <v>3.7803831598197175E-2</v>
      </c>
      <c r="AA72" s="3" t="str">
        <f t="shared" si="3"/>
        <v/>
      </c>
    </row>
    <row r="73" spans="17:27">
      <c r="Q73" s="18">
        <v>64</v>
      </c>
      <c r="R73" s="24">
        <v>14</v>
      </c>
      <c r="S73" s="4">
        <v>25</v>
      </c>
      <c r="T73" s="3">
        <f t="shared" si="4"/>
        <v>6.1575216010359944E-3</v>
      </c>
      <c r="V73" s="18">
        <f t="shared" si="5"/>
        <v>8</v>
      </c>
      <c r="W73" s="24">
        <f t="shared" si="6"/>
        <v>22</v>
      </c>
      <c r="X73" s="4">
        <f t="shared" si="7"/>
        <v>10</v>
      </c>
      <c r="Y73" s="3">
        <f t="shared" si="8"/>
        <v>3.8013271108436497E-2</v>
      </c>
      <c r="AA73" s="3" t="str">
        <f t="shared" si="3"/>
        <v/>
      </c>
    </row>
    <row r="74" spans="17:27">
      <c r="Q74" s="18">
        <v>65</v>
      </c>
      <c r="R74" s="24">
        <v>16</v>
      </c>
      <c r="S74" s="4">
        <v>25</v>
      </c>
      <c r="T74" s="3">
        <f t="shared" si="4"/>
        <v>8.0424771931898696E-3</v>
      </c>
      <c r="V74" s="18">
        <f t="shared" si="5"/>
        <v>54</v>
      </c>
      <c r="W74" s="24">
        <f t="shared" si="6"/>
        <v>32</v>
      </c>
      <c r="X74" s="4">
        <f t="shared" si="7"/>
        <v>20</v>
      </c>
      <c r="Y74" s="3">
        <f t="shared" si="8"/>
        <v>4.0212385965949352E-2</v>
      </c>
      <c r="AA74" s="3" t="str">
        <f t="shared" ref="AA74:AA109" si="10">IF(AND(IF(Y74&lt;$Q$6,0,IF(Y74&gt;$Q$7,0,1)),IF(W74&lt;$T$6,0,IF(W74&gt;$T$7,0,1)),IF(X74&lt;$W$6,0,IF(X74&gt;$W$7,0,1))),Q74,"")</f>
        <v/>
      </c>
    </row>
    <row r="75" spans="17:27">
      <c r="Q75" s="18">
        <v>66</v>
      </c>
      <c r="R75" s="24">
        <v>18</v>
      </c>
      <c r="S75" s="4">
        <v>25</v>
      </c>
      <c r="T75" s="3">
        <f t="shared" ref="T75:T109" si="11">0.5*PI()*(R75^2)/($H$2*S75*100)</f>
        <v>1.0178760197630929E-2</v>
      </c>
      <c r="V75" s="18">
        <f t="shared" ref="V75:V109" si="12">INDEX(Q$10:Q$109,MATCH($Y75,$T$10:$T$109,0))</f>
        <v>76</v>
      </c>
      <c r="W75" s="24">
        <f t="shared" ref="W75:W109" si="13">INDEX(R$10:R$109,MATCH($Y75,$T$10:$T$109,0))</f>
        <v>36</v>
      </c>
      <c r="X75" s="4">
        <f t="shared" ref="X75:X109" si="14">INDEX(S$10:S$109,MATCH($Y75,$T$10:$T$109,0))</f>
        <v>25</v>
      </c>
      <c r="Y75" s="3">
        <f t="shared" ref="Y75:Y109" si="15">SMALL(T$10:T$109,Q75)</f>
        <v>4.0715040790523717E-2</v>
      </c>
      <c r="AA75" s="3" t="str">
        <f t="shared" si="10"/>
        <v/>
      </c>
    </row>
    <row r="76" spans="17:27">
      <c r="Q76" s="18">
        <v>67</v>
      </c>
      <c r="R76" s="24">
        <v>20</v>
      </c>
      <c r="S76" s="4">
        <v>25</v>
      </c>
      <c r="T76" s="3">
        <f t="shared" si="11"/>
        <v>1.2566370614359173E-2</v>
      </c>
      <c r="V76" s="18">
        <f t="shared" si="12"/>
        <v>32</v>
      </c>
      <c r="W76" s="24">
        <f t="shared" si="13"/>
        <v>28</v>
      </c>
      <c r="X76" s="4">
        <f t="shared" si="14"/>
        <v>15</v>
      </c>
      <c r="Y76" s="3">
        <f t="shared" si="15"/>
        <v>4.1050144006906625E-2</v>
      </c>
      <c r="AA76" s="3" t="str">
        <f t="shared" si="10"/>
        <v/>
      </c>
    </row>
    <row r="77" spans="17:27">
      <c r="Q77" s="18">
        <v>68</v>
      </c>
      <c r="R77" s="24">
        <v>22</v>
      </c>
      <c r="S77" s="4">
        <v>25</v>
      </c>
      <c r="T77" s="3">
        <f t="shared" si="11"/>
        <v>1.52053084433746E-2</v>
      </c>
      <c r="V77" s="18">
        <f t="shared" si="12"/>
        <v>98</v>
      </c>
      <c r="W77" s="24">
        <f t="shared" si="13"/>
        <v>40</v>
      </c>
      <c r="X77" s="4">
        <f t="shared" si="14"/>
        <v>30</v>
      </c>
      <c r="Y77" s="3">
        <f t="shared" si="15"/>
        <v>4.1887902047863912E-2</v>
      </c>
      <c r="AA77" s="3" t="str">
        <f t="shared" si="10"/>
        <v/>
      </c>
    </row>
    <row r="78" spans="17:27">
      <c r="Q78" s="18">
        <v>69</v>
      </c>
      <c r="R78" s="24">
        <v>24</v>
      </c>
      <c r="S78" s="4">
        <v>25</v>
      </c>
      <c r="T78" s="3">
        <f t="shared" si="11"/>
        <v>1.8095573684677208E-2</v>
      </c>
      <c r="V78" s="18">
        <f t="shared" si="12"/>
        <v>9</v>
      </c>
      <c r="W78" s="24">
        <f t="shared" si="13"/>
        <v>24</v>
      </c>
      <c r="X78" s="4">
        <f t="shared" si="14"/>
        <v>10</v>
      </c>
      <c r="Y78" s="3">
        <f t="shared" si="15"/>
        <v>4.5238934211693019E-2</v>
      </c>
      <c r="AA78" s="3" t="str">
        <f t="shared" si="10"/>
        <v/>
      </c>
    </row>
    <row r="79" spans="17:27">
      <c r="Q79" s="18">
        <v>70</v>
      </c>
      <c r="R79" s="24">
        <v>25</v>
      </c>
      <c r="S79" s="4">
        <v>25</v>
      </c>
      <c r="T79" s="3">
        <f t="shared" si="11"/>
        <v>1.9634954084936207E-2</v>
      </c>
      <c r="V79" s="18">
        <f t="shared" si="12"/>
        <v>77</v>
      </c>
      <c r="W79" s="24">
        <f t="shared" si="13"/>
        <v>38</v>
      </c>
      <c r="X79" s="4">
        <f t="shared" si="14"/>
        <v>25</v>
      </c>
      <c r="Y79" s="3">
        <f t="shared" si="15"/>
        <v>4.5364597917836612E-2</v>
      </c>
      <c r="AA79" s="3" t="str">
        <f t="shared" si="10"/>
        <v/>
      </c>
    </row>
    <row r="80" spans="17:27">
      <c r="Q80" s="18">
        <v>71</v>
      </c>
      <c r="R80" s="24">
        <v>26</v>
      </c>
      <c r="S80" s="4">
        <v>25</v>
      </c>
      <c r="T80" s="3">
        <f t="shared" si="11"/>
        <v>2.1237166338267003E-2</v>
      </c>
      <c r="V80" s="18">
        <f t="shared" si="12"/>
        <v>55</v>
      </c>
      <c r="W80" s="24">
        <f t="shared" si="13"/>
        <v>34</v>
      </c>
      <c r="X80" s="4">
        <f t="shared" si="14"/>
        <v>20</v>
      </c>
      <c r="Y80" s="3">
        <f t="shared" si="15"/>
        <v>4.5396013844372508E-2</v>
      </c>
      <c r="AA80" s="3" t="str">
        <f t="shared" si="10"/>
        <v/>
      </c>
    </row>
    <row r="81" spans="17:27">
      <c r="Q81" s="18">
        <v>72</v>
      </c>
      <c r="R81" s="24">
        <v>28</v>
      </c>
      <c r="S81" s="4">
        <v>25</v>
      </c>
      <c r="T81" s="3">
        <f t="shared" si="11"/>
        <v>2.4630086404143978E-2</v>
      </c>
      <c r="V81" s="18">
        <f t="shared" si="12"/>
        <v>33</v>
      </c>
      <c r="W81" s="24">
        <f t="shared" si="13"/>
        <v>30</v>
      </c>
      <c r="X81" s="4">
        <f t="shared" si="14"/>
        <v>15</v>
      </c>
      <c r="Y81" s="3">
        <f t="shared" si="15"/>
        <v>4.7123889803846894E-2</v>
      </c>
      <c r="AA81" s="3" t="str">
        <f t="shared" si="10"/>
        <v/>
      </c>
    </row>
    <row r="82" spans="17:27">
      <c r="Q82" s="18">
        <v>73</v>
      </c>
      <c r="R82" s="24">
        <v>30</v>
      </c>
      <c r="S82" s="4">
        <v>25</v>
      </c>
      <c r="T82" s="3">
        <f t="shared" si="11"/>
        <v>2.8274333882308138E-2</v>
      </c>
      <c r="V82" s="18">
        <f t="shared" si="12"/>
        <v>10</v>
      </c>
      <c r="W82" s="24">
        <f t="shared" si="13"/>
        <v>25</v>
      </c>
      <c r="X82" s="4">
        <f t="shared" si="14"/>
        <v>10</v>
      </c>
      <c r="Y82" s="3">
        <f t="shared" si="15"/>
        <v>4.9087385212340517E-2</v>
      </c>
      <c r="AA82" s="3" t="str">
        <f t="shared" si="10"/>
        <v/>
      </c>
    </row>
    <row r="83" spans="17:27">
      <c r="Q83" s="18">
        <v>74</v>
      </c>
      <c r="R83" s="24">
        <v>32</v>
      </c>
      <c r="S83" s="4">
        <v>25</v>
      </c>
      <c r="T83" s="3">
        <f t="shared" si="11"/>
        <v>3.2169908772759478E-2</v>
      </c>
      <c r="V83" s="18">
        <f t="shared" si="12"/>
        <v>78</v>
      </c>
      <c r="W83" s="24">
        <f t="shared" si="13"/>
        <v>40</v>
      </c>
      <c r="X83" s="4">
        <f t="shared" si="14"/>
        <v>25</v>
      </c>
      <c r="Y83" s="3">
        <f t="shared" si="15"/>
        <v>5.0265482457436693E-2</v>
      </c>
      <c r="AA83" s="3" t="str">
        <f t="shared" si="10"/>
        <v/>
      </c>
    </row>
    <row r="84" spans="17:27">
      <c r="Q84" s="18">
        <v>75</v>
      </c>
      <c r="R84" s="24">
        <v>34</v>
      </c>
      <c r="S84" s="4">
        <v>25</v>
      </c>
      <c r="T84" s="3">
        <f t="shared" si="11"/>
        <v>3.6316811075498008E-2</v>
      </c>
      <c r="V84" s="18">
        <f t="shared" si="12"/>
        <v>56</v>
      </c>
      <c r="W84" s="24">
        <f t="shared" si="13"/>
        <v>36</v>
      </c>
      <c r="X84" s="4">
        <f t="shared" si="14"/>
        <v>20</v>
      </c>
      <c r="Y84" s="3">
        <f t="shared" si="15"/>
        <v>5.0893800988154644E-2</v>
      </c>
      <c r="AA84" s="3" t="str">
        <f t="shared" si="10"/>
        <v/>
      </c>
    </row>
    <row r="85" spans="17:27">
      <c r="Q85" s="18">
        <v>76</v>
      </c>
      <c r="R85" s="24">
        <v>36</v>
      </c>
      <c r="S85" s="4">
        <v>25</v>
      </c>
      <c r="T85" s="3">
        <f t="shared" si="11"/>
        <v>4.0715040790523717E-2</v>
      </c>
      <c r="V85" s="18">
        <f t="shared" si="12"/>
        <v>99</v>
      </c>
      <c r="W85" s="24">
        <f t="shared" si="13"/>
        <v>45</v>
      </c>
      <c r="X85" s="4">
        <f t="shared" si="14"/>
        <v>30</v>
      </c>
      <c r="Y85" s="3">
        <f t="shared" si="15"/>
        <v>5.3014376029327757E-2</v>
      </c>
      <c r="AA85" s="3" t="str">
        <f t="shared" si="10"/>
        <v/>
      </c>
    </row>
    <row r="86" spans="17:27">
      <c r="Q86" s="18">
        <v>77</v>
      </c>
      <c r="R86" s="24">
        <v>38</v>
      </c>
      <c r="S86" s="4">
        <v>25</v>
      </c>
      <c r="T86" s="3">
        <f t="shared" si="11"/>
        <v>4.5364597917836612E-2</v>
      </c>
      <c r="V86" s="18">
        <f t="shared" si="12"/>
        <v>11</v>
      </c>
      <c r="W86" s="24">
        <f t="shared" si="13"/>
        <v>26</v>
      </c>
      <c r="X86" s="4">
        <f t="shared" si="14"/>
        <v>10</v>
      </c>
      <c r="Y86" s="3">
        <f t="shared" si="15"/>
        <v>5.3092915845667506E-2</v>
      </c>
      <c r="AA86" s="3" t="str">
        <f t="shared" si="10"/>
        <v/>
      </c>
    </row>
    <row r="87" spans="17:27">
      <c r="Q87" s="18">
        <v>78</v>
      </c>
      <c r="R87" s="24">
        <v>40</v>
      </c>
      <c r="S87" s="4">
        <v>25</v>
      </c>
      <c r="T87" s="3">
        <f t="shared" si="11"/>
        <v>5.0265482457436693E-2</v>
      </c>
      <c r="V87" s="18">
        <f t="shared" si="12"/>
        <v>34</v>
      </c>
      <c r="W87" s="24">
        <f t="shared" si="13"/>
        <v>32</v>
      </c>
      <c r="X87" s="4">
        <f t="shared" si="14"/>
        <v>15</v>
      </c>
      <c r="Y87" s="3">
        <f t="shared" si="15"/>
        <v>5.36165146212658E-2</v>
      </c>
      <c r="AA87" s="3" t="str">
        <f t="shared" si="10"/>
        <v/>
      </c>
    </row>
    <row r="88" spans="17:27">
      <c r="Q88" s="18">
        <v>79</v>
      </c>
      <c r="R88" s="24">
        <v>45</v>
      </c>
      <c r="S88" s="4">
        <v>25</v>
      </c>
      <c r="T88" s="3">
        <f t="shared" si="11"/>
        <v>6.3617251235193309E-2</v>
      </c>
      <c r="V88" s="18">
        <f t="shared" si="12"/>
        <v>57</v>
      </c>
      <c r="W88" s="24">
        <f t="shared" si="13"/>
        <v>38</v>
      </c>
      <c r="X88" s="4">
        <f t="shared" si="14"/>
        <v>20</v>
      </c>
      <c r="Y88" s="3">
        <f t="shared" si="15"/>
        <v>5.670574739729576E-2</v>
      </c>
      <c r="AA88" s="3" t="str">
        <f t="shared" si="10"/>
        <v/>
      </c>
    </row>
    <row r="89" spans="17:27">
      <c r="Q89" s="18">
        <v>80</v>
      </c>
      <c r="R89" s="24">
        <v>50</v>
      </c>
      <c r="S89" s="4">
        <v>25</v>
      </c>
      <c r="T89" s="3">
        <f t="shared" si="11"/>
        <v>7.8539816339744828E-2</v>
      </c>
      <c r="V89" s="18">
        <f t="shared" si="12"/>
        <v>35</v>
      </c>
      <c r="W89" s="24">
        <f t="shared" si="13"/>
        <v>34</v>
      </c>
      <c r="X89" s="4">
        <f t="shared" si="14"/>
        <v>15</v>
      </c>
      <c r="Y89" s="3">
        <f t="shared" si="15"/>
        <v>6.0528018459163349E-2</v>
      </c>
      <c r="AA89" s="3" t="str">
        <f t="shared" si="10"/>
        <v/>
      </c>
    </row>
    <row r="90" spans="17:27">
      <c r="Q90" s="18">
        <v>81</v>
      </c>
      <c r="R90" s="24">
        <v>8</v>
      </c>
      <c r="S90" s="4">
        <v>30</v>
      </c>
      <c r="T90" s="3">
        <f t="shared" si="11"/>
        <v>1.6755160819145562E-3</v>
      </c>
      <c r="V90" s="18">
        <f t="shared" si="12"/>
        <v>12</v>
      </c>
      <c r="W90" s="24">
        <f t="shared" si="13"/>
        <v>28</v>
      </c>
      <c r="X90" s="4">
        <f t="shared" si="14"/>
        <v>10</v>
      </c>
      <c r="Y90" s="3">
        <f t="shared" si="15"/>
        <v>6.1575216010359944E-2</v>
      </c>
      <c r="AA90" s="3" t="str">
        <f t="shared" si="10"/>
        <v/>
      </c>
    </row>
    <row r="91" spans="17:27">
      <c r="Q91" s="18">
        <v>82</v>
      </c>
      <c r="R91" s="24">
        <v>10</v>
      </c>
      <c r="S91" s="4">
        <v>30</v>
      </c>
      <c r="T91" s="3">
        <f t="shared" si="11"/>
        <v>2.6179938779914945E-3</v>
      </c>
      <c r="V91" s="18">
        <f t="shared" si="12"/>
        <v>58</v>
      </c>
      <c r="W91" s="24">
        <f t="shared" si="13"/>
        <v>40</v>
      </c>
      <c r="X91" s="4">
        <f t="shared" si="14"/>
        <v>20</v>
      </c>
      <c r="Y91" s="3">
        <f t="shared" si="15"/>
        <v>6.2831853071795868E-2</v>
      </c>
      <c r="AA91" s="3" t="str">
        <f t="shared" si="10"/>
        <v/>
      </c>
    </row>
    <row r="92" spans="17:27">
      <c r="Q92" s="18">
        <v>83</v>
      </c>
      <c r="R92" s="24">
        <v>12</v>
      </c>
      <c r="S92" s="4">
        <v>30</v>
      </c>
      <c r="T92" s="3">
        <f t="shared" si="11"/>
        <v>3.7699111843077517E-3</v>
      </c>
      <c r="V92" s="18">
        <f t="shared" si="12"/>
        <v>79</v>
      </c>
      <c r="W92" s="24">
        <f t="shared" si="13"/>
        <v>45</v>
      </c>
      <c r="X92" s="4">
        <f t="shared" si="14"/>
        <v>25</v>
      </c>
      <c r="Y92" s="3">
        <f t="shared" si="15"/>
        <v>6.3617251235193309E-2</v>
      </c>
      <c r="AA92" s="3" t="str">
        <f t="shared" si="10"/>
        <v/>
      </c>
    </row>
    <row r="93" spans="17:27">
      <c r="Q93" s="18">
        <v>84</v>
      </c>
      <c r="R93" s="24">
        <v>14</v>
      </c>
      <c r="S93" s="4">
        <v>30</v>
      </c>
      <c r="T93" s="3">
        <f t="shared" si="11"/>
        <v>5.1312680008633281E-3</v>
      </c>
      <c r="V93" s="18">
        <f t="shared" si="12"/>
        <v>100</v>
      </c>
      <c r="W93" s="24">
        <f t="shared" si="13"/>
        <v>50</v>
      </c>
      <c r="X93" s="4">
        <f t="shared" si="14"/>
        <v>30</v>
      </c>
      <c r="Y93" s="3">
        <f t="shared" si="15"/>
        <v>6.5449846949787352E-2</v>
      </c>
      <c r="AA93" s="3" t="str">
        <f t="shared" si="10"/>
        <v/>
      </c>
    </row>
    <row r="94" spans="17:27">
      <c r="Q94" s="18">
        <v>85</v>
      </c>
      <c r="R94" s="24">
        <v>16</v>
      </c>
      <c r="S94" s="4">
        <v>30</v>
      </c>
      <c r="T94" s="3">
        <f t="shared" si="11"/>
        <v>6.702064327658225E-3</v>
      </c>
      <c r="V94" s="18">
        <f t="shared" si="12"/>
        <v>36</v>
      </c>
      <c r="W94" s="24">
        <f t="shared" si="13"/>
        <v>36</v>
      </c>
      <c r="X94" s="4">
        <f t="shared" si="14"/>
        <v>15</v>
      </c>
      <c r="Y94" s="3">
        <f t="shared" si="15"/>
        <v>6.7858401317539535E-2</v>
      </c>
      <c r="AA94" s="3" t="str">
        <f t="shared" si="10"/>
        <v/>
      </c>
    </row>
    <row r="95" spans="17:27">
      <c r="Q95" s="18">
        <v>86</v>
      </c>
      <c r="R95" s="24">
        <v>18</v>
      </c>
      <c r="S95" s="4">
        <v>30</v>
      </c>
      <c r="T95" s="3">
        <f t="shared" si="11"/>
        <v>8.4823001646924419E-3</v>
      </c>
      <c r="V95" s="18">
        <f t="shared" si="12"/>
        <v>13</v>
      </c>
      <c r="W95" s="24">
        <f t="shared" si="13"/>
        <v>30</v>
      </c>
      <c r="X95" s="4">
        <f t="shared" si="14"/>
        <v>10</v>
      </c>
      <c r="Y95" s="3">
        <f t="shared" si="15"/>
        <v>7.0685834705770348E-2</v>
      </c>
      <c r="AA95" s="3" t="str">
        <f t="shared" si="10"/>
        <v/>
      </c>
    </row>
    <row r="96" spans="17:27">
      <c r="Q96" s="18">
        <v>87</v>
      </c>
      <c r="R96" s="24">
        <v>20</v>
      </c>
      <c r="S96" s="4">
        <v>30</v>
      </c>
      <c r="T96" s="3">
        <f t="shared" si="11"/>
        <v>1.0471975511965978E-2</v>
      </c>
      <c r="V96" s="18">
        <f t="shared" si="12"/>
        <v>37</v>
      </c>
      <c r="W96" s="24">
        <f t="shared" si="13"/>
        <v>38</v>
      </c>
      <c r="X96" s="4">
        <f t="shared" si="14"/>
        <v>15</v>
      </c>
      <c r="Y96" s="3">
        <f t="shared" si="15"/>
        <v>7.5607663196394351E-2</v>
      </c>
      <c r="AA96" s="3" t="str">
        <f t="shared" si="10"/>
        <v/>
      </c>
    </row>
    <row r="97" spans="17:27">
      <c r="Q97" s="18">
        <v>88</v>
      </c>
      <c r="R97" s="24">
        <v>22</v>
      </c>
      <c r="S97" s="4">
        <v>30</v>
      </c>
      <c r="T97" s="3">
        <f t="shared" si="11"/>
        <v>1.2671090369478832E-2</v>
      </c>
      <c r="V97" s="18">
        <f t="shared" si="12"/>
        <v>80</v>
      </c>
      <c r="W97" s="24">
        <f t="shared" si="13"/>
        <v>50</v>
      </c>
      <c r="X97" s="4">
        <f t="shared" si="14"/>
        <v>25</v>
      </c>
      <c r="Y97" s="3">
        <f t="shared" si="15"/>
        <v>7.8539816339744828E-2</v>
      </c>
      <c r="AA97" s="3" t="str">
        <f t="shared" si="10"/>
        <v/>
      </c>
    </row>
    <row r="98" spans="17:27">
      <c r="Q98" s="18">
        <v>89</v>
      </c>
      <c r="R98" s="24">
        <v>24</v>
      </c>
      <c r="S98" s="4">
        <v>30</v>
      </c>
      <c r="T98" s="3">
        <f t="shared" si="11"/>
        <v>1.5079644737231007E-2</v>
      </c>
      <c r="V98" s="18">
        <f t="shared" si="12"/>
        <v>59</v>
      </c>
      <c r="W98" s="24">
        <f t="shared" si="13"/>
        <v>45</v>
      </c>
      <c r="X98" s="4">
        <f t="shared" si="14"/>
        <v>20</v>
      </c>
      <c r="Y98" s="3">
        <f t="shared" si="15"/>
        <v>7.9521564043991633E-2</v>
      </c>
      <c r="AA98" s="3" t="str">
        <f t="shared" si="10"/>
        <v/>
      </c>
    </row>
    <row r="99" spans="17:27">
      <c r="Q99" s="18">
        <v>90</v>
      </c>
      <c r="R99" s="24">
        <v>25</v>
      </c>
      <c r="S99" s="4">
        <v>30</v>
      </c>
      <c r="T99" s="3">
        <f t="shared" si="11"/>
        <v>1.6362461737446838E-2</v>
      </c>
      <c r="V99" s="18">
        <f t="shared" si="12"/>
        <v>14</v>
      </c>
      <c r="W99" s="24">
        <f t="shared" si="13"/>
        <v>32</v>
      </c>
      <c r="X99" s="4">
        <f t="shared" si="14"/>
        <v>10</v>
      </c>
      <c r="Y99" s="3">
        <f t="shared" si="15"/>
        <v>8.0424771931898703E-2</v>
      </c>
      <c r="AA99" s="3" t="str">
        <f t="shared" si="10"/>
        <v/>
      </c>
    </row>
    <row r="100" spans="17:27">
      <c r="Q100" s="18">
        <v>91</v>
      </c>
      <c r="R100" s="24">
        <v>26</v>
      </c>
      <c r="S100" s="4">
        <v>30</v>
      </c>
      <c r="T100" s="3">
        <f t="shared" si="11"/>
        <v>1.7697638615222503E-2</v>
      </c>
      <c r="V100" s="18">
        <f t="shared" si="12"/>
        <v>38</v>
      </c>
      <c r="W100" s="24">
        <f t="shared" si="13"/>
        <v>40</v>
      </c>
      <c r="X100" s="4">
        <f t="shared" si="14"/>
        <v>15</v>
      </c>
      <c r="Y100" s="3">
        <f t="shared" si="15"/>
        <v>8.3775804095727824E-2</v>
      </c>
      <c r="AA100" s="3" t="str">
        <f t="shared" si="10"/>
        <v/>
      </c>
    </row>
    <row r="101" spans="17:27">
      <c r="Q101" s="18">
        <v>92</v>
      </c>
      <c r="R101" s="24">
        <v>28</v>
      </c>
      <c r="S101" s="4">
        <v>30</v>
      </c>
      <c r="T101" s="3">
        <f t="shared" si="11"/>
        <v>2.0525072003453312E-2</v>
      </c>
      <c r="V101" s="18">
        <f t="shared" si="12"/>
        <v>15</v>
      </c>
      <c r="W101" s="24">
        <f t="shared" si="13"/>
        <v>34</v>
      </c>
      <c r="X101" s="4">
        <f t="shared" si="14"/>
        <v>10</v>
      </c>
      <c r="Y101" s="3">
        <f t="shared" si="15"/>
        <v>9.0792027688745017E-2</v>
      </c>
      <c r="AA101" s="3" t="str">
        <f t="shared" si="10"/>
        <v/>
      </c>
    </row>
    <row r="102" spans="17:27">
      <c r="Q102" s="18">
        <v>93</v>
      </c>
      <c r="R102" s="24">
        <v>30</v>
      </c>
      <c r="S102" s="4">
        <v>30</v>
      </c>
      <c r="T102" s="3">
        <f t="shared" si="11"/>
        <v>2.3561944901923447E-2</v>
      </c>
      <c r="V102" s="18">
        <f t="shared" si="12"/>
        <v>60</v>
      </c>
      <c r="W102" s="24">
        <f t="shared" si="13"/>
        <v>50</v>
      </c>
      <c r="X102" s="4">
        <f t="shared" si="14"/>
        <v>20</v>
      </c>
      <c r="Y102" s="3">
        <f t="shared" si="15"/>
        <v>9.8174770424681035E-2</v>
      </c>
      <c r="AA102" s="3" t="str">
        <f t="shared" si="10"/>
        <v/>
      </c>
    </row>
    <row r="103" spans="17:27">
      <c r="Q103" s="18">
        <v>94</v>
      </c>
      <c r="R103" s="24">
        <v>32</v>
      </c>
      <c r="S103" s="4">
        <v>30</v>
      </c>
      <c r="T103" s="3">
        <f t="shared" si="11"/>
        <v>2.68082573106329E-2</v>
      </c>
      <c r="V103" s="18">
        <f t="shared" si="12"/>
        <v>16</v>
      </c>
      <c r="W103" s="24">
        <f t="shared" si="13"/>
        <v>36</v>
      </c>
      <c r="X103" s="4">
        <f t="shared" si="14"/>
        <v>10</v>
      </c>
      <c r="Y103" s="3">
        <f t="shared" si="15"/>
        <v>0.10178760197630929</v>
      </c>
      <c r="AA103" s="3" t="str">
        <f t="shared" si="10"/>
        <v/>
      </c>
    </row>
    <row r="104" spans="17:27">
      <c r="Q104" s="18">
        <v>95</v>
      </c>
      <c r="R104" s="24">
        <v>34</v>
      </c>
      <c r="S104" s="4">
        <v>30</v>
      </c>
      <c r="T104" s="3">
        <f t="shared" si="11"/>
        <v>3.0264009229581675E-2</v>
      </c>
      <c r="V104" s="18">
        <f t="shared" si="12"/>
        <v>39</v>
      </c>
      <c r="W104" s="24">
        <f t="shared" si="13"/>
        <v>45</v>
      </c>
      <c r="X104" s="4">
        <f t="shared" si="14"/>
        <v>15</v>
      </c>
      <c r="Y104" s="3">
        <f t="shared" si="15"/>
        <v>0.10602875205865551</v>
      </c>
      <c r="AA104" s="3" t="str">
        <f t="shared" si="10"/>
        <v/>
      </c>
    </row>
    <row r="105" spans="17:27">
      <c r="Q105" s="18">
        <v>96</v>
      </c>
      <c r="R105" s="24">
        <v>36</v>
      </c>
      <c r="S105" s="4">
        <v>30</v>
      </c>
      <c r="T105" s="3">
        <f t="shared" si="11"/>
        <v>3.3929200658769768E-2</v>
      </c>
      <c r="V105" s="18">
        <f t="shared" si="12"/>
        <v>17</v>
      </c>
      <c r="W105" s="24">
        <f t="shared" si="13"/>
        <v>38</v>
      </c>
      <c r="X105" s="4">
        <f t="shared" si="14"/>
        <v>10</v>
      </c>
      <c r="Y105" s="3">
        <f t="shared" si="15"/>
        <v>0.11341149479459152</v>
      </c>
      <c r="AA105" s="3" t="str">
        <f t="shared" si="10"/>
        <v/>
      </c>
    </row>
    <row r="106" spans="17:27">
      <c r="Q106" s="18">
        <v>97</v>
      </c>
      <c r="R106" s="24">
        <v>38</v>
      </c>
      <c r="S106" s="4">
        <v>30</v>
      </c>
      <c r="T106" s="3">
        <f t="shared" si="11"/>
        <v>3.7803831598197175E-2</v>
      </c>
      <c r="V106" s="18">
        <f t="shared" si="12"/>
        <v>18</v>
      </c>
      <c r="W106" s="24">
        <f t="shared" si="13"/>
        <v>40</v>
      </c>
      <c r="X106" s="4">
        <f t="shared" si="14"/>
        <v>10</v>
      </c>
      <c r="Y106" s="3">
        <f t="shared" si="15"/>
        <v>0.12566370614359174</v>
      </c>
      <c r="AA106" s="3" t="str">
        <f t="shared" si="10"/>
        <v/>
      </c>
    </row>
    <row r="107" spans="17:27">
      <c r="Q107" s="18">
        <v>98</v>
      </c>
      <c r="R107" s="24">
        <v>40</v>
      </c>
      <c r="S107" s="4">
        <v>30</v>
      </c>
      <c r="T107" s="3">
        <f t="shared" si="11"/>
        <v>4.1887902047863912E-2</v>
      </c>
      <c r="V107" s="18">
        <f t="shared" si="12"/>
        <v>40</v>
      </c>
      <c r="W107" s="24">
        <f t="shared" si="13"/>
        <v>50</v>
      </c>
      <c r="X107" s="4">
        <f t="shared" si="14"/>
        <v>15</v>
      </c>
      <c r="Y107" s="3">
        <f t="shared" si="15"/>
        <v>0.1308996938995747</v>
      </c>
      <c r="AA107" s="3" t="str">
        <f t="shared" si="10"/>
        <v/>
      </c>
    </row>
    <row r="108" spans="17:27">
      <c r="Q108" s="18">
        <v>99</v>
      </c>
      <c r="R108" s="24">
        <v>45</v>
      </c>
      <c r="S108" s="4">
        <v>30</v>
      </c>
      <c r="T108" s="3">
        <f t="shared" si="11"/>
        <v>5.3014376029327757E-2</v>
      </c>
      <c r="V108" s="18">
        <f t="shared" si="12"/>
        <v>19</v>
      </c>
      <c r="W108" s="24">
        <f t="shared" si="13"/>
        <v>45</v>
      </c>
      <c r="X108" s="4">
        <f t="shared" si="14"/>
        <v>10</v>
      </c>
      <c r="Y108" s="3">
        <f t="shared" si="15"/>
        <v>0.15904312808798327</v>
      </c>
      <c r="AA108" s="3" t="str">
        <f t="shared" si="10"/>
        <v/>
      </c>
    </row>
    <row r="109" spans="17:27">
      <c r="Q109" s="18">
        <v>100</v>
      </c>
      <c r="R109" s="24">
        <v>50</v>
      </c>
      <c r="S109" s="4">
        <v>30</v>
      </c>
      <c r="T109" s="3">
        <f t="shared" si="11"/>
        <v>6.5449846949787352E-2</v>
      </c>
      <c r="V109" s="18">
        <f t="shared" si="12"/>
        <v>20</v>
      </c>
      <c r="W109" s="24">
        <f t="shared" si="13"/>
        <v>50</v>
      </c>
      <c r="X109" s="4">
        <f t="shared" si="14"/>
        <v>10</v>
      </c>
      <c r="Y109" s="3">
        <f t="shared" si="15"/>
        <v>0.19634954084936207</v>
      </c>
      <c r="AA109" s="3" t="str">
        <f t="shared" si="10"/>
        <v/>
      </c>
    </row>
    <row r="117" spans="15:32">
      <c r="O117" s="96" t="s">
        <v>103</v>
      </c>
      <c r="Q117" t="s">
        <v>90</v>
      </c>
      <c r="V117" t="s">
        <v>91</v>
      </c>
    </row>
    <row r="118" spans="15:32">
      <c r="O118" s="96"/>
    </row>
    <row r="119" spans="15:32">
      <c r="O119" s="96"/>
    </row>
    <row r="120" spans="15:32">
      <c r="O120" s="96"/>
      <c r="Q120" s="95" t="s">
        <v>94</v>
      </c>
      <c r="R120" s="95"/>
      <c r="T120" s="95" t="s">
        <v>95</v>
      </c>
      <c r="U120" s="95"/>
      <c r="W120" s="95" t="s">
        <v>96</v>
      </c>
      <c r="X120" s="95"/>
    </row>
    <row r="121" spans="15:32">
      <c r="O121" s="96"/>
      <c r="Q121">
        <f>'מסך ראשי'!F72</f>
        <v>2.5000000000000001E-3</v>
      </c>
      <c r="R121" t="s">
        <v>92</v>
      </c>
      <c r="T121" s="26">
        <f>'מסך ראשי'!F77</f>
        <v>8</v>
      </c>
      <c r="U121" t="s">
        <v>92</v>
      </c>
      <c r="W121">
        <f>'מסך ראשי'!F75</f>
        <v>10</v>
      </c>
      <c r="X121" t="s">
        <v>92</v>
      </c>
      <c r="AA121" t="s">
        <v>99</v>
      </c>
    </row>
    <row r="122" spans="15:32">
      <c r="O122" s="96"/>
      <c r="Q122">
        <f>'מסך ראשי'!F69</f>
        <v>0.4</v>
      </c>
      <c r="R122" t="s">
        <v>93</v>
      </c>
      <c r="T122" s="26">
        <f>'מסך ראשי'!F73</f>
        <v>20</v>
      </c>
      <c r="U122" t="s">
        <v>93</v>
      </c>
      <c r="W122">
        <f>'מסך ראשי'!F76</f>
        <v>10</v>
      </c>
      <c r="X122" t="s">
        <v>93</v>
      </c>
      <c r="AA122" t="s">
        <v>100</v>
      </c>
    </row>
    <row r="124" spans="15:32">
      <c r="Q124" s="25" t="s">
        <v>87</v>
      </c>
      <c r="R124" s="25" t="s">
        <v>86</v>
      </c>
      <c r="S124" s="25" t="s">
        <v>79</v>
      </c>
      <c r="T124" s="25" t="s">
        <v>89</v>
      </c>
      <c r="V124" s="25" t="s">
        <v>87</v>
      </c>
      <c r="W124" s="25" t="s">
        <v>86</v>
      </c>
      <c r="X124" s="25" t="s">
        <v>79</v>
      </c>
      <c r="Y124" s="25" t="s">
        <v>89</v>
      </c>
      <c r="AA124" s="28" t="s">
        <v>98</v>
      </c>
      <c r="AC124" s="25" t="s">
        <v>87</v>
      </c>
      <c r="AD124" s="25" t="s">
        <v>86</v>
      </c>
      <c r="AE124" s="25" t="s">
        <v>79</v>
      </c>
      <c r="AF124" s="25" t="s">
        <v>89</v>
      </c>
    </row>
    <row r="125" spans="15:32">
      <c r="Q125" s="18">
        <v>1</v>
      </c>
      <c r="R125" s="24">
        <v>8</v>
      </c>
      <c r="S125" s="4">
        <v>10</v>
      </c>
      <c r="T125" s="3">
        <f>0.5*PI()*(R125^2)/($H$2*S125*100)</f>
        <v>5.0265482457436689E-3</v>
      </c>
      <c r="V125" s="18">
        <f>INDEX(Q$125:Q$224,MATCH($Y125,$T$125:$T$224,0))</f>
        <v>81</v>
      </c>
      <c r="W125" s="24">
        <f>INDEX(R$125:R$224,MATCH($Y125,$T$125:$T$224,0))</f>
        <v>8</v>
      </c>
      <c r="X125" s="4">
        <f>INDEX(S$125:S$224,MATCH($Y125,$T$125:$T$224,0))</f>
        <v>30</v>
      </c>
      <c r="Y125" s="3">
        <f>SMALL(T$125:T$224,Q125)</f>
        <v>1.6755160819145562E-3</v>
      </c>
      <c r="AA125" s="3" t="str">
        <f>IF(AND(IF(Y125&lt;$Q$121,0,IF(Y125&gt;$Q$122,0,1)),IF(W125&lt;$T$121,0,IF(W125&gt;$T$122,0,1)),IF(X125&lt;$W$121,0,IF(X125&gt;$W$122,0,1))),Q125,"")</f>
        <v/>
      </c>
      <c r="AC125" s="18">
        <f>SMALL(AA$125:AA$224,Q125)</f>
        <v>10</v>
      </c>
      <c r="AD125" s="24" cm="1">
        <f t="array" ref="AD125">INDEX(W$125:W$224,$AC125)</f>
        <v>8</v>
      </c>
      <c r="AE125" s="4" cm="1">
        <f t="array" ref="AE125">INDEX(X$125:X$224,$AC125)</f>
        <v>10</v>
      </c>
      <c r="AF125" s="3" cm="1">
        <f t="array" ref="AF125">INDEX(Y$125:Y$224,$AC125)</f>
        <v>5.0265482457436689E-3</v>
      </c>
    </row>
    <row r="126" spans="15:32">
      <c r="Q126" s="18">
        <v>2</v>
      </c>
      <c r="R126" s="24">
        <v>10</v>
      </c>
      <c r="S126" s="4">
        <v>10</v>
      </c>
      <c r="T126" s="3">
        <f t="shared" ref="T126:T134" si="16">0.5*PI()*(R126^2)/($H$2*S126*100)</f>
        <v>7.8539816339744835E-3</v>
      </c>
      <c r="V126" s="18">
        <f t="shared" ref="V126:V189" si="17">INDEX(Q$125:Q$224,MATCH($Y126,$T$125:$T$224,0))</f>
        <v>61</v>
      </c>
      <c r="W126" s="24">
        <f t="shared" ref="W126:W189" si="18">INDEX(R$125:R$224,MATCH($Y126,$T$125:$T$224,0))</f>
        <v>8</v>
      </c>
      <c r="X126" s="4">
        <f t="shared" ref="X126:X189" si="19">INDEX(S$125:S$224,MATCH($Y126,$T$125:$T$224,0))</f>
        <v>25</v>
      </c>
      <c r="Y126" s="3">
        <f t="shared" ref="Y126:Y189" si="20">SMALL(T$125:T$224,Q126)</f>
        <v>2.0106192982974674E-3</v>
      </c>
      <c r="AA126" s="3" t="str">
        <f t="shared" ref="AA126:AA189" si="21">IF(AND(IF(Y126&lt;$Q$121,0,IF(Y126&gt;$Q$122,0,1)),IF(W126&lt;$T$121,0,IF(W126&gt;$T$122,0,1)),IF(X126&lt;$W$121,0,IF(X126&gt;$W$122,0,1))),Q126,"")</f>
        <v/>
      </c>
      <c r="AC126" s="18">
        <f t="shared" ref="AC126:AC134" si="22">SMALL(AA$125:AA$224,Q126)</f>
        <v>18</v>
      </c>
      <c r="AD126" s="24" cm="1">
        <f t="array" ref="AD126">INDEX(W$125:W$224,$AC126)</f>
        <v>10</v>
      </c>
      <c r="AE126" s="4" cm="1">
        <f t="array" ref="AE126">INDEX(X$125:X$224,$AC126)</f>
        <v>10</v>
      </c>
      <c r="AF126" s="3" cm="1">
        <f t="array" ref="AF126">INDEX(Y$125:Y$224,$AC126)</f>
        <v>7.8539816339744835E-3</v>
      </c>
    </row>
    <row r="127" spans="15:32">
      <c r="Q127" s="18">
        <v>3</v>
      </c>
      <c r="R127" s="24">
        <v>12</v>
      </c>
      <c r="S127" s="4">
        <v>10</v>
      </c>
      <c r="T127" s="3">
        <f t="shared" si="16"/>
        <v>1.1309733552923255E-2</v>
      </c>
      <c r="V127" s="18">
        <f t="shared" si="17"/>
        <v>41</v>
      </c>
      <c r="W127" s="24">
        <f t="shared" si="18"/>
        <v>8</v>
      </c>
      <c r="X127" s="4">
        <f t="shared" si="19"/>
        <v>20</v>
      </c>
      <c r="Y127" s="3">
        <f t="shared" si="20"/>
        <v>2.5132741228718345E-3</v>
      </c>
      <c r="AA127" s="3" t="str">
        <f t="shared" si="21"/>
        <v/>
      </c>
      <c r="AC127" s="18">
        <f t="shared" si="22"/>
        <v>25</v>
      </c>
      <c r="AD127" s="24" cm="1">
        <f t="array" ref="AD127">INDEX(W$125:W$224,$AC127)</f>
        <v>12</v>
      </c>
      <c r="AE127" s="4" cm="1">
        <f t="array" ref="AE127">INDEX(X$125:X$224,$AC127)</f>
        <v>10</v>
      </c>
      <c r="AF127" s="3" cm="1">
        <f t="array" ref="AF127">INDEX(Y$125:Y$224,$AC127)</f>
        <v>1.1309733552923255E-2</v>
      </c>
    </row>
    <row r="128" spans="15:32">
      <c r="Q128" s="18">
        <v>4</v>
      </c>
      <c r="R128" s="24">
        <v>14</v>
      </c>
      <c r="S128" s="4">
        <v>10</v>
      </c>
      <c r="T128" s="3">
        <f t="shared" si="16"/>
        <v>1.5393804002589986E-2</v>
      </c>
      <c r="V128" s="18">
        <f t="shared" si="17"/>
        <v>82</v>
      </c>
      <c r="W128" s="24">
        <f t="shared" si="18"/>
        <v>10</v>
      </c>
      <c r="X128" s="4">
        <f t="shared" si="19"/>
        <v>30</v>
      </c>
      <c r="Y128" s="3">
        <f t="shared" si="20"/>
        <v>2.6179938779914945E-3</v>
      </c>
      <c r="AA128" s="3" t="str">
        <f t="shared" si="21"/>
        <v/>
      </c>
      <c r="AC128" s="18">
        <f t="shared" si="22"/>
        <v>32</v>
      </c>
      <c r="AD128" s="24" cm="1">
        <f t="array" ref="AD128">INDEX(W$125:W$224,$AC128)</f>
        <v>14</v>
      </c>
      <c r="AE128" s="4" cm="1">
        <f t="array" ref="AE128">INDEX(X$125:X$224,$AC128)</f>
        <v>10</v>
      </c>
      <c r="AF128" s="3" cm="1">
        <f t="array" ref="AF128">INDEX(Y$125:Y$224,$AC128)</f>
        <v>1.5393804002589986E-2</v>
      </c>
    </row>
    <row r="129" spans="17:32">
      <c r="Q129" s="18">
        <v>5</v>
      </c>
      <c r="R129" s="24">
        <v>16</v>
      </c>
      <c r="S129" s="4">
        <v>10</v>
      </c>
      <c r="T129" s="3">
        <f t="shared" si="16"/>
        <v>2.0106192982974676E-2</v>
      </c>
      <c r="V129" s="18">
        <f t="shared" si="17"/>
        <v>62</v>
      </c>
      <c r="W129" s="24">
        <f t="shared" si="18"/>
        <v>10</v>
      </c>
      <c r="X129" s="4">
        <f t="shared" si="19"/>
        <v>25</v>
      </c>
      <c r="Y129" s="3">
        <f t="shared" si="20"/>
        <v>3.1415926535897933E-3</v>
      </c>
      <c r="AA129" s="3" t="str">
        <f t="shared" si="21"/>
        <v/>
      </c>
      <c r="AC129" s="18">
        <f t="shared" si="22"/>
        <v>40</v>
      </c>
      <c r="AD129" s="24" cm="1">
        <f t="array" ref="AD129">INDEX(W$125:W$224,$AC129)</f>
        <v>16</v>
      </c>
      <c r="AE129" s="4" cm="1">
        <f t="array" ref="AE129">INDEX(X$125:X$224,$AC129)</f>
        <v>10</v>
      </c>
      <c r="AF129" s="3" cm="1">
        <f t="array" ref="AF129">INDEX(Y$125:Y$224,$AC129)</f>
        <v>2.0106192982974676E-2</v>
      </c>
    </row>
    <row r="130" spans="17:32">
      <c r="Q130" s="18">
        <v>6</v>
      </c>
      <c r="R130" s="24">
        <v>18</v>
      </c>
      <c r="S130" s="4">
        <v>10</v>
      </c>
      <c r="T130" s="3">
        <f t="shared" si="16"/>
        <v>2.5446900494077322E-2</v>
      </c>
      <c r="V130" s="18">
        <f t="shared" si="17"/>
        <v>21</v>
      </c>
      <c r="W130" s="24">
        <f t="shared" si="18"/>
        <v>8</v>
      </c>
      <c r="X130" s="4">
        <f t="shared" si="19"/>
        <v>15</v>
      </c>
      <c r="Y130" s="3">
        <f t="shared" si="20"/>
        <v>3.3510321638291125E-3</v>
      </c>
      <c r="AA130" s="3" t="str">
        <f t="shared" si="21"/>
        <v/>
      </c>
      <c r="AC130" s="18">
        <f t="shared" si="22"/>
        <v>49</v>
      </c>
      <c r="AD130" s="24" cm="1">
        <f t="array" ref="AD130">INDEX(W$125:W$224,$AC130)</f>
        <v>18</v>
      </c>
      <c r="AE130" s="4" cm="1">
        <f t="array" ref="AE130">INDEX(X$125:X$224,$AC130)</f>
        <v>10</v>
      </c>
      <c r="AF130" s="3" cm="1">
        <f t="array" ref="AF130">INDEX(Y$125:Y$224,$AC130)</f>
        <v>2.5446900494077322E-2</v>
      </c>
    </row>
    <row r="131" spans="17:32">
      <c r="Q131" s="18">
        <v>7</v>
      </c>
      <c r="R131" s="24">
        <v>20</v>
      </c>
      <c r="S131" s="4">
        <v>10</v>
      </c>
      <c r="T131" s="3">
        <f t="shared" si="16"/>
        <v>3.1415926535897934E-2</v>
      </c>
      <c r="V131" s="18">
        <f t="shared" si="17"/>
        <v>83</v>
      </c>
      <c r="W131" s="24">
        <f t="shared" si="18"/>
        <v>12</v>
      </c>
      <c r="X131" s="4">
        <f t="shared" si="19"/>
        <v>30</v>
      </c>
      <c r="Y131" s="3">
        <f t="shared" si="20"/>
        <v>3.7699111843077517E-3</v>
      </c>
      <c r="AA131" s="3" t="str">
        <f t="shared" si="21"/>
        <v/>
      </c>
      <c r="AC131" s="18">
        <f t="shared" si="22"/>
        <v>56</v>
      </c>
      <c r="AD131" s="24" cm="1">
        <f t="array" ref="AD131">INDEX(W$125:W$224,$AC131)</f>
        <v>20</v>
      </c>
      <c r="AE131" s="4" cm="1">
        <f t="array" ref="AE131">INDEX(X$125:X$224,$AC131)</f>
        <v>10</v>
      </c>
      <c r="AF131" s="3" cm="1">
        <f t="array" ref="AF131">INDEX(Y$125:Y$224,$AC131)</f>
        <v>3.1415926535897934E-2</v>
      </c>
    </row>
    <row r="132" spans="17:32">
      <c r="Q132" s="18">
        <v>8</v>
      </c>
      <c r="R132" s="24">
        <v>22</v>
      </c>
      <c r="S132" s="4">
        <v>10</v>
      </c>
      <c r="T132" s="3">
        <f t="shared" si="16"/>
        <v>3.8013271108436497E-2</v>
      </c>
      <c r="V132" s="18">
        <f t="shared" si="17"/>
        <v>42</v>
      </c>
      <c r="W132" s="24">
        <f t="shared" si="18"/>
        <v>10</v>
      </c>
      <c r="X132" s="4">
        <f t="shared" si="19"/>
        <v>20</v>
      </c>
      <c r="Y132" s="3">
        <f t="shared" si="20"/>
        <v>3.9269908169872417E-3</v>
      </c>
      <c r="AA132" s="3" t="str">
        <f t="shared" si="21"/>
        <v/>
      </c>
      <c r="AC132" s="18" t="e">
        <f t="shared" si="22"/>
        <v>#NUM!</v>
      </c>
      <c r="AD132" s="24" t="e" cm="1">
        <f t="array" ref="AD132">INDEX(W$125:W$224,$AC132)</f>
        <v>#NUM!</v>
      </c>
      <c r="AE132" s="4" t="e" cm="1">
        <f t="array" ref="AE132">INDEX(X$125:X$224,$AC132)</f>
        <v>#NUM!</v>
      </c>
      <c r="AF132" s="3" t="e" cm="1">
        <f t="array" ref="AF132">INDEX(Y$125:Y$224,$AC132)</f>
        <v>#NUM!</v>
      </c>
    </row>
    <row r="133" spans="17:32">
      <c r="Q133" s="18">
        <v>9</v>
      </c>
      <c r="R133" s="24">
        <v>24</v>
      </c>
      <c r="S133" s="4">
        <v>10</v>
      </c>
      <c r="T133" s="3">
        <f t="shared" si="16"/>
        <v>4.5238934211693019E-2</v>
      </c>
      <c r="V133" s="18">
        <f t="shared" si="17"/>
        <v>63</v>
      </c>
      <c r="W133" s="24">
        <f t="shared" si="18"/>
        <v>12</v>
      </c>
      <c r="X133" s="4">
        <f t="shared" si="19"/>
        <v>25</v>
      </c>
      <c r="Y133" s="3">
        <f t="shared" si="20"/>
        <v>4.5238934211693019E-3</v>
      </c>
      <c r="AA133" s="3" t="str">
        <f t="shared" si="21"/>
        <v/>
      </c>
      <c r="AC133" s="18" t="e">
        <f t="shared" si="22"/>
        <v>#NUM!</v>
      </c>
      <c r="AD133" s="24" t="e" cm="1">
        <f t="array" ref="AD133">INDEX(W$125:W$224,$AC133)</f>
        <v>#NUM!</v>
      </c>
      <c r="AE133" s="4" t="e" cm="1">
        <f t="array" ref="AE133">INDEX(X$125:X$224,$AC133)</f>
        <v>#NUM!</v>
      </c>
      <c r="AF133" s="3" t="e" cm="1">
        <f t="array" ref="AF133">INDEX(Y$125:Y$224,$AC133)</f>
        <v>#NUM!</v>
      </c>
    </row>
    <row r="134" spans="17:32">
      <c r="Q134" s="18">
        <v>10</v>
      </c>
      <c r="R134" s="24">
        <v>25</v>
      </c>
      <c r="S134" s="4">
        <v>10</v>
      </c>
      <c r="T134" s="3">
        <f t="shared" si="16"/>
        <v>4.9087385212340517E-2</v>
      </c>
      <c r="V134" s="18">
        <f t="shared" si="17"/>
        <v>1</v>
      </c>
      <c r="W134" s="24">
        <f t="shared" si="18"/>
        <v>8</v>
      </c>
      <c r="X134" s="4">
        <f t="shared" si="19"/>
        <v>10</v>
      </c>
      <c r="Y134" s="3">
        <f t="shared" si="20"/>
        <v>5.0265482457436689E-3</v>
      </c>
      <c r="AA134" s="3">
        <f t="shared" si="21"/>
        <v>10</v>
      </c>
      <c r="AC134" s="18" t="e">
        <f t="shared" si="22"/>
        <v>#NUM!</v>
      </c>
      <c r="AD134" s="24" t="e" cm="1">
        <f t="array" ref="AD134">INDEX(W$125:W$224,$AC134)</f>
        <v>#NUM!</v>
      </c>
      <c r="AE134" s="4" t="e" cm="1">
        <f t="array" ref="AE134">INDEX(X$125:X$224,$AC134)</f>
        <v>#NUM!</v>
      </c>
      <c r="AF134" s="3" t="e" cm="1">
        <f t="array" ref="AF134">INDEX(Y$125:Y$224,$AC134)</f>
        <v>#NUM!</v>
      </c>
    </row>
    <row r="135" spans="17:32">
      <c r="Q135" s="18">
        <v>11</v>
      </c>
      <c r="R135" s="24">
        <v>26</v>
      </c>
      <c r="S135" s="4">
        <v>10</v>
      </c>
      <c r="T135" s="3">
        <f>0.5*PI()*(R135^2)/($H$2*S135*100)</f>
        <v>5.3092915845667506E-2</v>
      </c>
      <c r="V135" s="18">
        <f t="shared" si="17"/>
        <v>84</v>
      </c>
      <c r="W135" s="24">
        <f t="shared" si="18"/>
        <v>14</v>
      </c>
      <c r="X135" s="4">
        <f t="shared" si="19"/>
        <v>30</v>
      </c>
      <c r="Y135" s="3">
        <f t="shared" si="20"/>
        <v>5.1312680008633281E-3</v>
      </c>
      <c r="AA135" s="3" t="str">
        <f t="shared" si="21"/>
        <v/>
      </c>
    </row>
    <row r="136" spans="17:32">
      <c r="Q136" s="18">
        <v>12</v>
      </c>
      <c r="R136" s="24">
        <v>28</v>
      </c>
      <c r="S136" s="4">
        <v>10</v>
      </c>
      <c r="T136" s="3">
        <f t="shared" ref="T136:T199" si="23">0.5*PI()*(R136^2)/($H$2*S136*100)</f>
        <v>6.1575216010359944E-2</v>
      </c>
      <c r="V136" s="18">
        <f t="shared" si="17"/>
        <v>22</v>
      </c>
      <c r="W136" s="24">
        <f t="shared" si="18"/>
        <v>10</v>
      </c>
      <c r="X136" s="4">
        <f t="shared" si="19"/>
        <v>15</v>
      </c>
      <c r="Y136" s="3">
        <f t="shared" si="20"/>
        <v>5.235987755982989E-3</v>
      </c>
      <c r="AA136" s="3" t="str">
        <f t="shared" si="21"/>
        <v/>
      </c>
    </row>
    <row r="137" spans="17:32">
      <c r="Q137" s="18">
        <v>13</v>
      </c>
      <c r="R137" s="24">
        <v>30</v>
      </c>
      <c r="S137" s="4">
        <v>10</v>
      </c>
      <c r="T137" s="3">
        <f t="shared" si="23"/>
        <v>7.0685834705770348E-2</v>
      </c>
      <c r="V137" s="18">
        <f t="shared" si="17"/>
        <v>43</v>
      </c>
      <c r="W137" s="24">
        <f t="shared" si="18"/>
        <v>12</v>
      </c>
      <c r="X137" s="4">
        <f t="shared" si="19"/>
        <v>20</v>
      </c>
      <c r="Y137" s="3">
        <f t="shared" si="20"/>
        <v>5.6548667764616273E-3</v>
      </c>
      <c r="AA137" s="3" t="str">
        <f t="shared" si="21"/>
        <v/>
      </c>
    </row>
    <row r="138" spans="17:32">
      <c r="Q138" s="18">
        <v>14</v>
      </c>
      <c r="R138" s="24">
        <v>32</v>
      </c>
      <c r="S138" s="4">
        <v>10</v>
      </c>
      <c r="T138" s="3">
        <f t="shared" si="23"/>
        <v>8.0424771931898703E-2</v>
      </c>
      <c r="V138" s="18">
        <f t="shared" si="17"/>
        <v>64</v>
      </c>
      <c r="W138" s="24">
        <f t="shared" si="18"/>
        <v>14</v>
      </c>
      <c r="X138" s="4">
        <f t="shared" si="19"/>
        <v>25</v>
      </c>
      <c r="Y138" s="3">
        <f t="shared" si="20"/>
        <v>6.1575216010359944E-3</v>
      </c>
      <c r="AA138" s="3" t="str">
        <f t="shared" si="21"/>
        <v/>
      </c>
    </row>
    <row r="139" spans="17:32">
      <c r="Q139" s="18">
        <v>15</v>
      </c>
      <c r="R139" s="24">
        <v>34</v>
      </c>
      <c r="S139" s="4">
        <v>10</v>
      </c>
      <c r="T139" s="3">
        <f t="shared" si="23"/>
        <v>9.0792027688745017E-2</v>
      </c>
      <c r="V139" s="18">
        <f t="shared" si="17"/>
        <v>85</v>
      </c>
      <c r="W139" s="24">
        <f t="shared" si="18"/>
        <v>16</v>
      </c>
      <c r="X139" s="4">
        <f t="shared" si="19"/>
        <v>30</v>
      </c>
      <c r="Y139" s="3">
        <f t="shared" si="20"/>
        <v>6.702064327658225E-3</v>
      </c>
      <c r="AA139" s="3" t="str">
        <f t="shared" si="21"/>
        <v/>
      </c>
    </row>
    <row r="140" spans="17:32">
      <c r="Q140" s="18">
        <v>16</v>
      </c>
      <c r="R140" s="24">
        <v>36</v>
      </c>
      <c r="S140" s="4">
        <v>10</v>
      </c>
      <c r="T140" s="3">
        <f t="shared" si="23"/>
        <v>0.10178760197630929</v>
      </c>
      <c r="V140" s="18">
        <f t="shared" si="17"/>
        <v>23</v>
      </c>
      <c r="W140" s="24">
        <f t="shared" si="18"/>
        <v>12</v>
      </c>
      <c r="X140" s="4">
        <f t="shared" si="19"/>
        <v>15</v>
      </c>
      <c r="Y140" s="3">
        <f t="shared" si="20"/>
        <v>7.5398223686155034E-3</v>
      </c>
      <c r="AA140" s="3" t="str">
        <f t="shared" si="21"/>
        <v/>
      </c>
    </row>
    <row r="141" spans="17:32">
      <c r="Q141" s="18">
        <v>17</v>
      </c>
      <c r="R141" s="24">
        <v>38</v>
      </c>
      <c r="S141" s="4">
        <v>10</v>
      </c>
      <c r="T141" s="3">
        <f t="shared" si="23"/>
        <v>0.11341149479459152</v>
      </c>
      <c r="V141" s="18">
        <f t="shared" si="17"/>
        <v>44</v>
      </c>
      <c r="W141" s="24">
        <f t="shared" si="18"/>
        <v>14</v>
      </c>
      <c r="X141" s="4">
        <f t="shared" si="19"/>
        <v>20</v>
      </c>
      <c r="Y141" s="3">
        <f t="shared" si="20"/>
        <v>7.696902001294993E-3</v>
      </c>
      <c r="AA141" s="3" t="str">
        <f t="shared" si="21"/>
        <v/>
      </c>
    </row>
    <row r="142" spans="17:32">
      <c r="Q142" s="18">
        <v>18</v>
      </c>
      <c r="R142" s="24">
        <v>40</v>
      </c>
      <c r="S142" s="4">
        <v>10</v>
      </c>
      <c r="T142" s="3">
        <f t="shared" si="23"/>
        <v>0.12566370614359174</v>
      </c>
      <c r="V142" s="18">
        <f t="shared" si="17"/>
        <v>2</v>
      </c>
      <c r="W142" s="24">
        <f t="shared" si="18"/>
        <v>10</v>
      </c>
      <c r="X142" s="4">
        <f t="shared" si="19"/>
        <v>10</v>
      </c>
      <c r="Y142" s="3">
        <f t="shared" si="20"/>
        <v>7.8539816339744835E-3</v>
      </c>
      <c r="AA142" s="3">
        <f t="shared" si="21"/>
        <v>18</v>
      </c>
    </row>
    <row r="143" spans="17:32">
      <c r="Q143" s="18">
        <v>19</v>
      </c>
      <c r="R143" s="24">
        <v>45</v>
      </c>
      <c r="S143" s="4">
        <v>10</v>
      </c>
      <c r="T143" s="3">
        <f t="shared" si="23"/>
        <v>0.15904312808798327</v>
      </c>
      <c r="V143" s="18">
        <f t="shared" si="17"/>
        <v>65</v>
      </c>
      <c r="W143" s="24">
        <f t="shared" si="18"/>
        <v>16</v>
      </c>
      <c r="X143" s="4">
        <f t="shared" si="19"/>
        <v>25</v>
      </c>
      <c r="Y143" s="3">
        <f t="shared" si="20"/>
        <v>8.0424771931898696E-3</v>
      </c>
      <c r="AA143" s="3" t="str">
        <f t="shared" si="21"/>
        <v/>
      </c>
    </row>
    <row r="144" spans="17:32">
      <c r="Q144" s="18">
        <v>20</v>
      </c>
      <c r="R144" s="24">
        <v>50</v>
      </c>
      <c r="S144" s="4">
        <v>10</v>
      </c>
      <c r="T144" s="3">
        <f t="shared" si="23"/>
        <v>0.19634954084936207</v>
      </c>
      <c r="V144" s="18">
        <f t="shared" si="17"/>
        <v>86</v>
      </c>
      <c r="W144" s="24">
        <f t="shared" si="18"/>
        <v>18</v>
      </c>
      <c r="X144" s="4">
        <f t="shared" si="19"/>
        <v>30</v>
      </c>
      <c r="Y144" s="3">
        <f t="shared" si="20"/>
        <v>8.4823001646924419E-3</v>
      </c>
      <c r="AA144" s="3" t="str">
        <f t="shared" si="21"/>
        <v/>
      </c>
    </row>
    <row r="145" spans="17:27">
      <c r="Q145" s="18">
        <v>21</v>
      </c>
      <c r="R145" s="24">
        <v>8</v>
      </c>
      <c r="S145" s="4">
        <v>15</v>
      </c>
      <c r="T145" s="3">
        <f t="shared" si="23"/>
        <v>3.3510321638291125E-3</v>
      </c>
      <c r="V145" s="18">
        <f t="shared" si="17"/>
        <v>45</v>
      </c>
      <c r="W145" s="24">
        <f t="shared" si="18"/>
        <v>16</v>
      </c>
      <c r="X145" s="4">
        <f t="shared" si="19"/>
        <v>20</v>
      </c>
      <c r="Y145" s="3">
        <f t="shared" si="20"/>
        <v>1.0053096491487338E-2</v>
      </c>
      <c r="AA145" s="3" t="str">
        <f t="shared" si="21"/>
        <v/>
      </c>
    </row>
    <row r="146" spans="17:27">
      <c r="Q146" s="18">
        <v>22</v>
      </c>
      <c r="R146" s="24">
        <v>10</v>
      </c>
      <c r="S146" s="4">
        <v>15</v>
      </c>
      <c r="T146" s="3">
        <f t="shared" si="23"/>
        <v>5.235987755982989E-3</v>
      </c>
      <c r="V146" s="18">
        <f t="shared" si="17"/>
        <v>66</v>
      </c>
      <c r="W146" s="24">
        <f t="shared" si="18"/>
        <v>18</v>
      </c>
      <c r="X146" s="4">
        <f t="shared" si="19"/>
        <v>25</v>
      </c>
      <c r="Y146" s="3">
        <f t="shared" si="20"/>
        <v>1.0178760197630929E-2</v>
      </c>
      <c r="AA146" s="3" t="str">
        <f t="shared" si="21"/>
        <v/>
      </c>
    </row>
    <row r="147" spans="17:27">
      <c r="Q147" s="18">
        <v>23</v>
      </c>
      <c r="R147" s="24">
        <v>12</v>
      </c>
      <c r="S147" s="4">
        <v>15</v>
      </c>
      <c r="T147" s="3">
        <f t="shared" si="23"/>
        <v>7.5398223686155034E-3</v>
      </c>
      <c r="V147" s="18">
        <f t="shared" si="17"/>
        <v>24</v>
      </c>
      <c r="W147" s="24">
        <f t="shared" si="18"/>
        <v>14</v>
      </c>
      <c r="X147" s="4">
        <f t="shared" si="19"/>
        <v>15</v>
      </c>
      <c r="Y147" s="3">
        <f t="shared" si="20"/>
        <v>1.0262536001726656E-2</v>
      </c>
      <c r="AA147" s="3" t="str">
        <f t="shared" si="21"/>
        <v/>
      </c>
    </row>
    <row r="148" spans="17:27">
      <c r="Q148" s="18">
        <v>24</v>
      </c>
      <c r="R148" s="24">
        <v>14</v>
      </c>
      <c r="S148" s="4">
        <v>15</v>
      </c>
      <c r="T148" s="3">
        <f t="shared" si="23"/>
        <v>1.0262536001726656E-2</v>
      </c>
      <c r="V148" s="18">
        <f t="shared" si="17"/>
        <v>87</v>
      </c>
      <c r="W148" s="24">
        <f t="shared" si="18"/>
        <v>20</v>
      </c>
      <c r="X148" s="4">
        <f t="shared" si="19"/>
        <v>30</v>
      </c>
      <c r="Y148" s="3">
        <f t="shared" si="20"/>
        <v>1.0471975511965978E-2</v>
      </c>
      <c r="AA148" s="3" t="str">
        <f t="shared" si="21"/>
        <v/>
      </c>
    </row>
    <row r="149" spans="17:27">
      <c r="Q149" s="18">
        <v>25</v>
      </c>
      <c r="R149" s="24">
        <v>16</v>
      </c>
      <c r="S149" s="4">
        <v>15</v>
      </c>
      <c r="T149" s="3">
        <f t="shared" si="23"/>
        <v>1.340412865531645E-2</v>
      </c>
      <c r="V149" s="18">
        <f t="shared" si="17"/>
        <v>3</v>
      </c>
      <c r="W149" s="24">
        <f t="shared" si="18"/>
        <v>12</v>
      </c>
      <c r="X149" s="4">
        <f t="shared" si="19"/>
        <v>10</v>
      </c>
      <c r="Y149" s="3">
        <f t="shared" si="20"/>
        <v>1.1309733552923255E-2</v>
      </c>
      <c r="AA149" s="3">
        <f t="shared" si="21"/>
        <v>25</v>
      </c>
    </row>
    <row r="150" spans="17:27">
      <c r="Q150" s="18">
        <v>26</v>
      </c>
      <c r="R150" s="24">
        <v>18</v>
      </c>
      <c r="S150" s="4">
        <v>15</v>
      </c>
      <c r="T150" s="3">
        <f t="shared" si="23"/>
        <v>1.6964600329384884E-2</v>
      </c>
      <c r="V150" s="18">
        <f t="shared" si="17"/>
        <v>67</v>
      </c>
      <c r="W150" s="24">
        <f t="shared" si="18"/>
        <v>20</v>
      </c>
      <c r="X150" s="4">
        <f t="shared" si="19"/>
        <v>25</v>
      </c>
      <c r="Y150" s="3">
        <f t="shared" si="20"/>
        <v>1.2566370614359173E-2</v>
      </c>
      <c r="AA150" s="3" t="str">
        <f t="shared" si="21"/>
        <v/>
      </c>
    </row>
    <row r="151" spans="17:27">
      <c r="Q151" s="18">
        <v>27</v>
      </c>
      <c r="R151" s="24">
        <v>20</v>
      </c>
      <c r="S151" s="4">
        <v>15</v>
      </c>
      <c r="T151" s="3">
        <f t="shared" si="23"/>
        <v>2.0943951023931956E-2</v>
      </c>
      <c r="V151" s="18">
        <f t="shared" si="17"/>
        <v>88</v>
      </c>
      <c r="W151" s="24">
        <f t="shared" si="18"/>
        <v>22</v>
      </c>
      <c r="X151" s="4">
        <f t="shared" si="19"/>
        <v>30</v>
      </c>
      <c r="Y151" s="3">
        <f t="shared" si="20"/>
        <v>1.2671090369478832E-2</v>
      </c>
      <c r="AA151" s="3" t="str">
        <f t="shared" si="21"/>
        <v/>
      </c>
    </row>
    <row r="152" spans="17:27">
      <c r="Q152" s="18">
        <v>28</v>
      </c>
      <c r="R152" s="24">
        <v>22</v>
      </c>
      <c r="S152" s="4">
        <v>15</v>
      </c>
      <c r="T152" s="3">
        <f t="shared" si="23"/>
        <v>2.5342180738957665E-2</v>
      </c>
      <c r="V152" s="18">
        <f t="shared" si="17"/>
        <v>46</v>
      </c>
      <c r="W152" s="24">
        <f t="shared" si="18"/>
        <v>18</v>
      </c>
      <c r="X152" s="4">
        <f t="shared" si="19"/>
        <v>20</v>
      </c>
      <c r="Y152" s="3">
        <f t="shared" si="20"/>
        <v>1.2723450247038661E-2</v>
      </c>
      <c r="AA152" s="3" t="str">
        <f t="shared" si="21"/>
        <v/>
      </c>
    </row>
    <row r="153" spans="17:27">
      <c r="Q153" s="18">
        <v>29</v>
      </c>
      <c r="R153" s="24">
        <v>24</v>
      </c>
      <c r="S153" s="4">
        <v>15</v>
      </c>
      <c r="T153" s="3">
        <f t="shared" si="23"/>
        <v>3.0159289474462014E-2</v>
      </c>
      <c r="V153" s="18">
        <f t="shared" si="17"/>
        <v>25</v>
      </c>
      <c r="W153" s="24">
        <f t="shared" si="18"/>
        <v>16</v>
      </c>
      <c r="X153" s="4">
        <f t="shared" si="19"/>
        <v>15</v>
      </c>
      <c r="Y153" s="3">
        <f t="shared" si="20"/>
        <v>1.340412865531645E-2</v>
      </c>
      <c r="AA153" s="3" t="str">
        <f t="shared" si="21"/>
        <v/>
      </c>
    </row>
    <row r="154" spans="17:27">
      <c r="Q154" s="18">
        <v>30</v>
      </c>
      <c r="R154" s="24">
        <v>25</v>
      </c>
      <c r="S154" s="4">
        <v>15</v>
      </c>
      <c r="T154" s="3">
        <f t="shared" si="23"/>
        <v>3.2724923474893676E-2</v>
      </c>
      <c r="V154" s="18">
        <f t="shared" si="17"/>
        <v>89</v>
      </c>
      <c r="W154" s="24">
        <f t="shared" si="18"/>
        <v>24</v>
      </c>
      <c r="X154" s="4">
        <f t="shared" si="19"/>
        <v>30</v>
      </c>
      <c r="Y154" s="3">
        <f t="shared" si="20"/>
        <v>1.5079644737231007E-2</v>
      </c>
      <c r="AA154" s="3" t="str">
        <f t="shared" si="21"/>
        <v/>
      </c>
    </row>
    <row r="155" spans="17:27">
      <c r="Q155" s="18">
        <v>31</v>
      </c>
      <c r="R155" s="24">
        <v>26</v>
      </c>
      <c r="S155" s="4">
        <v>15</v>
      </c>
      <c r="T155" s="3">
        <f t="shared" si="23"/>
        <v>3.5395277230445006E-2</v>
      </c>
      <c r="V155" s="18">
        <f t="shared" si="17"/>
        <v>68</v>
      </c>
      <c r="W155" s="24">
        <f t="shared" si="18"/>
        <v>22</v>
      </c>
      <c r="X155" s="4">
        <f t="shared" si="19"/>
        <v>25</v>
      </c>
      <c r="Y155" s="3">
        <f t="shared" si="20"/>
        <v>1.52053084433746E-2</v>
      </c>
      <c r="AA155" s="3" t="str">
        <f t="shared" si="21"/>
        <v/>
      </c>
    </row>
    <row r="156" spans="17:27">
      <c r="Q156" s="18">
        <v>32</v>
      </c>
      <c r="R156" s="24">
        <v>28</v>
      </c>
      <c r="S156" s="4">
        <v>15</v>
      </c>
      <c r="T156" s="3">
        <f t="shared" si="23"/>
        <v>4.1050144006906625E-2</v>
      </c>
      <c r="V156" s="18">
        <f t="shared" si="17"/>
        <v>4</v>
      </c>
      <c r="W156" s="24">
        <f t="shared" si="18"/>
        <v>14</v>
      </c>
      <c r="X156" s="4">
        <f t="shared" si="19"/>
        <v>10</v>
      </c>
      <c r="Y156" s="3">
        <f t="shared" si="20"/>
        <v>1.5393804002589986E-2</v>
      </c>
      <c r="AA156" s="3">
        <f t="shared" si="21"/>
        <v>32</v>
      </c>
    </row>
    <row r="157" spans="17:27">
      <c r="Q157" s="18">
        <v>33</v>
      </c>
      <c r="R157" s="24">
        <v>30</v>
      </c>
      <c r="S157" s="4">
        <v>15</v>
      </c>
      <c r="T157" s="3">
        <f t="shared" si="23"/>
        <v>4.7123889803846894E-2</v>
      </c>
      <c r="V157" s="18">
        <f t="shared" si="17"/>
        <v>47</v>
      </c>
      <c r="W157" s="24">
        <f t="shared" si="18"/>
        <v>20</v>
      </c>
      <c r="X157" s="4">
        <f t="shared" si="19"/>
        <v>20</v>
      </c>
      <c r="Y157" s="3">
        <f t="shared" si="20"/>
        <v>1.5707963267948967E-2</v>
      </c>
      <c r="AA157" s="3" t="str">
        <f t="shared" si="21"/>
        <v/>
      </c>
    </row>
    <row r="158" spans="17:27">
      <c r="Q158" s="18">
        <v>34</v>
      </c>
      <c r="R158" s="24">
        <v>32</v>
      </c>
      <c r="S158" s="4">
        <v>15</v>
      </c>
      <c r="T158" s="3">
        <f t="shared" si="23"/>
        <v>5.36165146212658E-2</v>
      </c>
      <c r="V158" s="18">
        <f t="shared" si="17"/>
        <v>90</v>
      </c>
      <c r="W158" s="24">
        <f t="shared" si="18"/>
        <v>25</v>
      </c>
      <c r="X158" s="4">
        <f t="shared" si="19"/>
        <v>30</v>
      </c>
      <c r="Y158" s="3">
        <f t="shared" si="20"/>
        <v>1.6362461737446838E-2</v>
      </c>
      <c r="AA158" s="3" t="str">
        <f t="shared" si="21"/>
        <v/>
      </c>
    </row>
    <row r="159" spans="17:27">
      <c r="Q159" s="18">
        <v>35</v>
      </c>
      <c r="R159" s="24">
        <v>34</v>
      </c>
      <c r="S159" s="4">
        <v>15</v>
      </c>
      <c r="T159" s="3">
        <f t="shared" si="23"/>
        <v>6.0528018459163349E-2</v>
      </c>
      <c r="V159" s="18">
        <f t="shared" si="17"/>
        <v>26</v>
      </c>
      <c r="W159" s="24">
        <f t="shared" si="18"/>
        <v>18</v>
      </c>
      <c r="X159" s="4">
        <f t="shared" si="19"/>
        <v>15</v>
      </c>
      <c r="Y159" s="3">
        <f t="shared" si="20"/>
        <v>1.6964600329384884E-2</v>
      </c>
      <c r="AA159" s="3" t="str">
        <f t="shared" si="21"/>
        <v/>
      </c>
    </row>
    <row r="160" spans="17:27">
      <c r="Q160" s="18">
        <v>36</v>
      </c>
      <c r="R160" s="24">
        <v>36</v>
      </c>
      <c r="S160" s="4">
        <v>15</v>
      </c>
      <c r="T160" s="3">
        <f t="shared" si="23"/>
        <v>6.7858401317539535E-2</v>
      </c>
      <c r="V160" s="18">
        <f t="shared" si="17"/>
        <v>91</v>
      </c>
      <c r="W160" s="24">
        <f t="shared" si="18"/>
        <v>26</v>
      </c>
      <c r="X160" s="4">
        <f t="shared" si="19"/>
        <v>30</v>
      </c>
      <c r="Y160" s="3">
        <f t="shared" si="20"/>
        <v>1.7697638615222503E-2</v>
      </c>
      <c r="AA160" s="3" t="str">
        <f t="shared" si="21"/>
        <v/>
      </c>
    </row>
    <row r="161" spans="17:27">
      <c r="Q161" s="18">
        <v>37</v>
      </c>
      <c r="R161" s="24">
        <v>38</v>
      </c>
      <c r="S161" s="4">
        <v>15</v>
      </c>
      <c r="T161" s="3">
        <f t="shared" si="23"/>
        <v>7.5607663196394351E-2</v>
      </c>
      <c r="V161" s="18">
        <f t="shared" si="17"/>
        <v>69</v>
      </c>
      <c r="W161" s="24">
        <f t="shared" si="18"/>
        <v>24</v>
      </c>
      <c r="X161" s="4">
        <f t="shared" si="19"/>
        <v>25</v>
      </c>
      <c r="Y161" s="3">
        <f t="shared" si="20"/>
        <v>1.8095573684677208E-2</v>
      </c>
      <c r="AA161" s="3" t="str">
        <f t="shared" si="21"/>
        <v/>
      </c>
    </row>
    <row r="162" spans="17:27">
      <c r="Q162" s="18">
        <v>38</v>
      </c>
      <c r="R162" s="24">
        <v>40</v>
      </c>
      <c r="S162" s="4">
        <v>15</v>
      </c>
      <c r="T162" s="3">
        <f t="shared" si="23"/>
        <v>8.3775804095727824E-2</v>
      </c>
      <c r="V162" s="18">
        <f t="shared" si="17"/>
        <v>48</v>
      </c>
      <c r="W162" s="24">
        <f t="shared" si="18"/>
        <v>22</v>
      </c>
      <c r="X162" s="4">
        <f t="shared" si="19"/>
        <v>20</v>
      </c>
      <c r="Y162" s="3">
        <f t="shared" si="20"/>
        <v>1.9006635554218249E-2</v>
      </c>
      <c r="AA162" s="3" t="str">
        <f t="shared" si="21"/>
        <v/>
      </c>
    </row>
    <row r="163" spans="17:27">
      <c r="Q163" s="18">
        <v>39</v>
      </c>
      <c r="R163" s="24">
        <v>45</v>
      </c>
      <c r="S163" s="4">
        <v>15</v>
      </c>
      <c r="T163" s="3">
        <f t="shared" si="23"/>
        <v>0.10602875205865551</v>
      </c>
      <c r="V163" s="18">
        <f t="shared" si="17"/>
        <v>70</v>
      </c>
      <c r="W163" s="24">
        <f t="shared" si="18"/>
        <v>25</v>
      </c>
      <c r="X163" s="4">
        <f t="shared" si="19"/>
        <v>25</v>
      </c>
      <c r="Y163" s="3">
        <f t="shared" si="20"/>
        <v>1.9634954084936207E-2</v>
      </c>
      <c r="AA163" s="3" t="str">
        <f t="shared" si="21"/>
        <v/>
      </c>
    </row>
    <row r="164" spans="17:27">
      <c r="Q164" s="18">
        <v>40</v>
      </c>
      <c r="R164" s="24">
        <v>50</v>
      </c>
      <c r="S164" s="4">
        <v>15</v>
      </c>
      <c r="T164" s="3">
        <f t="shared" si="23"/>
        <v>0.1308996938995747</v>
      </c>
      <c r="V164" s="18">
        <f t="shared" si="17"/>
        <v>5</v>
      </c>
      <c r="W164" s="24">
        <f t="shared" si="18"/>
        <v>16</v>
      </c>
      <c r="X164" s="4">
        <f t="shared" si="19"/>
        <v>10</v>
      </c>
      <c r="Y164" s="3">
        <f t="shared" si="20"/>
        <v>2.0106192982974676E-2</v>
      </c>
      <c r="AA164" s="3">
        <f t="shared" si="21"/>
        <v>40</v>
      </c>
    </row>
    <row r="165" spans="17:27">
      <c r="Q165" s="18">
        <v>41</v>
      </c>
      <c r="R165" s="24">
        <v>8</v>
      </c>
      <c r="S165" s="4">
        <v>20</v>
      </c>
      <c r="T165" s="3">
        <f t="shared" si="23"/>
        <v>2.5132741228718345E-3</v>
      </c>
      <c r="V165" s="18">
        <f t="shared" si="17"/>
        <v>92</v>
      </c>
      <c r="W165" s="24">
        <f t="shared" si="18"/>
        <v>28</v>
      </c>
      <c r="X165" s="4">
        <f t="shared" si="19"/>
        <v>30</v>
      </c>
      <c r="Y165" s="3">
        <f t="shared" si="20"/>
        <v>2.0525072003453312E-2</v>
      </c>
      <c r="AA165" s="3" t="str">
        <f t="shared" si="21"/>
        <v/>
      </c>
    </row>
    <row r="166" spans="17:27">
      <c r="Q166" s="18">
        <v>42</v>
      </c>
      <c r="R166" s="24">
        <v>10</v>
      </c>
      <c r="S166" s="4">
        <v>20</v>
      </c>
      <c r="T166" s="3">
        <f t="shared" si="23"/>
        <v>3.9269908169872417E-3</v>
      </c>
      <c r="V166" s="18">
        <f t="shared" si="17"/>
        <v>27</v>
      </c>
      <c r="W166" s="24">
        <f t="shared" si="18"/>
        <v>20</v>
      </c>
      <c r="X166" s="4">
        <f t="shared" si="19"/>
        <v>15</v>
      </c>
      <c r="Y166" s="3">
        <f t="shared" si="20"/>
        <v>2.0943951023931956E-2</v>
      </c>
      <c r="AA166" s="3" t="str">
        <f t="shared" si="21"/>
        <v/>
      </c>
    </row>
    <row r="167" spans="17:27">
      <c r="Q167" s="18">
        <v>43</v>
      </c>
      <c r="R167" s="24">
        <v>12</v>
      </c>
      <c r="S167" s="4">
        <v>20</v>
      </c>
      <c r="T167" s="3">
        <f t="shared" si="23"/>
        <v>5.6548667764616273E-3</v>
      </c>
      <c r="V167" s="18">
        <f t="shared" si="17"/>
        <v>71</v>
      </c>
      <c r="W167" s="24">
        <f t="shared" si="18"/>
        <v>26</v>
      </c>
      <c r="X167" s="4">
        <f t="shared" si="19"/>
        <v>25</v>
      </c>
      <c r="Y167" s="3">
        <f t="shared" si="20"/>
        <v>2.1237166338267003E-2</v>
      </c>
      <c r="AA167" s="3" t="str">
        <f t="shared" si="21"/>
        <v/>
      </c>
    </row>
    <row r="168" spans="17:27">
      <c r="Q168" s="18">
        <v>44</v>
      </c>
      <c r="R168" s="24">
        <v>14</v>
      </c>
      <c r="S168" s="4">
        <v>20</v>
      </c>
      <c r="T168" s="3">
        <f t="shared" si="23"/>
        <v>7.696902001294993E-3</v>
      </c>
      <c r="V168" s="18">
        <f t="shared" si="17"/>
        <v>49</v>
      </c>
      <c r="W168" s="24">
        <f t="shared" si="18"/>
        <v>24</v>
      </c>
      <c r="X168" s="4">
        <f t="shared" si="19"/>
        <v>20</v>
      </c>
      <c r="Y168" s="3">
        <f t="shared" si="20"/>
        <v>2.2619467105846509E-2</v>
      </c>
      <c r="AA168" s="3" t="str">
        <f t="shared" si="21"/>
        <v/>
      </c>
    </row>
    <row r="169" spans="17:27">
      <c r="Q169" s="18">
        <v>45</v>
      </c>
      <c r="R169" s="24">
        <v>16</v>
      </c>
      <c r="S169" s="4">
        <v>20</v>
      </c>
      <c r="T169" s="3">
        <f t="shared" si="23"/>
        <v>1.0053096491487338E-2</v>
      </c>
      <c r="V169" s="18">
        <f t="shared" si="17"/>
        <v>93</v>
      </c>
      <c r="W169" s="24">
        <f t="shared" si="18"/>
        <v>30</v>
      </c>
      <c r="X169" s="4">
        <f t="shared" si="19"/>
        <v>30</v>
      </c>
      <c r="Y169" s="3">
        <f t="shared" si="20"/>
        <v>2.3561944901923447E-2</v>
      </c>
      <c r="AA169" s="3" t="str">
        <f t="shared" si="21"/>
        <v/>
      </c>
    </row>
    <row r="170" spans="17:27">
      <c r="Q170" s="18">
        <v>46</v>
      </c>
      <c r="R170" s="24">
        <v>18</v>
      </c>
      <c r="S170" s="4">
        <v>20</v>
      </c>
      <c r="T170" s="3">
        <f t="shared" si="23"/>
        <v>1.2723450247038661E-2</v>
      </c>
      <c r="V170" s="18">
        <f t="shared" si="17"/>
        <v>50</v>
      </c>
      <c r="W170" s="24">
        <f t="shared" si="18"/>
        <v>25</v>
      </c>
      <c r="X170" s="4">
        <f t="shared" si="19"/>
        <v>20</v>
      </c>
      <c r="Y170" s="3">
        <f t="shared" si="20"/>
        <v>2.4543692606170259E-2</v>
      </c>
      <c r="AA170" s="3" t="str">
        <f t="shared" si="21"/>
        <v/>
      </c>
    </row>
    <row r="171" spans="17:27">
      <c r="Q171" s="18">
        <v>47</v>
      </c>
      <c r="R171" s="24">
        <v>20</v>
      </c>
      <c r="S171" s="4">
        <v>20</v>
      </c>
      <c r="T171" s="3">
        <f t="shared" si="23"/>
        <v>1.5707963267948967E-2</v>
      </c>
      <c r="V171" s="18">
        <f t="shared" si="17"/>
        <v>72</v>
      </c>
      <c r="W171" s="24">
        <f t="shared" si="18"/>
        <v>28</v>
      </c>
      <c r="X171" s="4">
        <f t="shared" si="19"/>
        <v>25</v>
      </c>
      <c r="Y171" s="3">
        <f t="shared" si="20"/>
        <v>2.4630086404143978E-2</v>
      </c>
      <c r="AA171" s="3" t="str">
        <f t="shared" si="21"/>
        <v/>
      </c>
    </row>
    <row r="172" spans="17:27">
      <c r="Q172" s="18">
        <v>48</v>
      </c>
      <c r="R172" s="24">
        <v>22</v>
      </c>
      <c r="S172" s="4">
        <v>20</v>
      </c>
      <c r="T172" s="3">
        <f t="shared" si="23"/>
        <v>1.9006635554218249E-2</v>
      </c>
      <c r="V172" s="18">
        <f t="shared" si="17"/>
        <v>28</v>
      </c>
      <c r="W172" s="24">
        <f t="shared" si="18"/>
        <v>22</v>
      </c>
      <c r="X172" s="4">
        <f t="shared" si="19"/>
        <v>15</v>
      </c>
      <c r="Y172" s="3">
        <f t="shared" si="20"/>
        <v>2.5342180738957665E-2</v>
      </c>
      <c r="AA172" s="3" t="str">
        <f t="shared" si="21"/>
        <v/>
      </c>
    </row>
    <row r="173" spans="17:27">
      <c r="Q173" s="18">
        <v>49</v>
      </c>
      <c r="R173" s="24">
        <v>24</v>
      </c>
      <c r="S173" s="4">
        <v>20</v>
      </c>
      <c r="T173" s="3">
        <f t="shared" si="23"/>
        <v>2.2619467105846509E-2</v>
      </c>
      <c r="V173" s="18">
        <f t="shared" si="17"/>
        <v>6</v>
      </c>
      <c r="W173" s="24">
        <f t="shared" si="18"/>
        <v>18</v>
      </c>
      <c r="X173" s="4">
        <f t="shared" si="19"/>
        <v>10</v>
      </c>
      <c r="Y173" s="3">
        <f t="shared" si="20"/>
        <v>2.5446900494077322E-2</v>
      </c>
      <c r="AA173" s="3">
        <f t="shared" si="21"/>
        <v>49</v>
      </c>
    </row>
    <row r="174" spans="17:27">
      <c r="Q174" s="18">
        <v>50</v>
      </c>
      <c r="R174" s="24">
        <v>25</v>
      </c>
      <c r="S174" s="4">
        <v>20</v>
      </c>
      <c r="T174" s="3">
        <f t="shared" si="23"/>
        <v>2.4543692606170259E-2</v>
      </c>
      <c r="V174" s="18">
        <f t="shared" si="17"/>
        <v>51</v>
      </c>
      <c r="W174" s="24">
        <f t="shared" si="18"/>
        <v>26</v>
      </c>
      <c r="X174" s="4">
        <f t="shared" si="19"/>
        <v>20</v>
      </c>
      <c r="Y174" s="3">
        <f t="shared" si="20"/>
        <v>2.6546457922833753E-2</v>
      </c>
      <c r="AA174" s="3" t="str">
        <f t="shared" si="21"/>
        <v/>
      </c>
    </row>
    <row r="175" spans="17:27">
      <c r="Q175" s="18">
        <v>51</v>
      </c>
      <c r="R175" s="24">
        <v>26</v>
      </c>
      <c r="S175" s="4">
        <v>20</v>
      </c>
      <c r="T175" s="3">
        <f t="shared" si="23"/>
        <v>2.6546457922833753E-2</v>
      </c>
      <c r="V175" s="18">
        <f t="shared" si="17"/>
        <v>94</v>
      </c>
      <c r="W175" s="24">
        <f t="shared" si="18"/>
        <v>32</v>
      </c>
      <c r="X175" s="4">
        <f t="shared" si="19"/>
        <v>30</v>
      </c>
      <c r="Y175" s="3">
        <f t="shared" si="20"/>
        <v>2.68082573106329E-2</v>
      </c>
      <c r="AA175" s="3" t="str">
        <f t="shared" si="21"/>
        <v/>
      </c>
    </row>
    <row r="176" spans="17:27">
      <c r="Q176" s="18">
        <v>52</v>
      </c>
      <c r="R176" s="24">
        <v>28</v>
      </c>
      <c r="S176" s="4">
        <v>20</v>
      </c>
      <c r="T176" s="3">
        <f t="shared" si="23"/>
        <v>3.0787608005179972E-2</v>
      </c>
      <c r="V176" s="18">
        <f t="shared" si="17"/>
        <v>73</v>
      </c>
      <c r="W176" s="24">
        <f t="shared" si="18"/>
        <v>30</v>
      </c>
      <c r="X176" s="4">
        <f t="shared" si="19"/>
        <v>25</v>
      </c>
      <c r="Y176" s="3">
        <f t="shared" si="20"/>
        <v>2.8274333882308138E-2</v>
      </c>
      <c r="AA176" s="3" t="str">
        <f t="shared" si="21"/>
        <v/>
      </c>
    </row>
    <row r="177" spans="17:27">
      <c r="Q177" s="18">
        <v>53</v>
      </c>
      <c r="R177" s="24">
        <v>30</v>
      </c>
      <c r="S177" s="4">
        <v>20</v>
      </c>
      <c r="T177" s="3">
        <f t="shared" si="23"/>
        <v>3.5342917352885174E-2</v>
      </c>
      <c r="V177" s="18">
        <f t="shared" si="17"/>
        <v>29</v>
      </c>
      <c r="W177" s="24">
        <f t="shared" si="18"/>
        <v>24</v>
      </c>
      <c r="X177" s="4">
        <f t="shared" si="19"/>
        <v>15</v>
      </c>
      <c r="Y177" s="3">
        <f t="shared" si="20"/>
        <v>3.0159289474462014E-2</v>
      </c>
      <c r="AA177" s="3" t="str">
        <f t="shared" si="21"/>
        <v/>
      </c>
    </row>
    <row r="178" spans="17:27">
      <c r="Q178" s="18">
        <v>54</v>
      </c>
      <c r="R178" s="24">
        <v>32</v>
      </c>
      <c r="S178" s="4">
        <v>20</v>
      </c>
      <c r="T178" s="3">
        <f t="shared" si="23"/>
        <v>4.0212385965949352E-2</v>
      </c>
      <c r="V178" s="18">
        <f t="shared" si="17"/>
        <v>95</v>
      </c>
      <c r="W178" s="24">
        <f t="shared" si="18"/>
        <v>34</v>
      </c>
      <c r="X178" s="4">
        <f t="shared" si="19"/>
        <v>30</v>
      </c>
      <c r="Y178" s="3">
        <f t="shared" si="20"/>
        <v>3.0264009229581675E-2</v>
      </c>
      <c r="AA178" s="3" t="str">
        <f t="shared" si="21"/>
        <v/>
      </c>
    </row>
    <row r="179" spans="17:27">
      <c r="Q179" s="18">
        <v>55</v>
      </c>
      <c r="R179" s="24">
        <v>34</v>
      </c>
      <c r="S179" s="4">
        <v>20</v>
      </c>
      <c r="T179" s="3">
        <f t="shared" si="23"/>
        <v>4.5396013844372508E-2</v>
      </c>
      <c r="V179" s="18">
        <f t="shared" si="17"/>
        <v>52</v>
      </c>
      <c r="W179" s="24">
        <f t="shared" si="18"/>
        <v>28</v>
      </c>
      <c r="X179" s="4">
        <f t="shared" si="19"/>
        <v>20</v>
      </c>
      <c r="Y179" s="3">
        <f t="shared" si="20"/>
        <v>3.0787608005179972E-2</v>
      </c>
      <c r="AA179" s="3" t="str">
        <f t="shared" si="21"/>
        <v/>
      </c>
    </row>
    <row r="180" spans="17:27">
      <c r="Q180" s="18">
        <v>56</v>
      </c>
      <c r="R180" s="24">
        <v>36</v>
      </c>
      <c r="S180" s="4">
        <v>20</v>
      </c>
      <c r="T180" s="3">
        <f t="shared" si="23"/>
        <v>5.0893800988154644E-2</v>
      </c>
      <c r="V180" s="18">
        <f t="shared" si="17"/>
        <v>7</v>
      </c>
      <c r="W180" s="24">
        <f t="shared" si="18"/>
        <v>20</v>
      </c>
      <c r="X180" s="4">
        <f t="shared" si="19"/>
        <v>10</v>
      </c>
      <c r="Y180" s="3">
        <f t="shared" si="20"/>
        <v>3.1415926535897934E-2</v>
      </c>
      <c r="AA180" s="3">
        <f t="shared" si="21"/>
        <v>56</v>
      </c>
    </row>
    <row r="181" spans="17:27">
      <c r="Q181" s="18">
        <v>57</v>
      </c>
      <c r="R181" s="24">
        <v>38</v>
      </c>
      <c r="S181" s="4">
        <v>20</v>
      </c>
      <c r="T181" s="3">
        <f t="shared" si="23"/>
        <v>5.670574739729576E-2</v>
      </c>
      <c r="V181" s="18">
        <f t="shared" si="17"/>
        <v>74</v>
      </c>
      <c r="W181" s="24">
        <f t="shared" si="18"/>
        <v>32</v>
      </c>
      <c r="X181" s="4">
        <f t="shared" si="19"/>
        <v>25</v>
      </c>
      <c r="Y181" s="3">
        <f t="shared" si="20"/>
        <v>3.2169908772759478E-2</v>
      </c>
      <c r="AA181" s="3" t="str">
        <f t="shared" si="21"/>
        <v/>
      </c>
    </row>
    <row r="182" spans="17:27">
      <c r="Q182" s="18">
        <v>58</v>
      </c>
      <c r="R182" s="24">
        <v>40</v>
      </c>
      <c r="S182" s="4">
        <v>20</v>
      </c>
      <c r="T182" s="3">
        <f t="shared" si="23"/>
        <v>6.2831853071795868E-2</v>
      </c>
      <c r="V182" s="18">
        <f t="shared" si="17"/>
        <v>30</v>
      </c>
      <c r="W182" s="24">
        <f t="shared" si="18"/>
        <v>25</v>
      </c>
      <c r="X182" s="4">
        <f t="shared" si="19"/>
        <v>15</v>
      </c>
      <c r="Y182" s="3">
        <f t="shared" si="20"/>
        <v>3.2724923474893676E-2</v>
      </c>
      <c r="AA182" s="3" t="str">
        <f t="shared" si="21"/>
        <v/>
      </c>
    </row>
    <row r="183" spans="17:27">
      <c r="Q183" s="18">
        <v>59</v>
      </c>
      <c r="R183" s="24">
        <v>45</v>
      </c>
      <c r="S183" s="4">
        <v>20</v>
      </c>
      <c r="T183" s="3">
        <f t="shared" si="23"/>
        <v>7.9521564043991633E-2</v>
      </c>
      <c r="V183" s="18">
        <f t="shared" si="17"/>
        <v>96</v>
      </c>
      <c r="W183" s="24">
        <f t="shared" si="18"/>
        <v>36</v>
      </c>
      <c r="X183" s="4">
        <f t="shared" si="19"/>
        <v>30</v>
      </c>
      <c r="Y183" s="3">
        <f t="shared" si="20"/>
        <v>3.3929200658769768E-2</v>
      </c>
      <c r="AA183" s="3" t="str">
        <f t="shared" si="21"/>
        <v/>
      </c>
    </row>
    <row r="184" spans="17:27">
      <c r="Q184" s="18">
        <v>60</v>
      </c>
      <c r="R184" s="24">
        <v>50</v>
      </c>
      <c r="S184" s="4">
        <v>20</v>
      </c>
      <c r="T184" s="3">
        <f t="shared" si="23"/>
        <v>9.8174770424681035E-2</v>
      </c>
      <c r="V184" s="18">
        <f t="shared" si="17"/>
        <v>53</v>
      </c>
      <c r="W184" s="24">
        <f t="shared" si="18"/>
        <v>30</v>
      </c>
      <c r="X184" s="4">
        <f t="shared" si="19"/>
        <v>20</v>
      </c>
      <c r="Y184" s="3">
        <f t="shared" si="20"/>
        <v>3.5342917352885174E-2</v>
      </c>
      <c r="AA184" s="3" t="str">
        <f t="shared" si="21"/>
        <v/>
      </c>
    </row>
    <row r="185" spans="17:27">
      <c r="Q185" s="18">
        <v>61</v>
      </c>
      <c r="R185" s="24">
        <v>8</v>
      </c>
      <c r="S185" s="4">
        <v>25</v>
      </c>
      <c r="T185" s="3">
        <f t="shared" si="23"/>
        <v>2.0106192982974674E-3</v>
      </c>
      <c r="V185" s="18">
        <f t="shared" si="17"/>
        <v>31</v>
      </c>
      <c r="W185" s="24">
        <f t="shared" si="18"/>
        <v>26</v>
      </c>
      <c r="X185" s="4">
        <f t="shared" si="19"/>
        <v>15</v>
      </c>
      <c r="Y185" s="3">
        <f t="shared" si="20"/>
        <v>3.5395277230445006E-2</v>
      </c>
      <c r="AA185" s="3" t="str">
        <f t="shared" si="21"/>
        <v/>
      </c>
    </row>
    <row r="186" spans="17:27">
      <c r="Q186" s="18">
        <v>62</v>
      </c>
      <c r="R186" s="24">
        <v>10</v>
      </c>
      <c r="S186" s="4">
        <v>25</v>
      </c>
      <c r="T186" s="3">
        <f t="shared" si="23"/>
        <v>3.1415926535897933E-3</v>
      </c>
      <c r="V186" s="18">
        <f t="shared" si="17"/>
        <v>75</v>
      </c>
      <c r="W186" s="24">
        <f t="shared" si="18"/>
        <v>34</v>
      </c>
      <c r="X186" s="4">
        <f t="shared" si="19"/>
        <v>25</v>
      </c>
      <c r="Y186" s="3">
        <f t="shared" si="20"/>
        <v>3.6316811075498008E-2</v>
      </c>
      <c r="AA186" s="3" t="str">
        <f t="shared" si="21"/>
        <v/>
      </c>
    </row>
    <row r="187" spans="17:27">
      <c r="Q187" s="18">
        <v>63</v>
      </c>
      <c r="R187" s="24">
        <v>12</v>
      </c>
      <c r="S187" s="4">
        <v>25</v>
      </c>
      <c r="T187" s="3">
        <f t="shared" si="23"/>
        <v>4.5238934211693019E-3</v>
      </c>
      <c r="V187" s="18">
        <f t="shared" si="17"/>
        <v>97</v>
      </c>
      <c r="W187" s="24">
        <f t="shared" si="18"/>
        <v>38</v>
      </c>
      <c r="X187" s="4">
        <f t="shared" si="19"/>
        <v>30</v>
      </c>
      <c r="Y187" s="3">
        <f t="shared" si="20"/>
        <v>3.7803831598197175E-2</v>
      </c>
      <c r="AA187" s="3" t="str">
        <f t="shared" si="21"/>
        <v/>
      </c>
    </row>
    <row r="188" spans="17:27">
      <c r="Q188" s="18">
        <v>64</v>
      </c>
      <c r="R188" s="24">
        <v>14</v>
      </c>
      <c r="S188" s="4">
        <v>25</v>
      </c>
      <c r="T188" s="3">
        <f t="shared" si="23"/>
        <v>6.1575216010359944E-3</v>
      </c>
      <c r="V188" s="18">
        <f t="shared" si="17"/>
        <v>8</v>
      </c>
      <c r="W188" s="24">
        <f t="shared" si="18"/>
        <v>22</v>
      </c>
      <c r="X188" s="4">
        <f t="shared" si="19"/>
        <v>10</v>
      </c>
      <c r="Y188" s="3">
        <f t="shared" si="20"/>
        <v>3.8013271108436497E-2</v>
      </c>
      <c r="AA188" s="3" t="str">
        <f t="shared" si="21"/>
        <v/>
      </c>
    </row>
    <row r="189" spans="17:27">
      <c r="Q189" s="18">
        <v>65</v>
      </c>
      <c r="R189" s="24">
        <v>16</v>
      </c>
      <c r="S189" s="4">
        <v>25</v>
      </c>
      <c r="T189" s="3">
        <f t="shared" si="23"/>
        <v>8.0424771931898696E-3</v>
      </c>
      <c r="V189" s="18">
        <f t="shared" si="17"/>
        <v>54</v>
      </c>
      <c r="W189" s="24">
        <f t="shared" si="18"/>
        <v>32</v>
      </c>
      <c r="X189" s="4">
        <f t="shared" si="19"/>
        <v>20</v>
      </c>
      <c r="Y189" s="3">
        <f t="shared" si="20"/>
        <v>4.0212385965949352E-2</v>
      </c>
      <c r="AA189" s="3" t="str">
        <f t="shared" si="21"/>
        <v/>
      </c>
    </row>
    <row r="190" spans="17:27">
      <c r="Q190" s="18">
        <v>66</v>
      </c>
      <c r="R190" s="24">
        <v>18</v>
      </c>
      <c r="S190" s="4">
        <v>25</v>
      </c>
      <c r="T190" s="3">
        <f t="shared" si="23"/>
        <v>1.0178760197630929E-2</v>
      </c>
      <c r="V190" s="18">
        <f t="shared" ref="V190:V224" si="24">INDEX(Q$125:Q$224,MATCH($Y190,$T$125:$T$224,0))</f>
        <v>76</v>
      </c>
      <c r="W190" s="24">
        <f t="shared" ref="W190:W224" si="25">INDEX(R$125:R$224,MATCH($Y190,$T$125:$T$224,0))</f>
        <v>36</v>
      </c>
      <c r="X190" s="4">
        <f t="shared" ref="X190:X224" si="26">INDEX(S$125:S$224,MATCH($Y190,$T$125:$T$224,0))</f>
        <v>25</v>
      </c>
      <c r="Y190" s="3">
        <f t="shared" ref="Y190:Y224" si="27">SMALL(T$125:T$224,Q190)</f>
        <v>4.0715040790523717E-2</v>
      </c>
      <c r="AA190" s="3" t="str">
        <f t="shared" ref="AA190:AA224" si="28">IF(AND(IF(Y190&lt;$Q$121,0,IF(Y190&gt;$Q$122,0,1)),IF(W190&lt;$T$121,0,IF(W190&gt;$T$122,0,1)),IF(X190&lt;$W$121,0,IF(X190&gt;$W$122,0,1))),Q190,"")</f>
        <v/>
      </c>
    </row>
    <row r="191" spans="17:27">
      <c r="Q191" s="18">
        <v>67</v>
      </c>
      <c r="R191" s="24">
        <v>20</v>
      </c>
      <c r="S191" s="4">
        <v>25</v>
      </c>
      <c r="T191" s="3">
        <f t="shared" si="23"/>
        <v>1.2566370614359173E-2</v>
      </c>
      <c r="V191" s="18">
        <f t="shared" si="24"/>
        <v>32</v>
      </c>
      <c r="W191" s="24">
        <f t="shared" si="25"/>
        <v>28</v>
      </c>
      <c r="X191" s="4">
        <f t="shared" si="26"/>
        <v>15</v>
      </c>
      <c r="Y191" s="3">
        <f t="shared" si="27"/>
        <v>4.1050144006906625E-2</v>
      </c>
      <c r="AA191" s="3" t="str">
        <f t="shared" si="28"/>
        <v/>
      </c>
    </row>
    <row r="192" spans="17:27">
      <c r="Q192" s="18">
        <v>68</v>
      </c>
      <c r="R192" s="24">
        <v>22</v>
      </c>
      <c r="S192" s="4">
        <v>25</v>
      </c>
      <c r="T192" s="3">
        <f t="shared" si="23"/>
        <v>1.52053084433746E-2</v>
      </c>
      <c r="V192" s="18">
        <f t="shared" si="24"/>
        <v>98</v>
      </c>
      <c r="W192" s="24">
        <f t="shared" si="25"/>
        <v>40</v>
      </c>
      <c r="X192" s="4">
        <f t="shared" si="26"/>
        <v>30</v>
      </c>
      <c r="Y192" s="3">
        <f t="shared" si="27"/>
        <v>4.1887902047863912E-2</v>
      </c>
      <c r="AA192" s="3" t="str">
        <f t="shared" si="28"/>
        <v/>
      </c>
    </row>
    <row r="193" spans="17:27">
      <c r="Q193" s="18">
        <v>69</v>
      </c>
      <c r="R193" s="24">
        <v>24</v>
      </c>
      <c r="S193" s="4">
        <v>25</v>
      </c>
      <c r="T193" s="3">
        <f t="shared" si="23"/>
        <v>1.8095573684677208E-2</v>
      </c>
      <c r="V193" s="18">
        <f t="shared" si="24"/>
        <v>9</v>
      </c>
      <c r="W193" s="24">
        <f t="shared" si="25"/>
        <v>24</v>
      </c>
      <c r="X193" s="4">
        <f t="shared" si="26"/>
        <v>10</v>
      </c>
      <c r="Y193" s="3">
        <f t="shared" si="27"/>
        <v>4.5238934211693019E-2</v>
      </c>
      <c r="AA193" s="3" t="str">
        <f t="shared" si="28"/>
        <v/>
      </c>
    </row>
    <row r="194" spans="17:27">
      <c r="Q194" s="18">
        <v>70</v>
      </c>
      <c r="R194" s="24">
        <v>25</v>
      </c>
      <c r="S194" s="4">
        <v>25</v>
      </c>
      <c r="T194" s="3">
        <f t="shared" si="23"/>
        <v>1.9634954084936207E-2</v>
      </c>
      <c r="V194" s="18">
        <f t="shared" si="24"/>
        <v>77</v>
      </c>
      <c r="W194" s="24">
        <f t="shared" si="25"/>
        <v>38</v>
      </c>
      <c r="X194" s="4">
        <f t="shared" si="26"/>
        <v>25</v>
      </c>
      <c r="Y194" s="3">
        <f t="shared" si="27"/>
        <v>4.5364597917836612E-2</v>
      </c>
      <c r="AA194" s="3" t="str">
        <f t="shared" si="28"/>
        <v/>
      </c>
    </row>
    <row r="195" spans="17:27">
      <c r="Q195" s="18">
        <v>71</v>
      </c>
      <c r="R195" s="24">
        <v>26</v>
      </c>
      <c r="S195" s="4">
        <v>25</v>
      </c>
      <c r="T195" s="3">
        <f t="shared" si="23"/>
        <v>2.1237166338267003E-2</v>
      </c>
      <c r="V195" s="18">
        <f t="shared" si="24"/>
        <v>55</v>
      </c>
      <c r="W195" s="24">
        <f t="shared" si="25"/>
        <v>34</v>
      </c>
      <c r="X195" s="4">
        <f t="shared" si="26"/>
        <v>20</v>
      </c>
      <c r="Y195" s="3">
        <f t="shared" si="27"/>
        <v>4.5396013844372508E-2</v>
      </c>
      <c r="AA195" s="3" t="str">
        <f t="shared" si="28"/>
        <v/>
      </c>
    </row>
    <row r="196" spans="17:27">
      <c r="Q196" s="18">
        <v>72</v>
      </c>
      <c r="R196" s="24">
        <v>28</v>
      </c>
      <c r="S196" s="4">
        <v>25</v>
      </c>
      <c r="T196" s="3">
        <f t="shared" si="23"/>
        <v>2.4630086404143978E-2</v>
      </c>
      <c r="V196" s="18">
        <f t="shared" si="24"/>
        <v>33</v>
      </c>
      <c r="W196" s="24">
        <f t="shared" si="25"/>
        <v>30</v>
      </c>
      <c r="X196" s="4">
        <f t="shared" si="26"/>
        <v>15</v>
      </c>
      <c r="Y196" s="3">
        <f t="shared" si="27"/>
        <v>4.7123889803846894E-2</v>
      </c>
      <c r="AA196" s="3" t="str">
        <f t="shared" si="28"/>
        <v/>
      </c>
    </row>
    <row r="197" spans="17:27">
      <c r="Q197" s="18">
        <v>73</v>
      </c>
      <c r="R197" s="24">
        <v>30</v>
      </c>
      <c r="S197" s="4">
        <v>25</v>
      </c>
      <c r="T197" s="3">
        <f t="shared" si="23"/>
        <v>2.8274333882308138E-2</v>
      </c>
      <c r="V197" s="18">
        <f t="shared" si="24"/>
        <v>10</v>
      </c>
      <c r="W197" s="24">
        <f t="shared" si="25"/>
        <v>25</v>
      </c>
      <c r="X197" s="4">
        <f t="shared" si="26"/>
        <v>10</v>
      </c>
      <c r="Y197" s="3">
        <f t="shared" si="27"/>
        <v>4.9087385212340517E-2</v>
      </c>
      <c r="AA197" s="3" t="str">
        <f t="shared" si="28"/>
        <v/>
      </c>
    </row>
    <row r="198" spans="17:27">
      <c r="Q198" s="18">
        <v>74</v>
      </c>
      <c r="R198" s="24">
        <v>32</v>
      </c>
      <c r="S198" s="4">
        <v>25</v>
      </c>
      <c r="T198" s="3">
        <f t="shared" si="23"/>
        <v>3.2169908772759478E-2</v>
      </c>
      <c r="V198" s="18">
        <f t="shared" si="24"/>
        <v>78</v>
      </c>
      <c r="W198" s="24">
        <f t="shared" si="25"/>
        <v>40</v>
      </c>
      <c r="X198" s="4">
        <f t="shared" si="26"/>
        <v>25</v>
      </c>
      <c r="Y198" s="3">
        <f t="shared" si="27"/>
        <v>5.0265482457436693E-2</v>
      </c>
      <c r="AA198" s="3" t="str">
        <f t="shared" si="28"/>
        <v/>
      </c>
    </row>
    <row r="199" spans="17:27">
      <c r="Q199" s="18">
        <v>75</v>
      </c>
      <c r="R199" s="24">
        <v>34</v>
      </c>
      <c r="S199" s="4">
        <v>25</v>
      </c>
      <c r="T199" s="3">
        <f t="shared" si="23"/>
        <v>3.6316811075498008E-2</v>
      </c>
      <c r="V199" s="18">
        <f t="shared" si="24"/>
        <v>56</v>
      </c>
      <c r="W199" s="24">
        <f t="shared" si="25"/>
        <v>36</v>
      </c>
      <c r="X199" s="4">
        <f t="shared" si="26"/>
        <v>20</v>
      </c>
      <c r="Y199" s="3">
        <f t="shared" si="27"/>
        <v>5.0893800988154644E-2</v>
      </c>
      <c r="AA199" s="3" t="str">
        <f t="shared" si="28"/>
        <v/>
      </c>
    </row>
    <row r="200" spans="17:27">
      <c r="Q200" s="18">
        <v>76</v>
      </c>
      <c r="R200" s="24">
        <v>36</v>
      </c>
      <c r="S200" s="4">
        <v>25</v>
      </c>
      <c r="T200" s="3">
        <f t="shared" ref="T200:T224" si="29">0.5*PI()*(R200^2)/($H$2*S200*100)</f>
        <v>4.0715040790523717E-2</v>
      </c>
      <c r="V200" s="18">
        <f t="shared" si="24"/>
        <v>99</v>
      </c>
      <c r="W200" s="24">
        <f t="shared" si="25"/>
        <v>45</v>
      </c>
      <c r="X200" s="4">
        <f t="shared" si="26"/>
        <v>30</v>
      </c>
      <c r="Y200" s="3">
        <f t="shared" si="27"/>
        <v>5.3014376029327757E-2</v>
      </c>
      <c r="AA200" s="3" t="str">
        <f t="shared" si="28"/>
        <v/>
      </c>
    </row>
    <row r="201" spans="17:27">
      <c r="Q201" s="18">
        <v>77</v>
      </c>
      <c r="R201" s="24">
        <v>38</v>
      </c>
      <c r="S201" s="4">
        <v>25</v>
      </c>
      <c r="T201" s="3">
        <f t="shared" si="29"/>
        <v>4.5364597917836612E-2</v>
      </c>
      <c r="V201" s="18">
        <f t="shared" si="24"/>
        <v>11</v>
      </c>
      <c r="W201" s="24">
        <f t="shared" si="25"/>
        <v>26</v>
      </c>
      <c r="X201" s="4">
        <f t="shared" si="26"/>
        <v>10</v>
      </c>
      <c r="Y201" s="3">
        <f t="shared" si="27"/>
        <v>5.3092915845667506E-2</v>
      </c>
      <c r="AA201" s="3" t="str">
        <f t="shared" si="28"/>
        <v/>
      </c>
    </row>
    <row r="202" spans="17:27">
      <c r="Q202" s="18">
        <v>78</v>
      </c>
      <c r="R202" s="24">
        <v>40</v>
      </c>
      <c r="S202" s="4">
        <v>25</v>
      </c>
      <c r="T202" s="3">
        <f t="shared" si="29"/>
        <v>5.0265482457436693E-2</v>
      </c>
      <c r="V202" s="18">
        <f t="shared" si="24"/>
        <v>34</v>
      </c>
      <c r="W202" s="24">
        <f t="shared" si="25"/>
        <v>32</v>
      </c>
      <c r="X202" s="4">
        <f t="shared" si="26"/>
        <v>15</v>
      </c>
      <c r="Y202" s="3">
        <f t="shared" si="27"/>
        <v>5.36165146212658E-2</v>
      </c>
      <c r="AA202" s="3" t="str">
        <f t="shared" si="28"/>
        <v/>
      </c>
    </row>
    <row r="203" spans="17:27">
      <c r="Q203" s="18">
        <v>79</v>
      </c>
      <c r="R203" s="24">
        <v>45</v>
      </c>
      <c r="S203" s="4">
        <v>25</v>
      </c>
      <c r="T203" s="3">
        <f t="shared" si="29"/>
        <v>6.3617251235193309E-2</v>
      </c>
      <c r="V203" s="18">
        <f t="shared" si="24"/>
        <v>57</v>
      </c>
      <c r="W203" s="24">
        <f t="shared" si="25"/>
        <v>38</v>
      </c>
      <c r="X203" s="4">
        <f t="shared" si="26"/>
        <v>20</v>
      </c>
      <c r="Y203" s="3">
        <f t="shared" si="27"/>
        <v>5.670574739729576E-2</v>
      </c>
      <c r="AA203" s="3" t="str">
        <f t="shared" si="28"/>
        <v/>
      </c>
    </row>
    <row r="204" spans="17:27">
      <c r="Q204" s="18">
        <v>80</v>
      </c>
      <c r="R204" s="24">
        <v>50</v>
      </c>
      <c r="S204" s="4">
        <v>25</v>
      </c>
      <c r="T204" s="3">
        <f t="shared" si="29"/>
        <v>7.8539816339744828E-2</v>
      </c>
      <c r="V204" s="18">
        <f t="shared" si="24"/>
        <v>35</v>
      </c>
      <c r="W204" s="24">
        <f t="shared" si="25"/>
        <v>34</v>
      </c>
      <c r="X204" s="4">
        <f t="shared" si="26"/>
        <v>15</v>
      </c>
      <c r="Y204" s="3">
        <f t="shared" si="27"/>
        <v>6.0528018459163349E-2</v>
      </c>
      <c r="AA204" s="3" t="str">
        <f t="shared" si="28"/>
        <v/>
      </c>
    </row>
    <row r="205" spans="17:27">
      <c r="Q205" s="18">
        <v>81</v>
      </c>
      <c r="R205" s="24">
        <v>8</v>
      </c>
      <c r="S205" s="4">
        <v>30</v>
      </c>
      <c r="T205" s="3">
        <f t="shared" si="29"/>
        <v>1.6755160819145562E-3</v>
      </c>
      <c r="V205" s="18">
        <f t="shared" si="24"/>
        <v>12</v>
      </c>
      <c r="W205" s="24">
        <f t="shared" si="25"/>
        <v>28</v>
      </c>
      <c r="X205" s="4">
        <f t="shared" si="26"/>
        <v>10</v>
      </c>
      <c r="Y205" s="3">
        <f t="shared" si="27"/>
        <v>6.1575216010359944E-2</v>
      </c>
      <c r="AA205" s="3" t="str">
        <f t="shared" si="28"/>
        <v/>
      </c>
    </row>
    <row r="206" spans="17:27">
      <c r="Q206" s="18">
        <v>82</v>
      </c>
      <c r="R206" s="24">
        <v>10</v>
      </c>
      <c r="S206" s="4">
        <v>30</v>
      </c>
      <c r="T206" s="3">
        <f t="shared" si="29"/>
        <v>2.6179938779914945E-3</v>
      </c>
      <c r="V206" s="18">
        <f t="shared" si="24"/>
        <v>58</v>
      </c>
      <c r="W206" s="24">
        <f t="shared" si="25"/>
        <v>40</v>
      </c>
      <c r="X206" s="4">
        <f t="shared" si="26"/>
        <v>20</v>
      </c>
      <c r="Y206" s="3">
        <f t="shared" si="27"/>
        <v>6.2831853071795868E-2</v>
      </c>
      <c r="AA206" s="3" t="str">
        <f t="shared" si="28"/>
        <v/>
      </c>
    </row>
    <row r="207" spans="17:27">
      <c r="Q207" s="18">
        <v>83</v>
      </c>
      <c r="R207" s="24">
        <v>12</v>
      </c>
      <c r="S207" s="4">
        <v>30</v>
      </c>
      <c r="T207" s="3">
        <f t="shared" si="29"/>
        <v>3.7699111843077517E-3</v>
      </c>
      <c r="V207" s="18">
        <f t="shared" si="24"/>
        <v>79</v>
      </c>
      <c r="W207" s="24">
        <f t="shared" si="25"/>
        <v>45</v>
      </c>
      <c r="X207" s="4">
        <f t="shared" si="26"/>
        <v>25</v>
      </c>
      <c r="Y207" s="3">
        <f t="shared" si="27"/>
        <v>6.3617251235193309E-2</v>
      </c>
      <c r="AA207" s="3" t="str">
        <f t="shared" si="28"/>
        <v/>
      </c>
    </row>
    <row r="208" spans="17:27">
      <c r="Q208" s="18">
        <v>84</v>
      </c>
      <c r="R208" s="24">
        <v>14</v>
      </c>
      <c r="S208" s="4">
        <v>30</v>
      </c>
      <c r="T208" s="3">
        <f t="shared" si="29"/>
        <v>5.1312680008633281E-3</v>
      </c>
      <c r="V208" s="18">
        <f t="shared" si="24"/>
        <v>100</v>
      </c>
      <c r="W208" s="24">
        <f t="shared" si="25"/>
        <v>50</v>
      </c>
      <c r="X208" s="4">
        <f t="shared" si="26"/>
        <v>30</v>
      </c>
      <c r="Y208" s="3">
        <f t="shared" si="27"/>
        <v>6.5449846949787352E-2</v>
      </c>
      <c r="AA208" s="3" t="str">
        <f t="shared" si="28"/>
        <v/>
      </c>
    </row>
    <row r="209" spans="17:27">
      <c r="Q209" s="18">
        <v>85</v>
      </c>
      <c r="R209" s="24">
        <v>16</v>
      </c>
      <c r="S209" s="4">
        <v>30</v>
      </c>
      <c r="T209" s="3">
        <f t="shared" si="29"/>
        <v>6.702064327658225E-3</v>
      </c>
      <c r="V209" s="18">
        <f t="shared" si="24"/>
        <v>36</v>
      </c>
      <c r="W209" s="24">
        <f t="shared" si="25"/>
        <v>36</v>
      </c>
      <c r="X209" s="4">
        <f t="shared" si="26"/>
        <v>15</v>
      </c>
      <c r="Y209" s="3">
        <f t="shared" si="27"/>
        <v>6.7858401317539535E-2</v>
      </c>
      <c r="AA209" s="3" t="str">
        <f t="shared" si="28"/>
        <v/>
      </c>
    </row>
    <row r="210" spans="17:27">
      <c r="Q210" s="18">
        <v>86</v>
      </c>
      <c r="R210" s="24">
        <v>18</v>
      </c>
      <c r="S210" s="4">
        <v>30</v>
      </c>
      <c r="T210" s="3">
        <f t="shared" si="29"/>
        <v>8.4823001646924419E-3</v>
      </c>
      <c r="V210" s="18">
        <f t="shared" si="24"/>
        <v>13</v>
      </c>
      <c r="W210" s="24">
        <f t="shared" si="25"/>
        <v>30</v>
      </c>
      <c r="X210" s="4">
        <f t="shared" si="26"/>
        <v>10</v>
      </c>
      <c r="Y210" s="3">
        <f t="shared" si="27"/>
        <v>7.0685834705770348E-2</v>
      </c>
      <c r="AA210" s="3" t="str">
        <f t="shared" si="28"/>
        <v/>
      </c>
    </row>
    <row r="211" spans="17:27">
      <c r="Q211" s="18">
        <v>87</v>
      </c>
      <c r="R211" s="24">
        <v>20</v>
      </c>
      <c r="S211" s="4">
        <v>30</v>
      </c>
      <c r="T211" s="3">
        <f t="shared" si="29"/>
        <v>1.0471975511965978E-2</v>
      </c>
      <c r="V211" s="18">
        <f t="shared" si="24"/>
        <v>37</v>
      </c>
      <c r="W211" s="24">
        <f t="shared" si="25"/>
        <v>38</v>
      </c>
      <c r="X211" s="4">
        <f t="shared" si="26"/>
        <v>15</v>
      </c>
      <c r="Y211" s="3">
        <f t="shared" si="27"/>
        <v>7.5607663196394351E-2</v>
      </c>
      <c r="AA211" s="3" t="str">
        <f t="shared" si="28"/>
        <v/>
      </c>
    </row>
    <row r="212" spans="17:27">
      <c r="Q212" s="18">
        <v>88</v>
      </c>
      <c r="R212" s="24">
        <v>22</v>
      </c>
      <c r="S212" s="4">
        <v>30</v>
      </c>
      <c r="T212" s="3">
        <f t="shared" si="29"/>
        <v>1.2671090369478832E-2</v>
      </c>
      <c r="V212" s="18">
        <f t="shared" si="24"/>
        <v>80</v>
      </c>
      <c r="W212" s="24">
        <f t="shared" si="25"/>
        <v>50</v>
      </c>
      <c r="X212" s="4">
        <f t="shared" si="26"/>
        <v>25</v>
      </c>
      <c r="Y212" s="3">
        <f t="shared" si="27"/>
        <v>7.8539816339744828E-2</v>
      </c>
      <c r="AA212" s="3" t="str">
        <f t="shared" si="28"/>
        <v/>
      </c>
    </row>
    <row r="213" spans="17:27">
      <c r="Q213" s="18">
        <v>89</v>
      </c>
      <c r="R213" s="24">
        <v>24</v>
      </c>
      <c r="S213" s="4">
        <v>30</v>
      </c>
      <c r="T213" s="3">
        <f t="shared" si="29"/>
        <v>1.5079644737231007E-2</v>
      </c>
      <c r="V213" s="18">
        <f t="shared" si="24"/>
        <v>59</v>
      </c>
      <c r="W213" s="24">
        <f t="shared" si="25"/>
        <v>45</v>
      </c>
      <c r="X213" s="4">
        <f t="shared" si="26"/>
        <v>20</v>
      </c>
      <c r="Y213" s="3">
        <f t="shared" si="27"/>
        <v>7.9521564043991633E-2</v>
      </c>
      <c r="AA213" s="3" t="str">
        <f t="shared" si="28"/>
        <v/>
      </c>
    </row>
    <row r="214" spans="17:27">
      <c r="Q214" s="18">
        <v>90</v>
      </c>
      <c r="R214" s="24">
        <v>25</v>
      </c>
      <c r="S214" s="4">
        <v>30</v>
      </c>
      <c r="T214" s="3">
        <f t="shared" si="29"/>
        <v>1.6362461737446838E-2</v>
      </c>
      <c r="V214" s="18">
        <f t="shared" si="24"/>
        <v>14</v>
      </c>
      <c r="W214" s="24">
        <f t="shared" si="25"/>
        <v>32</v>
      </c>
      <c r="X214" s="4">
        <f t="shared" si="26"/>
        <v>10</v>
      </c>
      <c r="Y214" s="3">
        <f t="shared" si="27"/>
        <v>8.0424771931898703E-2</v>
      </c>
      <c r="AA214" s="3" t="str">
        <f t="shared" si="28"/>
        <v/>
      </c>
    </row>
    <row r="215" spans="17:27">
      <c r="Q215" s="18">
        <v>91</v>
      </c>
      <c r="R215" s="24">
        <v>26</v>
      </c>
      <c r="S215" s="4">
        <v>30</v>
      </c>
      <c r="T215" s="3">
        <f t="shared" si="29"/>
        <v>1.7697638615222503E-2</v>
      </c>
      <c r="V215" s="18">
        <f t="shared" si="24"/>
        <v>38</v>
      </c>
      <c r="W215" s="24">
        <f t="shared" si="25"/>
        <v>40</v>
      </c>
      <c r="X215" s="4">
        <f t="shared" si="26"/>
        <v>15</v>
      </c>
      <c r="Y215" s="3">
        <f t="shared" si="27"/>
        <v>8.3775804095727824E-2</v>
      </c>
      <c r="AA215" s="3" t="str">
        <f t="shared" si="28"/>
        <v/>
      </c>
    </row>
    <row r="216" spans="17:27">
      <c r="Q216" s="18">
        <v>92</v>
      </c>
      <c r="R216" s="24">
        <v>28</v>
      </c>
      <c r="S216" s="4">
        <v>30</v>
      </c>
      <c r="T216" s="3">
        <f t="shared" si="29"/>
        <v>2.0525072003453312E-2</v>
      </c>
      <c r="V216" s="18">
        <f t="shared" si="24"/>
        <v>15</v>
      </c>
      <c r="W216" s="24">
        <f t="shared" si="25"/>
        <v>34</v>
      </c>
      <c r="X216" s="4">
        <f t="shared" si="26"/>
        <v>10</v>
      </c>
      <c r="Y216" s="3">
        <f t="shared" si="27"/>
        <v>9.0792027688745017E-2</v>
      </c>
      <c r="AA216" s="3" t="str">
        <f t="shared" si="28"/>
        <v/>
      </c>
    </row>
    <row r="217" spans="17:27">
      <c r="Q217" s="18">
        <v>93</v>
      </c>
      <c r="R217" s="24">
        <v>30</v>
      </c>
      <c r="S217" s="4">
        <v>30</v>
      </c>
      <c r="T217" s="3">
        <f t="shared" si="29"/>
        <v>2.3561944901923447E-2</v>
      </c>
      <c r="V217" s="18">
        <f t="shared" si="24"/>
        <v>60</v>
      </c>
      <c r="W217" s="24">
        <f t="shared" si="25"/>
        <v>50</v>
      </c>
      <c r="X217" s="4">
        <f t="shared" si="26"/>
        <v>20</v>
      </c>
      <c r="Y217" s="3">
        <f t="shared" si="27"/>
        <v>9.8174770424681035E-2</v>
      </c>
      <c r="AA217" s="3" t="str">
        <f t="shared" si="28"/>
        <v/>
      </c>
    </row>
    <row r="218" spans="17:27">
      <c r="Q218" s="18">
        <v>94</v>
      </c>
      <c r="R218" s="24">
        <v>32</v>
      </c>
      <c r="S218" s="4">
        <v>30</v>
      </c>
      <c r="T218" s="3">
        <f t="shared" si="29"/>
        <v>2.68082573106329E-2</v>
      </c>
      <c r="V218" s="18">
        <f t="shared" si="24"/>
        <v>16</v>
      </c>
      <c r="W218" s="24">
        <f t="shared" si="25"/>
        <v>36</v>
      </c>
      <c r="X218" s="4">
        <f t="shared" si="26"/>
        <v>10</v>
      </c>
      <c r="Y218" s="3">
        <f t="shared" si="27"/>
        <v>0.10178760197630929</v>
      </c>
      <c r="AA218" s="3" t="str">
        <f t="shared" si="28"/>
        <v/>
      </c>
    </row>
    <row r="219" spans="17:27">
      <c r="Q219" s="18">
        <v>95</v>
      </c>
      <c r="R219" s="24">
        <v>34</v>
      </c>
      <c r="S219" s="4">
        <v>30</v>
      </c>
      <c r="T219" s="3">
        <f t="shared" si="29"/>
        <v>3.0264009229581675E-2</v>
      </c>
      <c r="V219" s="18">
        <f t="shared" si="24"/>
        <v>39</v>
      </c>
      <c r="W219" s="24">
        <f t="shared" si="25"/>
        <v>45</v>
      </c>
      <c r="X219" s="4">
        <f t="shared" si="26"/>
        <v>15</v>
      </c>
      <c r="Y219" s="3">
        <f t="shared" si="27"/>
        <v>0.10602875205865551</v>
      </c>
      <c r="AA219" s="3" t="str">
        <f t="shared" si="28"/>
        <v/>
      </c>
    </row>
    <row r="220" spans="17:27">
      <c r="Q220" s="18">
        <v>96</v>
      </c>
      <c r="R220" s="24">
        <v>36</v>
      </c>
      <c r="S220" s="4">
        <v>30</v>
      </c>
      <c r="T220" s="3">
        <f t="shared" si="29"/>
        <v>3.3929200658769768E-2</v>
      </c>
      <c r="V220" s="18">
        <f t="shared" si="24"/>
        <v>17</v>
      </c>
      <c r="W220" s="24">
        <f t="shared" si="25"/>
        <v>38</v>
      </c>
      <c r="X220" s="4">
        <f t="shared" si="26"/>
        <v>10</v>
      </c>
      <c r="Y220" s="3">
        <f t="shared" si="27"/>
        <v>0.11341149479459152</v>
      </c>
      <c r="AA220" s="3" t="str">
        <f t="shared" si="28"/>
        <v/>
      </c>
    </row>
    <row r="221" spans="17:27">
      <c r="Q221" s="18">
        <v>97</v>
      </c>
      <c r="R221" s="24">
        <v>38</v>
      </c>
      <c r="S221" s="4">
        <v>30</v>
      </c>
      <c r="T221" s="3">
        <f t="shared" si="29"/>
        <v>3.7803831598197175E-2</v>
      </c>
      <c r="V221" s="18">
        <f t="shared" si="24"/>
        <v>18</v>
      </c>
      <c r="W221" s="24">
        <f t="shared" si="25"/>
        <v>40</v>
      </c>
      <c r="X221" s="4">
        <f t="shared" si="26"/>
        <v>10</v>
      </c>
      <c r="Y221" s="3">
        <f t="shared" si="27"/>
        <v>0.12566370614359174</v>
      </c>
      <c r="AA221" s="3" t="str">
        <f t="shared" si="28"/>
        <v/>
      </c>
    </row>
    <row r="222" spans="17:27">
      <c r="Q222" s="18">
        <v>98</v>
      </c>
      <c r="R222" s="24">
        <v>40</v>
      </c>
      <c r="S222" s="4">
        <v>30</v>
      </c>
      <c r="T222" s="3">
        <f t="shared" si="29"/>
        <v>4.1887902047863912E-2</v>
      </c>
      <c r="V222" s="18">
        <f t="shared" si="24"/>
        <v>40</v>
      </c>
      <c r="W222" s="24">
        <f t="shared" si="25"/>
        <v>50</v>
      </c>
      <c r="X222" s="4">
        <f t="shared" si="26"/>
        <v>15</v>
      </c>
      <c r="Y222" s="3">
        <f t="shared" si="27"/>
        <v>0.1308996938995747</v>
      </c>
      <c r="AA222" s="3" t="str">
        <f t="shared" si="28"/>
        <v/>
      </c>
    </row>
    <row r="223" spans="17:27">
      <c r="Q223" s="18">
        <v>99</v>
      </c>
      <c r="R223" s="24">
        <v>45</v>
      </c>
      <c r="S223" s="4">
        <v>30</v>
      </c>
      <c r="T223" s="3">
        <f t="shared" si="29"/>
        <v>5.3014376029327757E-2</v>
      </c>
      <c r="V223" s="18">
        <f t="shared" si="24"/>
        <v>19</v>
      </c>
      <c r="W223" s="24">
        <f t="shared" si="25"/>
        <v>45</v>
      </c>
      <c r="X223" s="4">
        <f t="shared" si="26"/>
        <v>10</v>
      </c>
      <c r="Y223" s="3">
        <f t="shared" si="27"/>
        <v>0.15904312808798327</v>
      </c>
      <c r="AA223" s="3" t="str">
        <f t="shared" si="28"/>
        <v/>
      </c>
    </row>
    <row r="224" spans="17:27">
      <c r="Q224" s="18">
        <v>100</v>
      </c>
      <c r="R224" s="24">
        <v>50</v>
      </c>
      <c r="S224" s="4">
        <v>30</v>
      </c>
      <c r="T224" s="3">
        <f t="shared" si="29"/>
        <v>6.5449846949787352E-2</v>
      </c>
      <c r="V224" s="18">
        <f t="shared" si="24"/>
        <v>20</v>
      </c>
      <c r="W224" s="24">
        <f t="shared" si="25"/>
        <v>50</v>
      </c>
      <c r="X224" s="4">
        <f t="shared" si="26"/>
        <v>10</v>
      </c>
      <c r="Y224" s="3">
        <f t="shared" si="27"/>
        <v>0.19634954084936207</v>
      </c>
      <c r="AA224" s="3" t="str">
        <f t="shared" si="28"/>
        <v/>
      </c>
    </row>
    <row r="230" spans="2:38" ht="22.8">
      <c r="E230" s="37" t="s">
        <v>139</v>
      </c>
      <c r="F230" s="36">
        <f>'מסך ראשי'!O33</f>
        <v>10</v>
      </c>
      <c r="I230" t="s">
        <v>137</v>
      </c>
    </row>
    <row r="231" spans="2:38" ht="22.8">
      <c r="E231" s="37" t="s">
        <v>140</v>
      </c>
      <c r="F231" s="36">
        <f>'מסך ראשי'!O34</f>
        <v>10</v>
      </c>
    </row>
    <row r="232" spans="2:38" ht="21.6">
      <c r="E232" s="35" t="s">
        <v>132</v>
      </c>
      <c r="F232" s="6">
        <f>'מסך ראשי'!O41</f>
        <v>179.3732498292313</v>
      </c>
      <c r="G232" s="39"/>
      <c r="I232" t="s">
        <v>86</v>
      </c>
      <c r="J232" t="s">
        <v>138</v>
      </c>
      <c r="K232" t="s">
        <v>134</v>
      </c>
      <c r="L232" s="32" t="s">
        <v>130</v>
      </c>
      <c r="M232" s="32" t="s">
        <v>133</v>
      </c>
      <c r="N232" s="31" t="s">
        <v>135</v>
      </c>
      <c r="O232" s="32" t="s">
        <v>136</v>
      </c>
      <c r="S232" s="45" t="s">
        <v>131</v>
      </c>
      <c r="T232" s="45" t="s">
        <v>143</v>
      </c>
      <c r="U232" s="35" t="s">
        <v>144</v>
      </c>
      <c r="V232" s="35" t="s">
        <v>147</v>
      </c>
      <c r="W232" s="35" t="s">
        <v>145</v>
      </c>
      <c r="Y232" s="40" t="s">
        <v>148</v>
      </c>
      <c r="Z232" s="45" t="s">
        <v>149</v>
      </c>
      <c r="AA232" s="46" t="s">
        <v>86</v>
      </c>
      <c r="AB232" s="46" t="s">
        <v>138</v>
      </c>
      <c r="AC232" s="46" t="s">
        <v>134</v>
      </c>
      <c r="AD232" s="11" t="s">
        <v>130</v>
      </c>
      <c r="AE232" s="11" t="s">
        <v>133</v>
      </c>
      <c r="AF232" s="11" t="s">
        <v>135</v>
      </c>
      <c r="AG232" s="11" t="s">
        <v>136</v>
      </c>
    </row>
    <row r="233" spans="2:38" ht="20.399999999999999">
      <c r="B233">
        <v>2</v>
      </c>
      <c r="E233" s="35" t="s">
        <v>76</v>
      </c>
      <c r="F233" s="7">
        <f>'מסך ראשי'!O42</f>
        <v>600</v>
      </c>
      <c r="H233">
        <v>1</v>
      </c>
      <c r="I233" s="18">
        <v>8</v>
      </c>
      <c r="J233">
        <v>2</v>
      </c>
      <c r="K233">
        <f t="shared" ref="K233:K296" si="30">$F$230+$F$231*(J233-2)/2</f>
        <v>10</v>
      </c>
      <c r="L233" s="39">
        <f t="shared" ref="L233:L296" si="31">J233*0.25*PI()*(I233/10)^2</f>
        <v>1.0053096491487339</v>
      </c>
      <c r="M233">
        <f t="shared" ref="M233:M296" si="32">$F$233-(K233+$F$232)/2</f>
        <v>505.31337508538434</v>
      </c>
      <c r="N233">
        <f t="shared" ref="N233:N296" si="33">L233*$F$235*M233*0.001</f>
        <v>177.79874413603764</v>
      </c>
      <c r="O233" s="39">
        <f t="shared" ref="O233:O296" si="34">N233+$F$237</f>
        <v>15720.556145793373</v>
      </c>
      <c r="S233">
        <f t="shared" ref="S233:S296" si="35">IF(L233&lt;$F$236,1,0)</f>
        <v>1</v>
      </c>
      <c r="T233">
        <f>IF(O233&gt;$F$234,1,0)</f>
        <v>0</v>
      </c>
      <c r="U233">
        <f t="shared" ref="U233:U296" si="36">IF(I233&lt;=$F$238,1,0)</f>
        <v>1</v>
      </c>
      <c r="V233">
        <f t="shared" ref="V233:V296" si="37">IF(J233&lt;=$F$239,1,0)</f>
        <v>1</v>
      </c>
      <c r="W233">
        <f t="shared" ref="W233:W296" si="38">IF(K233&lt;=$F$240,1,0)</f>
        <v>1</v>
      </c>
      <c r="Y233" t="str">
        <f t="shared" ref="Y233:Y296" si="39">IF(SUM(S233:W233)=5,H233,"")</f>
        <v/>
      </c>
      <c r="Z233" s="47">
        <f>SMALL($Y$233:$Y$1232,$AI233)</f>
        <v>313</v>
      </c>
      <c r="AA233" s="47" cm="1">
        <f t="array" ref="AA233">INDEX(I$233:I$1232,$Z233)</f>
        <v>25</v>
      </c>
      <c r="AB233" s="47" cm="1">
        <f t="array" ref="AB233">INDEX(J$233:J$1232,$Z233)</f>
        <v>20</v>
      </c>
      <c r="AC233" s="47" cm="1">
        <f t="array" ref="AC233">INDEX(K$233:K$1232,$Z233)</f>
        <v>100</v>
      </c>
      <c r="AD233" s="47" cm="1">
        <f t="array" ref="AD233">INDEX(L$233:L$1232,$Z233)</f>
        <v>98.174770424681029</v>
      </c>
      <c r="AE233" s="47" cm="1">
        <f t="array" ref="AE233">INDEX(M$233:M$1232,$Z233)</f>
        <v>460.31337508538434</v>
      </c>
      <c r="AF233" s="47" cm="1">
        <f t="array" ref="AF233">INDEX(N$233:N$1232,$Z233)</f>
        <v>15816.905972846194</v>
      </c>
      <c r="AG233" s="47" cm="1">
        <f t="array" ref="AG233">INDEX(O$233:O$1232,$Z233)</f>
        <v>31359.663374503529</v>
      </c>
      <c r="AI233">
        <v>1</v>
      </c>
      <c r="AL233" s="18">
        <v>8</v>
      </c>
    </row>
    <row r="234" spans="2:38" ht="20.399999999999999">
      <c r="B234">
        <v>4</v>
      </c>
      <c r="E234" s="40" t="s">
        <v>18</v>
      </c>
      <c r="F234" s="7">
        <f>'מסך ראשי'!C18</f>
        <v>30763</v>
      </c>
      <c r="H234">
        <v>2</v>
      </c>
      <c r="I234" s="18">
        <v>10</v>
      </c>
      <c r="J234">
        <v>2</v>
      </c>
      <c r="K234">
        <f t="shared" si="30"/>
        <v>10</v>
      </c>
      <c r="L234" s="39">
        <f t="shared" si="31"/>
        <v>1.5707963267948966</v>
      </c>
      <c r="M234">
        <f t="shared" si="32"/>
        <v>505.31337508538434</v>
      </c>
      <c r="N234">
        <f t="shared" si="33"/>
        <v>277.8105377125587</v>
      </c>
      <c r="O234" s="39">
        <f t="shared" si="34"/>
        <v>15820.567939369894</v>
      </c>
      <c r="S234">
        <f t="shared" si="35"/>
        <v>1</v>
      </c>
      <c r="T234">
        <f>IF(O234&gt;$F$234,1,0)</f>
        <v>0</v>
      </c>
      <c r="U234">
        <f>IF(I234&lt;=$F$238,1,0)</f>
        <v>1</v>
      </c>
      <c r="V234">
        <f>IF(J234&lt;=$F$239,1,0)</f>
        <v>1</v>
      </c>
      <c r="W234">
        <f>IF(K234&lt;=$F$240,1,0)</f>
        <v>1</v>
      </c>
      <c r="Y234" t="str">
        <f t="shared" si="39"/>
        <v/>
      </c>
      <c r="Z234" s="47" t="e">
        <f t="shared" ref="Z234:Z242" si="40">SMALL($Y$233:$Y$1232,$AI234)</f>
        <v>#NUM!</v>
      </c>
      <c r="AA234" s="47" t="e" cm="1">
        <f t="array" ref="AA234">INDEX(I$233:I$1232,$Z234)</f>
        <v>#NUM!</v>
      </c>
      <c r="AB234" s="47" t="e" cm="1">
        <f t="array" ref="AB234">INDEX(J$233:J$1232,$Z234)</f>
        <v>#NUM!</v>
      </c>
      <c r="AC234" s="47" t="e" cm="1">
        <f t="array" ref="AC234">INDEX(K$233:K$1232,$Z234)</f>
        <v>#NUM!</v>
      </c>
      <c r="AD234" s="47" t="e" cm="1">
        <f t="array" ref="AD234">INDEX(L$233:L$1232,$Z234)</f>
        <v>#NUM!</v>
      </c>
      <c r="AE234" s="47" t="e" cm="1">
        <f t="array" ref="AE234">INDEX(M$233:M$1232,$Z234)</f>
        <v>#NUM!</v>
      </c>
      <c r="AF234" s="47" t="e" cm="1">
        <f t="array" ref="AF234">INDEX(N$233:N$1232,$Z234)</f>
        <v>#NUM!</v>
      </c>
      <c r="AG234" s="47" t="e" cm="1">
        <f t="array" ref="AG234">INDEX(O$233:O$1232,$Z234)</f>
        <v>#NUM!</v>
      </c>
      <c r="AI234">
        <v>2</v>
      </c>
      <c r="AL234" s="18">
        <v>10</v>
      </c>
    </row>
    <row r="235" spans="2:38" ht="20.399999999999999">
      <c r="B235">
        <v>6</v>
      </c>
      <c r="E235" s="42" t="s">
        <v>13</v>
      </c>
      <c r="F235">
        <f>'מסך ראשי'!C23</f>
        <v>350</v>
      </c>
      <c r="H235">
        <v>3</v>
      </c>
      <c r="I235" s="18">
        <v>8</v>
      </c>
      <c r="J235">
        <v>4</v>
      </c>
      <c r="K235">
        <f t="shared" si="30"/>
        <v>20</v>
      </c>
      <c r="L235" s="39">
        <f t="shared" si="31"/>
        <v>2.0106192982974678</v>
      </c>
      <c r="M235">
        <f t="shared" si="32"/>
        <v>500.31337508538434</v>
      </c>
      <c r="N235">
        <f t="shared" si="33"/>
        <v>352.07890450005465</v>
      </c>
      <c r="O235" s="39">
        <f t="shared" si="34"/>
        <v>15894.836306157389</v>
      </c>
      <c r="S235">
        <f t="shared" si="35"/>
        <v>1</v>
      </c>
      <c r="T235">
        <f>IF(O235&gt;$F$234,1,0)</f>
        <v>0</v>
      </c>
      <c r="U235">
        <f t="shared" si="36"/>
        <v>1</v>
      </c>
      <c r="V235">
        <f t="shared" si="37"/>
        <v>1</v>
      </c>
      <c r="W235">
        <f t="shared" si="38"/>
        <v>1</v>
      </c>
      <c r="Y235" t="str">
        <f t="shared" si="39"/>
        <v/>
      </c>
      <c r="Z235" s="47" t="e">
        <f t="shared" si="40"/>
        <v>#NUM!</v>
      </c>
      <c r="AA235" s="47" t="e" cm="1">
        <f t="array" ref="AA235">INDEX(I$233:I$1232,$Z235)</f>
        <v>#NUM!</v>
      </c>
      <c r="AB235" s="47" t="e" cm="1">
        <f t="array" ref="AB235">INDEX(J$233:J$1232,$Z235)</f>
        <v>#NUM!</v>
      </c>
      <c r="AC235" s="47" t="e" cm="1">
        <f t="array" ref="AC235">INDEX(K$233:K$1232,$Z235)</f>
        <v>#NUM!</v>
      </c>
      <c r="AD235" s="47" t="e" cm="1">
        <f t="array" ref="AD235">INDEX(L$233:L$1232,$Z235)</f>
        <v>#NUM!</v>
      </c>
      <c r="AE235" s="47" t="e" cm="1">
        <f t="array" ref="AE235">INDEX(M$233:M$1232,$Z235)</f>
        <v>#NUM!</v>
      </c>
      <c r="AF235" s="47" t="e" cm="1">
        <f t="array" ref="AF235">INDEX(N$233:N$1232,$Z235)</f>
        <v>#NUM!</v>
      </c>
      <c r="AG235" s="47" t="e" cm="1">
        <f t="array" ref="AG235">INDEX(O$233:O$1232,$Z235)</f>
        <v>#NUM!</v>
      </c>
      <c r="AI235">
        <v>3</v>
      </c>
      <c r="AL235" s="18">
        <v>12</v>
      </c>
    </row>
    <row r="236" spans="2:38" ht="20.399999999999999">
      <c r="B236">
        <v>8</v>
      </c>
      <c r="E236" s="35" t="s">
        <v>131</v>
      </c>
      <c r="F236" s="7">
        <f>'מסך ראשי'!O40</f>
        <v>240</v>
      </c>
      <c r="G236" s="39"/>
      <c r="H236">
        <v>4</v>
      </c>
      <c r="I236" s="18">
        <v>12</v>
      </c>
      <c r="J236">
        <v>2</v>
      </c>
      <c r="K236">
        <f t="shared" si="30"/>
        <v>10</v>
      </c>
      <c r="L236" s="39">
        <f t="shared" si="31"/>
        <v>2.2619467105846511</v>
      </c>
      <c r="M236">
        <f t="shared" si="32"/>
        <v>505.31337508538434</v>
      </c>
      <c r="N236">
        <f t="shared" si="33"/>
        <v>400.04717430608457</v>
      </c>
      <c r="O236" s="39">
        <f t="shared" si="34"/>
        <v>15942.804575963419</v>
      </c>
      <c r="S236">
        <f t="shared" si="35"/>
        <v>1</v>
      </c>
      <c r="T236">
        <f>IF(O236&gt;$F$234,1,0)</f>
        <v>0</v>
      </c>
      <c r="U236">
        <f t="shared" si="36"/>
        <v>1</v>
      </c>
      <c r="V236">
        <f t="shared" si="37"/>
        <v>1</v>
      </c>
      <c r="W236">
        <f t="shared" si="38"/>
        <v>1</v>
      </c>
      <c r="Y236" t="str">
        <f t="shared" si="39"/>
        <v/>
      </c>
      <c r="Z236" s="47" t="e">
        <f t="shared" si="40"/>
        <v>#NUM!</v>
      </c>
      <c r="AA236" s="47" t="e" cm="1">
        <f t="array" ref="AA236">INDEX(I$233:I$1232,$Z236)</f>
        <v>#NUM!</v>
      </c>
      <c r="AB236" s="47" t="e" cm="1">
        <f t="array" ref="AB236">INDEX(J$233:J$1232,$Z236)</f>
        <v>#NUM!</v>
      </c>
      <c r="AC236" s="47" t="e" cm="1">
        <f t="array" ref="AC236">INDEX(K$233:K$1232,$Z236)</f>
        <v>#NUM!</v>
      </c>
      <c r="AD236" s="47" t="e" cm="1">
        <f t="array" ref="AD236">INDEX(L$233:L$1232,$Z236)</f>
        <v>#NUM!</v>
      </c>
      <c r="AE236" s="47" t="e" cm="1">
        <f t="array" ref="AE236">INDEX(M$233:M$1232,$Z236)</f>
        <v>#NUM!</v>
      </c>
      <c r="AF236" s="47" t="e" cm="1">
        <f t="array" ref="AF236">INDEX(N$233:N$1232,$Z236)</f>
        <v>#NUM!</v>
      </c>
      <c r="AG236" s="47" t="e" cm="1">
        <f t="array" ref="AG236">INDEX(O$233:O$1232,$Z236)</f>
        <v>#NUM!</v>
      </c>
      <c r="AI236">
        <v>4</v>
      </c>
      <c r="AL236" s="18">
        <v>14</v>
      </c>
    </row>
    <row r="237" spans="2:38" ht="21.6">
      <c r="B237">
        <v>10</v>
      </c>
      <c r="E237" s="40" t="s">
        <v>121</v>
      </c>
      <c r="F237" s="43">
        <f>'מסך ראשי'!O25</f>
        <v>15542.757401657334</v>
      </c>
      <c r="H237">
        <v>5</v>
      </c>
      <c r="I237" s="18">
        <v>8</v>
      </c>
      <c r="J237">
        <v>6</v>
      </c>
      <c r="K237">
        <f t="shared" si="30"/>
        <v>30</v>
      </c>
      <c r="L237" s="39">
        <f t="shared" si="31"/>
        <v>3.0159289474462021</v>
      </c>
      <c r="M237">
        <f t="shared" si="32"/>
        <v>495.31337508538434</v>
      </c>
      <c r="N237">
        <f t="shared" si="33"/>
        <v>522.84048109205116</v>
      </c>
      <c r="O237" s="39">
        <f t="shared" si="34"/>
        <v>16065.597882749385</v>
      </c>
      <c r="S237">
        <f t="shared" si="35"/>
        <v>1</v>
      </c>
      <c r="T237">
        <f t="shared" ref="T237:T296" si="41">IF(O237&gt;$F$234,1,0)</f>
        <v>0</v>
      </c>
      <c r="U237">
        <f t="shared" si="36"/>
        <v>1</v>
      </c>
      <c r="V237">
        <f t="shared" si="37"/>
        <v>1</v>
      </c>
      <c r="W237">
        <f t="shared" si="38"/>
        <v>1</v>
      </c>
      <c r="Y237" t="str">
        <f t="shared" si="39"/>
        <v/>
      </c>
      <c r="Z237" s="47" t="e">
        <f t="shared" si="40"/>
        <v>#NUM!</v>
      </c>
      <c r="AA237" s="47" t="e" cm="1">
        <f t="array" ref="AA237">INDEX(I$233:I$1232,$Z237)</f>
        <v>#NUM!</v>
      </c>
      <c r="AB237" s="47" t="e" cm="1">
        <f t="array" ref="AB237">INDEX(J$233:J$1232,$Z237)</f>
        <v>#NUM!</v>
      </c>
      <c r="AC237" s="47" t="e" cm="1">
        <f t="array" ref="AC237">INDEX(K$233:K$1232,$Z237)</f>
        <v>#NUM!</v>
      </c>
      <c r="AD237" s="47" t="e" cm="1">
        <f t="array" ref="AD237">INDEX(L$233:L$1232,$Z237)</f>
        <v>#NUM!</v>
      </c>
      <c r="AE237" s="47" t="e" cm="1">
        <f t="array" ref="AE237">INDEX(M$233:M$1232,$Z237)</f>
        <v>#NUM!</v>
      </c>
      <c r="AF237" s="47" t="e" cm="1">
        <f t="array" ref="AF237">INDEX(N$233:N$1232,$Z237)</f>
        <v>#NUM!</v>
      </c>
      <c r="AG237" s="47" t="e" cm="1">
        <f t="array" ref="AG237">INDEX(O$233:O$1232,$Z237)</f>
        <v>#NUM!</v>
      </c>
      <c r="AI237">
        <v>5</v>
      </c>
      <c r="AL237" s="18">
        <v>16</v>
      </c>
    </row>
    <row r="238" spans="2:38" ht="22.8">
      <c r="B238">
        <v>12</v>
      </c>
      <c r="E238" s="44" t="s">
        <v>97</v>
      </c>
      <c r="F238" s="36">
        <f>'מסך ראשי'!O36</f>
        <v>25</v>
      </c>
      <c r="H238">
        <v>6</v>
      </c>
      <c r="I238" s="18">
        <v>14</v>
      </c>
      <c r="J238">
        <v>2</v>
      </c>
      <c r="K238">
        <f t="shared" si="30"/>
        <v>10</v>
      </c>
      <c r="L238" s="39">
        <f t="shared" si="31"/>
        <v>3.0787608005179967</v>
      </c>
      <c r="M238">
        <f t="shared" si="32"/>
        <v>505.31337508538434</v>
      </c>
      <c r="N238">
        <f t="shared" si="33"/>
        <v>544.50865391661512</v>
      </c>
      <c r="O238" s="39">
        <f t="shared" si="34"/>
        <v>16087.266055573949</v>
      </c>
      <c r="S238">
        <f t="shared" si="35"/>
        <v>1</v>
      </c>
      <c r="T238">
        <f t="shared" si="41"/>
        <v>0</v>
      </c>
      <c r="U238">
        <f t="shared" si="36"/>
        <v>1</v>
      </c>
      <c r="V238">
        <f t="shared" si="37"/>
        <v>1</v>
      </c>
      <c r="W238">
        <f t="shared" si="38"/>
        <v>1</v>
      </c>
      <c r="Y238" t="str">
        <f t="shared" si="39"/>
        <v/>
      </c>
      <c r="Z238" s="47" t="e">
        <f t="shared" si="40"/>
        <v>#NUM!</v>
      </c>
      <c r="AA238" s="47" t="e" cm="1">
        <f t="array" ref="AA238">INDEX(I$233:I$1232,$Z238)</f>
        <v>#NUM!</v>
      </c>
      <c r="AB238" s="47" t="e" cm="1">
        <f t="array" ref="AB238">INDEX(J$233:J$1232,$Z238)</f>
        <v>#NUM!</v>
      </c>
      <c r="AC238" s="47" t="e" cm="1">
        <f t="array" ref="AC238">INDEX(K$233:K$1232,$Z238)</f>
        <v>#NUM!</v>
      </c>
      <c r="AD238" s="47" t="e" cm="1">
        <f t="array" ref="AD238">INDEX(L$233:L$1232,$Z238)</f>
        <v>#NUM!</v>
      </c>
      <c r="AE238" s="47" t="e" cm="1">
        <f t="array" ref="AE238">INDEX(M$233:M$1232,$Z238)</f>
        <v>#NUM!</v>
      </c>
      <c r="AF238" s="47" t="e" cm="1">
        <f t="array" ref="AF238">INDEX(N$233:N$1232,$Z238)</f>
        <v>#NUM!</v>
      </c>
      <c r="AG238" s="47" t="e" cm="1">
        <f t="array" ref="AG238">INDEX(O$233:O$1232,$Z238)</f>
        <v>#NUM!</v>
      </c>
      <c r="AI238">
        <v>6</v>
      </c>
      <c r="AL238" s="18">
        <v>18</v>
      </c>
    </row>
    <row r="239" spans="2:38" ht="22.8">
      <c r="B239">
        <v>14</v>
      </c>
      <c r="E239" s="44" t="s">
        <v>146</v>
      </c>
      <c r="F239" s="36">
        <f>'מסך ראשי'!O37</f>
        <v>20</v>
      </c>
      <c r="H239">
        <v>7</v>
      </c>
      <c r="I239" s="18">
        <v>10</v>
      </c>
      <c r="J239">
        <v>4</v>
      </c>
      <c r="K239">
        <f t="shared" si="30"/>
        <v>20</v>
      </c>
      <c r="L239" s="39">
        <f t="shared" si="31"/>
        <v>3.1415926535897931</v>
      </c>
      <c r="M239">
        <f t="shared" si="32"/>
        <v>500.31337508538434</v>
      </c>
      <c r="N239">
        <f t="shared" si="33"/>
        <v>550.12328828133525</v>
      </c>
      <c r="O239" s="39">
        <f t="shared" si="34"/>
        <v>16092.880689938669</v>
      </c>
      <c r="S239">
        <f t="shared" si="35"/>
        <v>1</v>
      </c>
      <c r="T239">
        <f t="shared" si="41"/>
        <v>0</v>
      </c>
      <c r="U239">
        <f t="shared" si="36"/>
        <v>1</v>
      </c>
      <c r="V239">
        <f t="shared" si="37"/>
        <v>1</v>
      </c>
      <c r="W239">
        <f t="shared" si="38"/>
        <v>1</v>
      </c>
      <c r="Y239" t="str">
        <f t="shared" si="39"/>
        <v/>
      </c>
      <c r="Z239" s="47" t="e">
        <f t="shared" si="40"/>
        <v>#NUM!</v>
      </c>
      <c r="AA239" s="47" t="e" cm="1">
        <f t="array" ref="AA239">INDEX(I$233:I$1232,$Z239)</f>
        <v>#NUM!</v>
      </c>
      <c r="AB239" s="47" t="e" cm="1">
        <f t="array" ref="AB239">INDEX(J$233:J$1232,$Z239)</f>
        <v>#NUM!</v>
      </c>
      <c r="AC239" s="47" t="e" cm="1">
        <f t="array" ref="AC239">INDEX(K$233:K$1232,$Z239)</f>
        <v>#NUM!</v>
      </c>
      <c r="AD239" s="47" t="e" cm="1">
        <f t="array" ref="AD239">INDEX(L$233:L$1232,$Z239)</f>
        <v>#NUM!</v>
      </c>
      <c r="AE239" s="47" t="e" cm="1">
        <f t="array" ref="AE239">INDEX(M$233:M$1232,$Z239)</f>
        <v>#NUM!</v>
      </c>
      <c r="AF239" s="47" t="e" cm="1">
        <f t="array" ref="AF239">INDEX(N$233:N$1232,$Z239)</f>
        <v>#NUM!</v>
      </c>
      <c r="AG239" s="47" t="e" cm="1">
        <f t="array" ref="AG239">INDEX(O$233:O$1232,$Z239)</f>
        <v>#NUM!</v>
      </c>
      <c r="AI239">
        <v>7</v>
      </c>
      <c r="AL239" s="18">
        <v>20</v>
      </c>
    </row>
    <row r="240" spans="2:38" ht="22.8">
      <c r="B240">
        <v>16</v>
      </c>
      <c r="E240" s="44" t="s">
        <v>142</v>
      </c>
      <c r="F240" s="36">
        <f>'מסך ראשי'!O38</f>
        <v>300</v>
      </c>
      <c r="H240">
        <v>8</v>
      </c>
      <c r="I240" s="18">
        <v>16</v>
      </c>
      <c r="J240">
        <v>2</v>
      </c>
      <c r="K240">
        <f t="shared" si="30"/>
        <v>10</v>
      </c>
      <c r="L240" s="39">
        <f t="shared" si="31"/>
        <v>4.0212385965949355</v>
      </c>
      <c r="M240">
        <f t="shared" si="32"/>
        <v>505.31337508538434</v>
      </c>
      <c r="N240">
        <f t="shared" si="33"/>
        <v>711.19497654415056</v>
      </c>
      <c r="O240" s="39">
        <f t="shared" si="34"/>
        <v>16253.952378201486</v>
      </c>
      <c r="S240">
        <f t="shared" si="35"/>
        <v>1</v>
      </c>
      <c r="T240">
        <f t="shared" si="41"/>
        <v>0</v>
      </c>
      <c r="U240">
        <f t="shared" si="36"/>
        <v>1</v>
      </c>
      <c r="V240">
        <f t="shared" si="37"/>
        <v>1</v>
      </c>
      <c r="W240">
        <f t="shared" si="38"/>
        <v>1</v>
      </c>
      <c r="Y240" t="str">
        <f t="shared" si="39"/>
        <v/>
      </c>
      <c r="Z240" s="47" t="e">
        <f t="shared" si="40"/>
        <v>#NUM!</v>
      </c>
      <c r="AA240" s="47" t="e" cm="1">
        <f t="array" ref="AA240">INDEX(I$233:I$1232,$Z240)</f>
        <v>#NUM!</v>
      </c>
      <c r="AB240" s="47" t="e" cm="1">
        <f t="array" ref="AB240">INDEX(J$233:J$1232,$Z240)</f>
        <v>#NUM!</v>
      </c>
      <c r="AC240" s="47" t="e" cm="1">
        <f t="array" ref="AC240">INDEX(K$233:K$1232,$Z240)</f>
        <v>#NUM!</v>
      </c>
      <c r="AD240" s="47" t="e" cm="1">
        <f t="array" ref="AD240">INDEX(L$233:L$1232,$Z240)</f>
        <v>#NUM!</v>
      </c>
      <c r="AE240" s="47" t="e" cm="1">
        <f t="array" ref="AE240">INDEX(M$233:M$1232,$Z240)</f>
        <v>#NUM!</v>
      </c>
      <c r="AF240" s="47" t="e" cm="1">
        <f t="array" ref="AF240">INDEX(N$233:N$1232,$Z240)</f>
        <v>#NUM!</v>
      </c>
      <c r="AG240" s="47" t="e" cm="1">
        <f t="array" ref="AG240">INDEX(O$233:O$1232,$Z240)</f>
        <v>#NUM!</v>
      </c>
      <c r="AI240">
        <v>8</v>
      </c>
      <c r="AL240" s="18">
        <v>22</v>
      </c>
    </row>
    <row r="241" spans="2:38">
      <c r="B241">
        <v>18</v>
      </c>
      <c r="H241">
        <v>9</v>
      </c>
      <c r="I241" s="18">
        <v>8</v>
      </c>
      <c r="J241">
        <v>8</v>
      </c>
      <c r="K241">
        <f t="shared" si="30"/>
        <v>40</v>
      </c>
      <c r="L241" s="39">
        <f t="shared" si="31"/>
        <v>4.0212385965949355</v>
      </c>
      <c r="M241">
        <f t="shared" si="32"/>
        <v>490.31337508538434</v>
      </c>
      <c r="N241">
        <f t="shared" si="33"/>
        <v>690.0834739120271</v>
      </c>
      <c r="O241" s="39">
        <f t="shared" si="34"/>
        <v>16232.840875569362</v>
      </c>
      <c r="S241">
        <f t="shared" si="35"/>
        <v>1</v>
      </c>
      <c r="T241">
        <f t="shared" si="41"/>
        <v>0</v>
      </c>
      <c r="U241">
        <f t="shared" si="36"/>
        <v>1</v>
      </c>
      <c r="V241">
        <f t="shared" si="37"/>
        <v>1</v>
      </c>
      <c r="W241">
        <f t="shared" si="38"/>
        <v>1</v>
      </c>
      <c r="Y241" t="str">
        <f t="shared" si="39"/>
        <v/>
      </c>
      <c r="Z241" s="47" t="e">
        <f t="shared" si="40"/>
        <v>#NUM!</v>
      </c>
      <c r="AA241" s="47" t="e" cm="1">
        <f t="array" ref="AA241">INDEX(I$233:I$1232,$Z241)</f>
        <v>#NUM!</v>
      </c>
      <c r="AB241" s="47" t="e" cm="1">
        <f t="array" ref="AB241">INDEX(J$233:J$1232,$Z241)</f>
        <v>#NUM!</v>
      </c>
      <c r="AC241" s="47" t="e" cm="1">
        <f t="array" ref="AC241">INDEX(K$233:K$1232,$Z241)</f>
        <v>#NUM!</v>
      </c>
      <c r="AD241" s="47" t="e" cm="1">
        <f t="array" ref="AD241">INDEX(L$233:L$1232,$Z241)</f>
        <v>#NUM!</v>
      </c>
      <c r="AE241" s="47" t="e" cm="1">
        <f t="array" ref="AE241">INDEX(M$233:M$1232,$Z241)</f>
        <v>#NUM!</v>
      </c>
      <c r="AF241" s="47" t="e" cm="1">
        <f t="array" ref="AF241">INDEX(N$233:N$1232,$Z241)</f>
        <v>#NUM!</v>
      </c>
      <c r="AG241" s="47" t="e" cm="1">
        <f t="array" ref="AG241">INDEX(O$233:O$1232,$Z241)</f>
        <v>#NUM!</v>
      </c>
      <c r="AI241">
        <v>9</v>
      </c>
      <c r="AL241" s="18">
        <v>24</v>
      </c>
    </row>
    <row r="242" spans="2:38">
      <c r="B242">
        <v>20</v>
      </c>
      <c r="H242">
        <v>10</v>
      </c>
      <c r="I242" s="18">
        <v>12</v>
      </c>
      <c r="J242">
        <v>4</v>
      </c>
      <c r="K242">
        <f t="shared" si="30"/>
        <v>20</v>
      </c>
      <c r="L242" s="39">
        <f t="shared" si="31"/>
        <v>4.5238934211693023</v>
      </c>
      <c r="M242">
        <f t="shared" si="32"/>
        <v>500.31337508538434</v>
      </c>
      <c r="N242">
        <f t="shared" si="33"/>
        <v>792.17753512512286</v>
      </c>
      <c r="O242" s="39">
        <f t="shared" si="34"/>
        <v>16334.934936782458</v>
      </c>
      <c r="S242">
        <f t="shared" si="35"/>
        <v>1</v>
      </c>
      <c r="T242">
        <f t="shared" si="41"/>
        <v>0</v>
      </c>
      <c r="U242">
        <f t="shared" si="36"/>
        <v>1</v>
      </c>
      <c r="V242">
        <f t="shared" si="37"/>
        <v>1</v>
      </c>
      <c r="W242">
        <f t="shared" si="38"/>
        <v>1</v>
      </c>
      <c r="Y242" t="str">
        <f t="shared" si="39"/>
        <v/>
      </c>
      <c r="Z242" s="47" t="e">
        <f t="shared" si="40"/>
        <v>#NUM!</v>
      </c>
      <c r="AA242" s="47" t="e" cm="1">
        <f t="array" ref="AA242">INDEX(I$233:I$1232,$Z242)</f>
        <v>#NUM!</v>
      </c>
      <c r="AB242" s="47" t="e" cm="1">
        <f t="array" ref="AB242">INDEX(J$233:J$1232,$Z242)</f>
        <v>#NUM!</v>
      </c>
      <c r="AC242" s="47" t="e" cm="1">
        <f t="array" ref="AC242">INDEX(K$233:K$1232,$Z242)</f>
        <v>#NUM!</v>
      </c>
      <c r="AD242" s="47" t="e" cm="1">
        <f t="array" ref="AD242">INDEX(L$233:L$1232,$Z242)</f>
        <v>#NUM!</v>
      </c>
      <c r="AE242" s="47" t="e" cm="1">
        <f t="array" ref="AE242">INDEX(M$233:M$1232,$Z242)</f>
        <v>#NUM!</v>
      </c>
      <c r="AF242" s="47" t="e" cm="1">
        <f t="array" ref="AF242">INDEX(N$233:N$1232,$Z242)</f>
        <v>#NUM!</v>
      </c>
      <c r="AG242" s="47" t="e" cm="1">
        <f t="array" ref="AG242">INDEX(O$233:O$1232,$Z242)</f>
        <v>#NUM!</v>
      </c>
      <c r="AI242">
        <v>10</v>
      </c>
      <c r="AL242" s="18">
        <v>25</v>
      </c>
    </row>
    <row r="243" spans="2:38">
      <c r="B243">
        <v>22</v>
      </c>
      <c r="H243">
        <v>11</v>
      </c>
      <c r="I243" s="18">
        <v>10</v>
      </c>
      <c r="J243">
        <v>6</v>
      </c>
      <c r="K243">
        <f t="shared" si="30"/>
        <v>30</v>
      </c>
      <c r="L243" s="39">
        <f t="shared" si="31"/>
        <v>4.7123889803846897</v>
      </c>
      <c r="M243">
        <f t="shared" si="32"/>
        <v>495.31337508538434</v>
      </c>
      <c r="N243">
        <f t="shared" si="33"/>
        <v>816.93825170632977</v>
      </c>
      <c r="O243" s="39">
        <f t="shared" si="34"/>
        <v>16359.695653363664</v>
      </c>
      <c r="S243">
        <f t="shared" si="35"/>
        <v>1</v>
      </c>
      <c r="T243">
        <f t="shared" si="41"/>
        <v>0</v>
      </c>
      <c r="U243">
        <f t="shared" si="36"/>
        <v>1</v>
      </c>
      <c r="V243">
        <f t="shared" si="37"/>
        <v>1</v>
      </c>
      <c r="W243">
        <f t="shared" si="38"/>
        <v>1</v>
      </c>
      <c r="Y243" t="str">
        <f t="shared" si="39"/>
        <v/>
      </c>
      <c r="AL243" s="18">
        <v>26</v>
      </c>
    </row>
    <row r="244" spans="2:38">
      <c r="B244">
        <v>24</v>
      </c>
      <c r="H244">
        <v>12</v>
      </c>
      <c r="I244" s="18">
        <v>8</v>
      </c>
      <c r="J244">
        <v>10</v>
      </c>
      <c r="K244">
        <f t="shared" si="30"/>
        <v>50</v>
      </c>
      <c r="L244" s="39">
        <f t="shared" si="31"/>
        <v>5.0265482457436699</v>
      </c>
      <c r="M244">
        <f t="shared" si="32"/>
        <v>485.31337508538434</v>
      </c>
      <c r="N244">
        <f t="shared" si="33"/>
        <v>853.80788295998252</v>
      </c>
      <c r="O244" s="39">
        <f t="shared" si="34"/>
        <v>16396.565284617318</v>
      </c>
      <c r="S244">
        <f t="shared" si="35"/>
        <v>1</v>
      </c>
      <c r="T244">
        <f t="shared" si="41"/>
        <v>0</v>
      </c>
      <c r="U244">
        <f t="shared" si="36"/>
        <v>1</v>
      </c>
      <c r="V244">
        <f t="shared" si="37"/>
        <v>1</v>
      </c>
      <c r="W244">
        <f t="shared" si="38"/>
        <v>1</v>
      </c>
      <c r="Y244" t="str">
        <f t="shared" si="39"/>
        <v/>
      </c>
      <c r="AL244" s="18">
        <v>28</v>
      </c>
    </row>
    <row r="245" spans="2:38">
      <c r="B245">
        <v>26</v>
      </c>
      <c r="H245">
        <v>13</v>
      </c>
      <c r="I245" s="18">
        <v>18</v>
      </c>
      <c r="J245">
        <v>2</v>
      </c>
      <c r="K245">
        <f t="shared" si="30"/>
        <v>10</v>
      </c>
      <c r="L245" s="39">
        <f t="shared" si="31"/>
        <v>5.0893800988154654</v>
      </c>
      <c r="M245">
        <f t="shared" si="32"/>
        <v>505.31337508538434</v>
      </c>
      <c r="N245">
        <f t="shared" si="33"/>
        <v>900.10614218869034</v>
      </c>
      <c r="O245" s="39">
        <f t="shared" si="34"/>
        <v>16442.863543846026</v>
      </c>
      <c r="S245">
        <f t="shared" si="35"/>
        <v>1</v>
      </c>
      <c r="T245">
        <f t="shared" si="41"/>
        <v>0</v>
      </c>
      <c r="U245">
        <f t="shared" si="36"/>
        <v>1</v>
      </c>
      <c r="V245">
        <f t="shared" si="37"/>
        <v>1</v>
      </c>
      <c r="W245">
        <f t="shared" si="38"/>
        <v>1</v>
      </c>
      <c r="Y245" t="str">
        <f t="shared" si="39"/>
        <v/>
      </c>
      <c r="AL245" s="18">
        <v>30</v>
      </c>
    </row>
    <row r="246" spans="2:38">
      <c r="B246">
        <v>28</v>
      </c>
      <c r="H246">
        <v>14</v>
      </c>
      <c r="I246" s="18">
        <v>8</v>
      </c>
      <c r="J246">
        <v>12</v>
      </c>
      <c r="K246">
        <f t="shared" si="30"/>
        <v>60</v>
      </c>
      <c r="L246" s="39">
        <f t="shared" si="31"/>
        <v>6.0318578948924042</v>
      </c>
      <c r="M246">
        <f t="shared" si="32"/>
        <v>480.31337508538434</v>
      </c>
      <c r="N246">
        <f t="shared" si="33"/>
        <v>1014.0137082359173</v>
      </c>
      <c r="O246" s="39">
        <f t="shared" si="34"/>
        <v>16556.771109893252</v>
      </c>
      <c r="S246">
        <f t="shared" si="35"/>
        <v>1</v>
      </c>
      <c r="T246">
        <f t="shared" si="41"/>
        <v>0</v>
      </c>
      <c r="U246">
        <f t="shared" si="36"/>
        <v>1</v>
      </c>
      <c r="V246">
        <f t="shared" si="37"/>
        <v>1</v>
      </c>
      <c r="W246">
        <f t="shared" si="38"/>
        <v>1</v>
      </c>
      <c r="Y246" t="str">
        <f t="shared" si="39"/>
        <v/>
      </c>
      <c r="AL246" s="18">
        <v>32</v>
      </c>
    </row>
    <row r="247" spans="2:38">
      <c r="B247">
        <v>30</v>
      </c>
      <c r="H247">
        <v>15</v>
      </c>
      <c r="I247" s="18">
        <v>14</v>
      </c>
      <c r="J247">
        <v>4</v>
      </c>
      <c r="K247">
        <f t="shared" si="30"/>
        <v>20</v>
      </c>
      <c r="L247" s="39">
        <f t="shared" si="31"/>
        <v>6.1575216010359934</v>
      </c>
      <c r="M247">
        <f t="shared" si="32"/>
        <v>500.31337508538434</v>
      </c>
      <c r="N247">
        <f t="shared" si="33"/>
        <v>1078.241645031417</v>
      </c>
      <c r="O247" s="39">
        <f t="shared" si="34"/>
        <v>16620.99904668875</v>
      </c>
      <c r="S247">
        <f t="shared" si="35"/>
        <v>1</v>
      </c>
      <c r="T247">
        <f t="shared" si="41"/>
        <v>0</v>
      </c>
      <c r="U247">
        <f t="shared" si="36"/>
        <v>1</v>
      </c>
      <c r="V247">
        <f t="shared" si="37"/>
        <v>1</v>
      </c>
      <c r="W247">
        <f t="shared" si="38"/>
        <v>1</v>
      </c>
      <c r="Y247" t="str">
        <f t="shared" si="39"/>
        <v/>
      </c>
      <c r="AL247" s="18">
        <v>34</v>
      </c>
    </row>
    <row r="248" spans="2:38">
      <c r="B248">
        <v>32</v>
      </c>
      <c r="H248">
        <v>16</v>
      </c>
      <c r="I248" s="18">
        <v>20</v>
      </c>
      <c r="J248">
        <v>2</v>
      </c>
      <c r="K248">
        <f t="shared" si="30"/>
        <v>10</v>
      </c>
      <c r="L248" s="39">
        <f t="shared" si="31"/>
        <v>6.2831853071795862</v>
      </c>
      <c r="M248">
        <f t="shared" si="32"/>
        <v>505.31337508538434</v>
      </c>
      <c r="N248">
        <f t="shared" si="33"/>
        <v>1111.2421508502348</v>
      </c>
      <c r="O248" s="39">
        <f t="shared" si="34"/>
        <v>16653.999552507568</v>
      </c>
      <c r="S248">
        <f t="shared" si="35"/>
        <v>1</v>
      </c>
      <c r="T248">
        <f t="shared" si="41"/>
        <v>0</v>
      </c>
      <c r="U248">
        <f t="shared" si="36"/>
        <v>1</v>
      </c>
      <c r="V248">
        <f t="shared" si="37"/>
        <v>1</v>
      </c>
      <c r="W248">
        <f t="shared" si="38"/>
        <v>1</v>
      </c>
      <c r="Y248" t="str">
        <f t="shared" si="39"/>
        <v/>
      </c>
      <c r="AL248" s="18">
        <v>36</v>
      </c>
    </row>
    <row r="249" spans="2:38">
      <c r="B249">
        <v>34</v>
      </c>
      <c r="H249">
        <v>17</v>
      </c>
      <c r="I249" s="18">
        <v>10</v>
      </c>
      <c r="J249">
        <v>8</v>
      </c>
      <c r="K249">
        <f t="shared" si="30"/>
        <v>40</v>
      </c>
      <c r="L249" s="39">
        <f t="shared" si="31"/>
        <v>6.2831853071795862</v>
      </c>
      <c r="M249">
        <f t="shared" si="32"/>
        <v>490.31337508538434</v>
      </c>
      <c r="N249">
        <f t="shared" si="33"/>
        <v>1078.2554279875421</v>
      </c>
      <c r="O249" s="39">
        <f t="shared" si="34"/>
        <v>16621.012829644875</v>
      </c>
      <c r="S249">
        <f t="shared" si="35"/>
        <v>1</v>
      </c>
      <c r="T249">
        <f t="shared" si="41"/>
        <v>0</v>
      </c>
      <c r="U249">
        <f t="shared" si="36"/>
        <v>1</v>
      </c>
      <c r="V249">
        <f t="shared" si="37"/>
        <v>1</v>
      </c>
      <c r="W249">
        <f t="shared" si="38"/>
        <v>1</v>
      </c>
      <c r="Y249" t="str">
        <f t="shared" si="39"/>
        <v/>
      </c>
      <c r="AL249" s="18">
        <v>38</v>
      </c>
    </row>
    <row r="250" spans="2:38">
      <c r="B250">
        <v>36</v>
      </c>
      <c r="H250">
        <v>18</v>
      </c>
      <c r="I250" s="18">
        <v>12</v>
      </c>
      <c r="J250">
        <v>6</v>
      </c>
      <c r="K250">
        <f t="shared" si="30"/>
        <v>30</v>
      </c>
      <c r="L250" s="39">
        <f t="shared" si="31"/>
        <v>6.785840131753953</v>
      </c>
      <c r="M250">
        <f t="shared" si="32"/>
        <v>495.31337508538434</v>
      </c>
      <c r="N250">
        <f t="shared" si="33"/>
        <v>1176.3910824571149</v>
      </c>
      <c r="O250" s="39">
        <f t="shared" si="34"/>
        <v>16719.148484114448</v>
      </c>
      <c r="S250">
        <f t="shared" si="35"/>
        <v>1</v>
      </c>
      <c r="T250">
        <f t="shared" si="41"/>
        <v>0</v>
      </c>
      <c r="U250">
        <f t="shared" si="36"/>
        <v>1</v>
      </c>
      <c r="V250">
        <f t="shared" si="37"/>
        <v>1</v>
      </c>
      <c r="W250">
        <f t="shared" si="38"/>
        <v>1</v>
      </c>
      <c r="Y250" t="str">
        <f t="shared" si="39"/>
        <v/>
      </c>
      <c r="AL250" s="18">
        <v>40</v>
      </c>
    </row>
    <row r="251" spans="2:38">
      <c r="B251">
        <v>38</v>
      </c>
      <c r="H251">
        <v>19</v>
      </c>
      <c r="I251" s="18">
        <v>8</v>
      </c>
      <c r="J251">
        <v>14</v>
      </c>
      <c r="K251">
        <f t="shared" si="30"/>
        <v>70</v>
      </c>
      <c r="L251" s="39">
        <f t="shared" si="31"/>
        <v>7.0371675440411376</v>
      </c>
      <c r="M251">
        <f t="shared" si="32"/>
        <v>475.31337508538434</v>
      </c>
      <c r="N251">
        <f t="shared" si="33"/>
        <v>1170.7009497398312</v>
      </c>
      <c r="O251" s="39">
        <f t="shared" si="34"/>
        <v>16713.458351397167</v>
      </c>
      <c r="S251">
        <f t="shared" si="35"/>
        <v>1</v>
      </c>
      <c r="T251">
        <f t="shared" si="41"/>
        <v>0</v>
      </c>
      <c r="U251">
        <f t="shared" si="36"/>
        <v>1</v>
      </c>
      <c r="V251">
        <f t="shared" si="37"/>
        <v>1</v>
      </c>
      <c r="W251">
        <f t="shared" si="38"/>
        <v>1</v>
      </c>
      <c r="Y251" t="str">
        <f t="shared" si="39"/>
        <v/>
      </c>
      <c r="AL251" s="18">
        <v>45</v>
      </c>
    </row>
    <row r="252" spans="2:38">
      <c r="B252">
        <v>40</v>
      </c>
      <c r="H252">
        <v>20</v>
      </c>
      <c r="I252" s="18">
        <v>22</v>
      </c>
      <c r="J252">
        <v>2</v>
      </c>
      <c r="K252">
        <f t="shared" si="30"/>
        <v>10</v>
      </c>
      <c r="L252" s="39">
        <f t="shared" si="31"/>
        <v>7.6026542216873008</v>
      </c>
      <c r="M252">
        <f t="shared" si="32"/>
        <v>505.31337508538434</v>
      </c>
      <c r="N252">
        <f t="shared" si="33"/>
        <v>1344.6030025287846</v>
      </c>
      <c r="O252" s="39">
        <f t="shared" si="34"/>
        <v>16887.360404186118</v>
      </c>
      <c r="S252">
        <f t="shared" si="35"/>
        <v>1</v>
      </c>
      <c r="T252">
        <f t="shared" si="41"/>
        <v>0</v>
      </c>
      <c r="U252">
        <f t="shared" si="36"/>
        <v>1</v>
      </c>
      <c r="V252">
        <f t="shared" si="37"/>
        <v>1</v>
      </c>
      <c r="W252">
        <f t="shared" si="38"/>
        <v>1</v>
      </c>
      <c r="Y252" t="str">
        <f t="shared" si="39"/>
        <v/>
      </c>
      <c r="AL252" s="18">
        <v>50</v>
      </c>
    </row>
    <row r="253" spans="2:38">
      <c r="B253">
        <v>42</v>
      </c>
      <c r="H253">
        <v>21</v>
      </c>
      <c r="I253" s="18">
        <v>10</v>
      </c>
      <c r="J253">
        <v>10</v>
      </c>
      <c r="K253">
        <f t="shared" si="30"/>
        <v>50</v>
      </c>
      <c r="L253" s="39">
        <f t="shared" si="31"/>
        <v>7.8539816339744828</v>
      </c>
      <c r="M253">
        <f t="shared" si="32"/>
        <v>485.31337508538434</v>
      </c>
      <c r="N253">
        <f t="shared" si="33"/>
        <v>1334.0748171249722</v>
      </c>
      <c r="O253" s="39">
        <f t="shared" si="34"/>
        <v>16876.832218782307</v>
      </c>
      <c r="S253">
        <f t="shared" si="35"/>
        <v>1</v>
      </c>
      <c r="T253">
        <f t="shared" si="41"/>
        <v>0</v>
      </c>
      <c r="U253">
        <f t="shared" si="36"/>
        <v>1</v>
      </c>
      <c r="V253">
        <f t="shared" si="37"/>
        <v>1</v>
      </c>
      <c r="W253">
        <f t="shared" si="38"/>
        <v>1</v>
      </c>
      <c r="Y253" t="str">
        <f t="shared" si="39"/>
        <v/>
      </c>
    </row>
    <row r="254" spans="2:38">
      <c r="B254">
        <v>44</v>
      </c>
      <c r="H254">
        <v>22</v>
      </c>
      <c r="I254" s="18">
        <v>16</v>
      </c>
      <c r="J254">
        <v>4</v>
      </c>
      <c r="K254">
        <f t="shared" si="30"/>
        <v>20</v>
      </c>
      <c r="L254" s="39">
        <f t="shared" si="31"/>
        <v>8.0424771931898711</v>
      </c>
      <c r="M254">
        <f t="shared" si="32"/>
        <v>500.31337508538434</v>
      </c>
      <c r="N254">
        <f t="shared" si="33"/>
        <v>1408.3156180002186</v>
      </c>
      <c r="O254" s="39">
        <f t="shared" si="34"/>
        <v>16951.073019657553</v>
      </c>
      <c r="S254">
        <f t="shared" si="35"/>
        <v>1</v>
      </c>
      <c r="T254">
        <f t="shared" si="41"/>
        <v>0</v>
      </c>
      <c r="U254">
        <f t="shared" si="36"/>
        <v>1</v>
      </c>
      <c r="V254">
        <f t="shared" si="37"/>
        <v>1</v>
      </c>
      <c r="W254">
        <f t="shared" si="38"/>
        <v>1</v>
      </c>
      <c r="Y254" t="str">
        <f t="shared" si="39"/>
        <v/>
      </c>
    </row>
    <row r="255" spans="2:38">
      <c r="B255">
        <v>46</v>
      </c>
      <c r="H255">
        <v>23</v>
      </c>
      <c r="I255" s="18">
        <v>8</v>
      </c>
      <c r="J255">
        <v>16</v>
      </c>
      <c r="K255">
        <f t="shared" si="30"/>
        <v>80</v>
      </c>
      <c r="L255" s="39">
        <f t="shared" si="31"/>
        <v>8.0424771931898711</v>
      </c>
      <c r="M255">
        <f t="shared" si="32"/>
        <v>470.31337508538434</v>
      </c>
      <c r="N255">
        <f t="shared" si="33"/>
        <v>1323.869607471725</v>
      </c>
      <c r="O255" s="39">
        <f t="shared" si="34"/>
        <v>16866.627009129061</v>
      </c>
      <c r="S255">
        <f t="shared" si="35"/>
        <v>1</v>
      </c>
      <c r="T255">
        <f t="shared" si="41"/>
        <v>0</v>
      </c>
      <c r="U255">
        <f t="shared" si="36"/>
        <v>1</v>
      </c>
      <c r="V255">
        <f t="shared" si="37"/>
        <v>1</v>
      </c>
      <c r="W255">
        <f t="shared" si="38"/>
        <v>1</v>
      </c>
      <c r="Y255" t="str">
        <f t="shared" si="39"/>
        <v/>
      </c>
    </row>
    <row r="256" spans="2:38">
      <c r="B256">
        <v>48</v>
      </c>
      <c r="H256">
        <v>24</v>
      </c>
      <c r="I256" s="18">
        <v>24</v>
      </c>
      <c r="J256">
        <v>2</v>
      </c>
      <c r="K256">
        <f t="shared" si="30"/>
        <v>10</v>
      </c>
      <c r="L256" s="39">
        <f t="shared" si="31"/>
        <v>9.0477868423386045</v>
      </c>
      <c r="M256">
        <f t="shared" si="32"/>
        <v>505.31337508538434</v>
      </c>
      <c r="N256">
        <f t="shared" si="33"/>
        <v>1600.1886972243383</v>
      </c>
      <c r="O256" s="39">
        <f t="shared" si="34"/>
        <v>17142.946098881672</v>
      </c>
      <c r="S256">
        <f t="shared" si="35"/>
        <v>1</v>
      </c>
      <c r="T256">
        <f t="shared" si="41"/>
        <v>0</v>
      </c>
      <c r="U256">
        <f t="shared" si="36"/>
        <v>1</v>
      </c>
      <c r="V256">
        <f t="shared" si="37"/>
        <v>1</v>
      </c>
      <c r="W256">
        <f t="shared" si="38"/>
        <v>1</v>
      </c>
      <c r="Y256" t="str">
        <f t="shared" si="39"/>
        <v/>
      </c>
    </row>
    <row r="257" spans="2:25">
      <c r="B257">
        <v>50</v>
      </c>
      <c r="H257">
        <v>25</v>
      </c>
      <c r="I257" s="18">
        <v>12</v>
      </c>
      <c r="J257">
        <v>8</v>
      </c>
      <c r="K257">
        <f t="shared" si="30"/>
        <v>40</v>
      </c>
      <c r="L257" s="39">
        <f t="shared" si="31"/>
        <v>9.0477868423386045</v>
      </c>
      <c r="M257">
        <f t="shared" si="32"/>
        <v>490.31337508538434</v>
      </c>
      <c r="N257">
        <f t="shared" si="33"/>
        <v>1552.6878163020606</v>
      </c>
      <c r="O257" s="39">
        <f t="shared" si="34"/>
        <v>17095.445217959394</v>
      </c>
      <c r="S257">
        <f t="shared" si="35"/>
        <v>1</v>
      </c>
      <c r="T257">
        <f t="shared" si="41"/>
        <v>0</v>
      </c>
      <c r="U257">
        <f t="shared" si="36"/>
        <v>1</v>
      </c>
      <c r="V257">
        <f t="shared" si="37"/>
        <v>1</v>
      </c>
      <c r="W257">
        <f t="shared" si="38"/>
        <v>1</v>
      </c>
      <c r="Y257" t="str">
        <f t="shared" si="39"/>
        <v/>
      </c>
    </row>
    <row r="258" spans="2:25">
      <c r="B258">
        <v>52</v>
      </c>
      <c r="H258">
        <v>26</v>
      </c>
      <c r="I258" s="18">
        <v>8</v>
      </c>
      <c r="J258">
        <v>18</v>
      </c>
      <c r="K258">
        <f t="shared" si="30"/>
        <v>90</v>
      </c>
      <c r="L258" s="39">
        <f t="shared" si="31"/>
        <v>9.0477868423386063</v>
      </c>
      <c r="M258">
        <f t="shared" si="32"/>
        <v>465.31337508538434</v>
      </c>
      <c r="N258">
        <f t="shared" si="33"/>
        <v>1473.519681431598</v>
      </c>
      <c r="O258" s="39">
        <f t="shared" si="34"/>
        <v>17016.277083088931</v>
      </c>
      <c r="S258">
        <f t="shared" si="35"/>
        <v>1</v>
      </c>
      <c r="T258">
        <f t="shared" si="41"/>
        <v>0</v>
      </c>
      <c r="U258">
        <f t="shared" si="36"/>
        <v>1</v>
      </c>
      <c r="V258">
        <f t="shared" si="37"/>
        <v>1</v>
      </c>
      <c r="W258">
        <f t="shared" si="38"/>
        <v>1</v>
      </c>
      <c r="Y258" t="str">
        <f t="shared" si="39"/>
        <v/>
      </c>
    </row>
    <row r="259" spans="2:25">
      <c r="B259">
        <v>54</v>
      </c>
      <c r="H259">
        <v>27</v>
      </c>
      <c r="I259" s="18">
        <v>14</v>
      </c>
      <c r="J259">
        <v>6</v>
      </c>
      <c r="K259">
        <f t="shared" si="30"/>
        <v>30</v>
      </c>
      <c r="L259" s="39">
        <f t="shared" si="31"/>
        <v>9.2362824015539911</v>
      </c>
      <c r="M259">
        <f t="shared" si="32"/>
        <v>495.31337508538434</v>
      </c>
      <c r="N259">
        <f t="shared" si="33"/>
        <v>1601.1989733444063</v>
      </c>
      <c r="O259" s="39">
        <f t="shared" si="34"/>
        <v>17143.956375001741</v>
      </c>
      <c r="S259">
        <f t="shared" si="35"/>
        <v>1</v>
      </c>
      <c r="T259">
        <f t="shared" si="41"/>
        <v>0</v>
      </c>
      <c r="U259">
        <f t="shared" si="36"/>
        <v>1</v>
      </c>
      <c r="V259">
        <f t="shared" si="37"/>
        <v>1</v>
      </c>
      <c r="W259">
        <f t="shared" si="38"/>
        <v>1</v>
      </c>
      <c r="Y259" t="str">
        <f t="shared" si="39"/>
        <v/>
      </c>
    </row>
    <row r="260" spans="2:25">
      <c r="B260">
        <v>56</v>
      </c>
      <c r="H260">
        <v>28</v>
      </c>
      <c r="I260" s="18">
        <v>10</v>
      </c>
      <c r="J260">
        <v>12</v>
      </c>
      <c r="K260">
        <f t="shared" si="30"/>
        <v>60</v>
      </c>
      <c r="L260" s="39">
        <f t="shared" si="31"/>
        <v>9.4247779607693793</v>
      </c>
      <c r="M260">
        <f t="shared" si="32"/>
        <v>480.31337508538434</v>
      </c>
      <c r="N260">
        <f t="shared" si="33"/>
        <v>1584.3964191186203</v>
      </c>
      <c r="O260" s="39">
        <f t="shared" si="34"/>
        <v>17127.153820775955</v>
      </c>
      <c r="S260">
        <f t="shared" si="35"/>
        <v>1</v>
      </c>
      <c r="T260">
        <f t="shared" si="41"/>
        <v>0</v>
      </c>
      <c r="U260">
        <f t="shared" si="36"/>
        <v>1</v>
      </c>
      <c r="V260">
        <f t="shared" si="37"/>
        <v>1</v>
      </c>
      <c r="W260">
        <f t="shared" si="38"/>
        <v>1</v>
      </c>
      <c r="Y260" t="str">
        <f t="shared" si="39"/>
        <v/>
      </c>
    </row>
    <row r="261" spans="2:25">
      <c r="B261">
        <v>58</v>
      </c>
      <c r="H261">
        <v>29</v>
      </c>
      <c r="I261" s="18">
        <v>25</v>
      </c>
      <c r="J261">
        <v>2</v>
      </c>
      <c r="K261">
        <f t="shared" si="30"/>
        <v>10</v>
      </c>
      <c r="L261" s="39">
        <f t="shared" si="31"/>
        <v>9.8174770424681039</v>
      </c>
      <c r="M261">
        <f t="shared" si="32"/>
        <v>505.31337508538434</v>
      </c>
      <c r="N261">
        <f t="shared" si="33"/>
        <v>1736.3158607034923</v>
      </c>
      <c r="O261" s="39">
        <f t="shared" si="34"/>
        <v>17279.073262360827</v>
      </c>
      <c r="S261">
        <f t="shared" si="35"/>
        <v>1</v>
      </c>
      <c r="T261">
        <f t="shared" si="41"/>
        <v>0</v>
      </c>
      <c r="U261">
        <f t="shared" si="36"/>
        <v>1</v>
      </c>
      <c r="V261">
        <f t="shared" si="37"/>
        <v>1</v>
      </c>
      <c r="W261">
        <f t="shared" si="38"/>
        <v>1</v>
      </c>
      <c r="Y261" t="str">
        <f t="shared" si="39"/>
        <v/>
      </c>
    </row>
    <row r="262" spans="2:25">
      <c r="B262">
        <v>60</v>
      </c>
      <c r="H262">
        <v>30</v>
      </c>
      <c r="I262" s="18">
        <v>8</v>
      </c>
      <c r="J262">
        <v>20</v>
      </c>
      <c r="K262">
        <f t="shared" si="30"/>
        <v>100</v>
      </c>
      <c r="L262" s="39">
        <f t="shared" si="31"/>
        <v>10.05309649148734</v>
      </c>
      <c r="M262">
        <f t="shared" si="32"/>
        <v>460.31337508538434</v>
      </c>
      <c r="N262">
        <f t="shared" si="33"/>
        <v>1619.6511716194507</v>
      </c>
      <c r="O262" s="39">
        <f t="shared" si="34"/>
        <v>17162.408573276785</v>
      </c>
      <c r="S262">
        <f t="shared" si="35"/>
        <v>1</v>
      </c>
      <c r="T262">
        <f t="shared" si="41"/>
        <v>0</v>
      </c>
      <c r="U262">
        <f t="shared" si="36"/>
        <v>1</v>
      </c>
      <c r="V262">
        <f t="shared" si="37"/>
        <v>1</v>
      </c>
      <c r="W262">
        <f t="shared" si="38"/>
        <v>1</v>
      </c>
      <c r="Y262" t="str">
        <f t="shared" si="39"/>
        <v/>
      </c>
    </row>
    <row r="263" spans="2:25">
      <c r="B263">
        <v>62</v>
      </c>
      <c r="H263">
        <v>31</v>
      </c>
      <c r="I263" s="18">
        <v>18</v>
      </c>
      <c r="J263">
        <v>4</v>
      </c>
      <c r="K263">
        <f t="shared" si="30"/>
        <v>20</v>
      </c>
      <c r="L263" s="39">
        <f t="shared" si="31"/>
        <v>10.178760197630931</v>
      </c>
      <c r="M263">
        <f t="shared" si="32"/>
        <v>500.31337508538434</v>
      </c>
      <c r="N263">
        <f t="shared" si="33"/>
        <v>1782.3994540315266</v>
      </c>
      <c r="O263" s="39">
        <f t="shared" si="34"/>
        <v>17325.15685568886</v>
      </c>
      <c r="S263">
        <f t="shared" si="35"/>
        <v>1</v>
      </c>
      <c r="T263">
        <f t="shared" si="41"/>
        <v>0</v>
      </c>
      <c r="U263">
        <f t="shared" si="36"/>
        <v>1</v>
      </c>
      <c r="V263">
        <f t="shared" si="37"/>
        <v>1</v>
      </c>
      <c r="W263">
        <f t="shared" si="38"/>
        <v>1</v>
      </c>
      <c r="Y263" t="str">
        <f t="shared" si="39"/>
        <v/>
      </c>
    </row>
    <row r="264" spans="2:25">
      <c r="B264">
        <v>64</v>
      </c>
      <c r="H264">
        <v>32</v>
      </c>
      <c r="I264" s="18">
        <v>26</v>
      </c>
      <c r="J264">
        <v>2</v>
      </c>
      <c r="K264">
        <f t="shared" si="30"/>
        <v>10</v>
      </c>
      <c r="L264" s="39">
        <f t="shared" si="31"/>
        <v>10.618583169133501</v>
      </c>
      <c r="M264">
        <f t="shared" si="32"/>
        <v>505.31337508538434</v>
      </c>
      <c r="N264">
        <f t="shared" si="33"/>
        <v>1877.9992349368972</v>
      </c>
      <c r="O264" s="39">
        <f t="shared" si="34"/>
        <v>17420.756636594233</v>
      </c>
      <c r="S264">
        <f t="shared" si="35"/>
        <v>1</v>
      </c>
      <c r="T264">
        <f t="shared" si="41"/>
        <v>0</v>
      </c>
      <c r="U264">
        <f t="shared" si="36"/>
        <v>0</v>
      </c>
      <c r="V264">
        <f t="shared" si="37"/>
        <v>1</v>
      </c>
      <c r="W264">
        <f t="shared" si="38"/>
        <v>1</v>
      </c>
      <c r="Y264" t="str">
        <f t="shared" si="39"/>
        <v/>
      </c>
    </row>
    <row r="265" spans="2:25">
      <c r="B265">
        <v>66</v>
      </c>
      <c r="H265">
        <v>33</v>
      </c>
      <c r="I265" s="18">
        <v>10</v>
      </c>
      <c r="J265">
        <v>14</v>
      </c>
      <c r="K265">
        <f t="shared" si="30"/>
        <v>70</v>
      </c>
      <c r="L265" s="39">
        <f t="shared" si="31"/>
        <v>10.995574287564276</v>
      </c>
      <c r="M265">
        <f t="shared" si="32"/>
        <v>475.31337508538434</v>
      </c>
      <c r="N265">
        <f t="shared" si="33"/>
        <v>1829.2202339684864</v>
      </c>
      <c r="O265" s="39">
        <f t="shared" si="34"/>
        <v>17371.977635625823</v>
      </c>
      <c r="S265">
        <f t="shared" si="35"/>
        <v>1</v>
      </c>
      <c r="T265">
        <f t="shared" si="41"/>
        <v>0</v>
      </c>
      <c r="U265">
        <f t="shared" si="36"/>
        <v>1</v>
      </c>
      <c r="V265">
        <f t="shared" si="37"/>
        <v>1</v>
      </c>
      <c r="W265">
        <f t="shared" si="38"/>
        <v>1</v>
      </c>
      <c r="Y265" t="str">
        <f t="shared" si="39"/>
        <v/>
      </c>
    </row>
    <row r="266" spans="2:25">
      <c r="B266">
        <v>68</v>
      </c>
      <c r="H266">
        <v>34</v>
      </c>
      <c r="I266" s="18">
        <v>8</v>
      </c>
      <c r="J266">
        <v>22</v>
      </c>
      <c r="K266">
        <f t="shared" si="30"/>
        <v>110</v>
      </c>
      <c r="L266" s="39">
        <f t="shared" si="31"/>
        <v>11.058406140636073</v>
      </c>
      <c r="M266">
        <f t="shared" si="32"/>
        <v>455.31337508538434</v>
      </c>
      <c r="N266">
        <f t="shared" si="33"/>
        <v>1762.2640780352824</v>
      </c>
      <c r="O266" s="39">
        <f t="shared" si="34"/>
        <v>17305.021479692616</v>
      </c>
      <c r="S266">
        <f t="shared" si="35"/>
        <v>1</v>
      </c>
      <c r="T266">
        <f t="shared" si="41"/>
        <v>0</v>
      </c>
      <c r="U266">
        <f t="shared" si="36"/>
        <v>1</v>
      </c>
      <c r="V266">
        <f t="shared" si="37"/>
        <v>0</v>
      </c>
      <c r="W266">
        <f t="shared" si="38"/>
        <v>1</v>
      </c>
      <c r="Y266" t="str">
        <f t="shared" si="39"/>
        <v/>
      </c>
    </row>
    <row r="267" spans="2:25">
      <c r="B267">
        <v>70</v>
      </c>
      <c r="H267">
        <v>35</v>
      </c>
      <c r="I267" s="18">
        <v>12</v>
      </c>
      <c r="J267">
        <v>10</v>
      </c>
      <c r="K267">
        <f t="shared" si="30"/>
        <v>50</v>
      </c>
      <c r="L267" s="39">
        <f t="shared" si="31"/>
        <v>11.309733552923255</v>
      </c>
      <c r="M267">
        <f t="shared" si="32"/>
        <v>485.31337508538434</v>
      </c>
      <c r="N267">
        <f t="shared" si="33"/>
        <v>1921.0677366599602</v>
      </c>
      <c r="O267" s="39">
        <f t="shared" si="34"/>
        <v>17463.825138317294</v>
      </c>
      <c r="S267">
        <f t="shared" si="35"/>
        <v>1</v>
      </c>
      <c r="T267">
        <f t="shared" si="41"/>
        <v>0</v>
      </c>
      <c r="U267">
        <f t="shared" si="36"/>
        <v>1</v>
      </c>
      <c r="V267">
        <f t="shared" si="37"/>
        <v>1</v>
      </c>
      <c r="W267">
        <f t="shared" si="38"/>
        <v>1</v>
      </c>
      <c r="Y267" t="str">
        <f t="shared" si="39"/>
        <v/>
      </c>
    </row>
    <row r="268" spans="2:25">
      <c r="B268">
        <v>72</v>
      </c>
      <c r="H268">
        <v>36</v>
      </c>
      <c r="I268" s="18">
        <v>16</v>
      </c>
      <c r="J268">
        <v>6</v>
      </c>
      <c r="K268">
        <f t="shared" si="30"/>
        <v>30</v>
      </c>
      <c r="L268" s="39">
        <f t="shared" si="31"/>
        <v>12.063715789784808</v>
      </c>
      <c r="M268">
        <f t="shared" si="32"/>
        <v>495.31337508538434</v>
      </c>
      <c r="N268">
        <f t="shared" si="33"/>
        <v>2091.3619243682047</v>
      </c>
      <c r="O268" s="39">
        <f t="shared" si="34"/>
        <v>17634.119326025539</v>
      </c>
      <c r="S268">
        <f t="shared" si="35"/>
        <v>1</v>
      </c>
      <c r="T268">
        <f t="shared" si="41"/>
        <v>0</v>
      </c>
      <c r="U268">
        <f t="shared" si="36"/>
        <v>1</v>
      </c>
      <c r="V268">
        <f t="shared" si="37"/>
        <v>1</v>
      </c>
      <c r="W268">
        <f t="shared" si="38"/>
        <v>1</v>
      </c>
      <c r="Y268" t="str">
        <f t="shared" si="39"/>
        <v/>
      </c>
    </row>
    <row r="269" spans="2:25">
      <c r="B269">
        <v>74</v>
      </c>
      <c r="H269">
        <v>37</v>
      </c>
      <c r="I269" s="18">
        <v>8</v>
      </c>
      <c r="J269">
        <v>24</v>
      </c>
      <c r="K269">
        <f t="shared" si="30"/>
        <v>120</v>
      </c>
      <c r="L269" s="39">
        <f t="shared" si="31"/>
        <v>12.063715789784808</v>
      </c>
      <c r="M269">
        <f t="shared" si="32"/>
        <v>450.31337508538434</v>
      </c>
      <c r="N269">
        <f t="shared" si="33"/>
        <v>1901.3584006790941</v>
      </c>
      <c r="O269" s="39">
        <f t="shared" si="34"/>
        <v>17444.11580233643</v>
      </c>
      <c r="S269">
        <f t="shared" si="35"/>
        <v>1</v>
      </c>
      <c r="T269">
        <f t="shared" si="41"/>
        <v>0</v>
      </c>
      <c r="U269">
        <f t="shared" si="36"/>
        <v>1</v>
      </c>
      <c r="V269">
        <f t="shared" si="37"/>
        <v>0</v>
      </c>
      <c r="W269">
        <f t="shared" si="38"/>
        <v>1</v>
      </c>
      <c r="Y269" t="str">
        <f t="shared" si="39"/>
        <v/>
      </c>
    </row>
    <row r="270" spans="2:25">
      <c r="B270">
        <v>76</v>
      </c>
      <c r="H270">
        <v>38</v>
      </c>
      <c r="I270" s="18">
        <v>28</v>
      </c>
      <c r="J270">
        <v>2</v>
      </c>
      <c r="K270">
        <f t="shared" si="30"/>
        <v>10</v>
      </c>
      <c r="L270" s="39">
        <f t="shared" si="31"/>
        <v>12.315043202071987</v>
      </c>
      <c r="M270">
        <f t="shared" si="32"/>
        <v>505.31337508538434</v>
      </c>
      <c r="N270">
        <f t="shared" si="33"/>
        <v>2178.0346156664605</v>
      </c>
      <c r="O270" s="39">
        <f t="shared" si="34"/>
        <v>17720.792017323794</v>
      </c>
      <c r="S270">
        <f t="shared" si="35"/>
        <v>1</v>
      </c>
      <c r="T270">
        <f t="shared" si="41"/>
        <v>0</v>
      </c>
      <c r="U270">
        <f t="shared" si="36"/>
        <v>0</v>
      </c>
      <c r="V270">
        <f t="shared" si="37"/>
        <v>1</v>
      </c>
      <c r="W270">
        <f t="shared" si="38"/>
        <v>1</v>
      </c>
      <c r="Y270" t="str">
        <f t="shared" si="39"/>
        <v/>
      </c>
    </row>
    <row r="271" spans="2:25">
      <c r="B271">
        <v>78</v>
      </c>
      <c r="H271">
        <v>39</v>
      </c>
      <c r="I271" s="18">
        <v>14</v>
      </c>
      <c r="J271">
        <v>8</v>
      </c>
      <c r="K271">
        <f t="shared" si="30"/>
        <v>40</v>
      </c>
      <c r="L271" s="39">
        <f t="shared" si="31"/>
        <v>12.315043202071987</v>
      </c>
      <c r="M271">
        <f t="shared" si="32"/>
        <v>490.31337508538434</v>
      </c>
      <c r="N271">
        <f t="shared" si="33"/>
        <v>2113.3806388555822</v>
      </c>
      <c r="O271" s="39">
        <f t="shared" si="34"/>
        <v>17656.138040512917</v>
      </c>
      <c r="S271">
        <f t="shared" si="35"/>
        <v>1</v>
      </c>
      <c r="T271">
        <f t="shared" si="41"/>
        <v>0</v>
      </c>
      <c r="U271">
        <f t="shared" si="36"/>
        <v>1</v>
      </c>
      <c r="V271">
        <f t="shared" si="37"/>
        <v>1</v>
      </c>
      <c r="W271">
        <f t="shared" si="38"/>
        <v>1</v>
      </c>
      <c r="Y271" t="str">
        <f t="shared" si="39"/>
        <v/>
      </c>
    </row>
    <row r="272" spans="2:25">
      <c r="B272">
        <v>80</v>
      </c>
      <c r="H272">
        <v>40</v>
      </c>
      <c r="I272" s="18">
        <v>20</v>
      </c>
      <c r="J272">
        <v>4</v>
      </c>
      <c r="K272">
        <f t="shared" si="30"/>
        <v>20</v>
      </c>
      <c r="L272" s="39">
        <f t="shared" si="31"/>
        <v>12.566370614359172</v>
      </c>
      <c r="M272">
        <f t="shared" si="32"/>
        <v>500.31337508538434</v>
      </c>
      <c r="N272">
        <f t="shared" si="33"/>
        <v>2200.493153125341</v>
      </c>
      <c r="O272" s="39">
        <f t="shared" si="34"/>
        <v>17743.250554782677</v>
      </c>
      <c r="S272">
        <f t="shared" si="35"/>
        <v>1</v>
      </c>
      <c r="T272">
        <f t="shared" si="41"/>
        <v>0</v>
      </c>
      <c r="U272">
        <f t="shared" si="36"/>
        <v>1</v>
      </c>
      <c r="V272">
        <f t="shared" si="37"/>
        <v>1</v>
      </c>
      <c r="W272">
        <f t="shared" si="38"/>
        <v>1</v>
      </c>
      <c r="Y272" t="str">
        <f t="shared" si="39"/>
        <v/>
      </c>
    </row>
    <row r="273" spans="2:25">
      <c r="B273">
        <v>82</v>
      </c>
      <c r="H273">
        <v>41</v>
      </c>
      <c r="I273" s="18">
        <v>10</v>
      </c>
      <c r="J273">
        <v>16</v>
      </c>
      <c r="K273">
        <f t="shared" si="30"/>
        <v>80</v>
      </c>
      <c r="L273" s="39">
        <f t="shared" si="31"/>
        <v>12.566370614359172</v>
      </c>
      <c r="M273">
        <f t="shared" si="32"/>
        <v>470.31337508538434</v>
      </c>
      <c r="N273">
        <f t="shared" si="33"/>
        <v>2068.5462616745699</v>
      </c>
      <c r="O273" s="39">
        <f t="shared" si="34"/>
        <v>17611.303663331906</v>
      </c>
      <c r="S273">
        <f t="shared" si="35"/>
        <v>1</v>
      </c>
      <c r="T273">
        <f t="shared" si="41"/>
        <v>0</v>
      </c>
      <c r="U273">
        <f t="shared" si="36"/>
        <v>1</v>
      </c>
      <c r="V273">
        <f t="shared" si="37"/>
        <v>1</v>
      </c>
      <c r="W273">
        <f t="shared" si="38"/>
        <v>1</v>
      </c>
      <c r="Y273" t="str">
        <f t="shared" si="39"/>
        <v/>
      </c>
    </row>
    <row r="274" spans="2:25">
      <c r="B274">
        <v>84</v>
      </c>
      <c r="H274">
        <v>42</v>
      </c>
      <c r="I274" s="18">
        <v>8</v>
      </c>
      <c r="J274">
        <v>26</v>
      </c>
      <c r="K274">
        <f t="shared" si="30"/>
        <v>130</v>
      </c>
      <c r="L274" s="39">
        <f t="shared" si="31"/>
        <v>13.069025438933544</v>
      </c>
      <c r="M274">
        <f t="shared" si="32"/>
        <v>445.31337508538434</v>
      </c>
      <c r="N274">
        <f t="shared" si="33"/>
        <v>2036.9341395508852</v>
      </c>
      <c r="O274" s="39">
        <f t="shared" si="34"/>
        <v>17579.69154120822</v>
      </c>
      <c r="S274">
        <f t="shared" si="35"/>
        <v>1</v>
      </c>
      <c r="T274">
        <f t="shared" si="41"/>
        <v>0</v>
      </c>
      <c r="U274">
        <f t="shared" si="36"/>
        <v>1</v>
      </c>
      <c r="V274">
        <f t="shared" si="37"/>
        <v>0</v>
      </c>
      <c r="W274">
        <f t="shared" si="38"/>
        <v>1</v>
      </c>
      <c r="Y274" t="str">
        <f t="shared" si="39"/>
        <v/>
      </c>
    </row>
    <row r="275" spans="2:25">
      <c r="B275">
        <v>86</v>
      </c>
      <c r="H275">
        <v>43</v>
      </c>
      <c r="I275" s="18">
        <v>12</v>
      </c>
      <c r="J275">
        <v>12</v>
      </c>
      <c r="K275">
        <f t="shared" si="30"/>
        <v>60</v>
      </c>
      <c r="L275" s="39">
        <f t="shared" si="31"/>
        <v>13.571680263507906</v>
      </c>
      <c r="M275">
        <f t="shared" si="32"/>
        <v>480.31337508538434</v>
      </c>
      <c r="N275">
        <f t="shared" si="33"/>
        <v>2281.5308435308134</v>
      </c>
      <c r="O275" s="39">
        <f t="shared" si="34"/>
        <v>17824.288245188149</v>
      </c>
      <c r="S275">
        <f t="shared" si="35"/>
        <v>1</v>
      </c>
      <c r="T275">
        <f t="shared" si="41"/>
        <v>0</v>
      </c>
      <c r="U275">
        <f t="shared" si="36"/>
        <v>1</v>
      </c>
      <c r="V275">
        <f t="shared" si="37"/>
        <v>1</v>
      </c>
      <c r="W275">
        <f t="shared" si="38"/>
        <v>1</v>
      </c>
      <c r="Y275" t="str">
        <f t="shared" si="39"/>
        <v/>
      </c>
    </row>
    <row r="276" spans="2:25">
      <c r="B276">
        <v>88</v>
      </c>
      <c r="H276">
        <v>44</v>
      </c>
      <c r="I276" s="18">
        <v>8</v>
      </c>
      <c r="J276">
        <v>28</v>
      </c>
      <c r="K276">
        <f t="shared" si="30"/>
        <v>140</v>
      </c>
      <c r="L276" s="39">
        <f t="shared" si="31"/>
        <v>14.074335088082275</v>
      </c>
      <c r="M276">
        <f t="shared" si="32"/>
        <v>440.31337508538434</v>
      </c>
      <c r="N276">
        <f t="shared" si="33"/>
        <v>2168.9912946506547</v>
      </c>
      <c r="O276" s="39">
        <f t="shared" si="34"/>
        <v>17711.74869630799</v>
      </c>
      <c r="S276">
        <f t="shared" si="35"/>
        <v>1</v>
      </c>
      <c r="T276">
        <f t="shared" si="41"/>
        <v>0</v>
      </c>
      <c r="U276">
        <f t="shared" si="36"/>
        <v>1</v>
      </c>
      <c r="V276">
        <f t="shared" si="37"/>
        <v>0</v>
      </c>
      <c r="W276">
        <f t="shared" si="38"/>
        <v>1</v>
      </c>
      <c r="Y276" t="str">
        <f t="shared" si="39"/>
        <v/>
      </c>
    </row>
    <row r="277" spans="2:25">
      <c r="B277">
        <v>90</v>
      </c>
      <c r="H277">
        <v>45</v>
      </c>
      <c r="I277" s="18">
        <v>30</v>
      </c>
      <c r="J277">
        <v>2</v>
      </c>
      <c r="K277">
        <f t="shared" si="30"/>
        <v>10</v>
      </c>
      <c r="L277" s="39">
        <f t="shared" si="31"/>
        <v>14.137166941154069</v>
      </c>
      <c r="M277">
        <f t="shared" si="32"/>
        <v>505.31337508538434</v>
      </c>
      <c r="N277">
        <f t="shared" si="33"/>
        <v>2500.2948394130285</v>
      </c>
      <c r="O277" s="39">
        <f t="shared" si="34"/>
        <v>18043.052241070363</v>
      </c>
      <c r="S277">
        <f t="shared" si="35"/>
        <v>1</v>
      </c>
      <c r="T277">
        <f t="shared" si="41"/>
        <v>0</v>
      </c>
      <c r="U277">
        <f t="shared" si="36"/>
        <v>0</v>
      </c>
      <c r="V277">
        <f t="shared" si="37"/>
        <v>1</v>
      </c>
      <c r="W277">
        <f t="shared" si="38"/>
        <v>1</v>
      </c>
      <c r="Y277" t="str">
        <f t="shared" si="39"/>
        <v/>
      </c>
    </row>
    <row r="278" spans="2:25">
      <c r="B278">
        <v>92</v>
      </c>
      <c r="H278">
        <v>46</v>
      </c>
      <c r="I278" s="18">
        <v>10</v>
      </c>
      <c r="J278">
        <v>18</v>
      </c>
      <c r="K278">
        <f t="shared" si="30"/>
        <v>90</v>
      </c>
      <c r="L278" s="39">
        <f t="shared" si="31"/>
        <v>14.137166941154069</v>
      </c>
      <c r="M278">
        <f t="shared" si="32"/>
        <v>465.31337508538434</v>
      </c>
      <c r="N278">
        <f t="shared" si="33"/>
        <v>2302.3745022368716</v>
      </c>
      <c r="O278" s="39">
        <f t="shared" si="34"/>
        <v>17845.131903894206</v>
      </c>
      <c r="S278">
        <f t="shared" si="35"/>
        <v>1</v>
      </c>
      <c r="T278">
        <f t="shared" si="41"/>
        <v>0</v>
      </c>
      <c r="U278">
        <f t="shared" si="36"/>
        <v>1</v>
      </c>
      <c r="V278">
        <f t="shared" si="37"/>
        <v>1</v>
      </c>
      <c r="W278">
        <f t="shared" si="38"/>
        <v>1</v>
      </c>
      <c r="Y278" t="str">
        <f t="shared" si="39"/>
        <v/>
      </c>
    </row>
    <row r="279" spans="2:25">
      <c r="B279">
        <v>94</v>
      </c>
      <c r="H279">
        <v>47</v>
      </c>
      <c r="I279" s="18">
        <v>8</v>
      </c>
      <c r="J279">
        <v>30</v>
      </c>
      <c r="K279">
        <f t="shared" si="30"/>
        <v>150</v>
      </c>
      <c r="L279" s="39">
        <f t="shared" si="31"/>
        <v>15.079644737231009</v>
      </c>
      <c r="M279">
        <f t="shared" si="32"/>
        <v>435.31337508538434</v>
      </c>
      <c r="N279">
        <f t="shared" si="33"/>
        <v>2297.5298659784044</v>
      </c>
      <c r="O279" s="39">
        <f t="shared" si="34"/>
        <v>17840.28726763574</v>
      </c>
      <c r="S279">
        <f t="shared" si="35"/>
        <v>1</v>
      </c>
      <c r="T279">
        <f t="shared" si="41"/>
        <v>0</v>
      </c>
      <c r="U279">
        <f t="shared" si="36"/>
        <v>1</v>
      </c>
      <c r="V279">
        <f t="shared" si="37"/>
        <v>0</v>
      </c>
      <c r="W279">
        <f t="shared" si="38"/>
        <v>1</v>
      </c>
      <c r="Y279" t="str">
        <f t="shared" si="39"/>
        <v/>
      </c>
    </row>
    <row r="280" spans="2:25">
      <c r="B280">
        <v>96</v>
      </c>
      <c r="H280">
        <v>48</v>
      </c>
      <c r="I280" s="18">
        <v>22</v>
      </c>
      <c r="J280">
        <v>4</v>
      </c>
      <c r="K280">
        <f t="shared" si="30"/>
        <v>20</v>
      </c>
      <c r="L280" s="39">
        <f t="shared" si="31"/>
        <v>15.205308443374602</v>
      </c>
      <c r="M280">
        <f t="shared" si="32"/>
        <v>500.31337508538434</v>
      </c>
      <c r="N280">
        <f t="shared" si="33"/>
        <v>2662.5967152816634</v>
      </c>
      <c r="O280" s="39">
        <f t="shared" si="34"/>
        <v>18205.354116938997</v>
      </c>
      <c r="S280">
        <f t="shared" si="35"/>
        <v>1</v>
      </c>
      <c r="T280">
        <f t="shared" si="41"/>
        <v>0</v>
      </c>
      <c r="U280">
        <f t="shared" si="36"/>
        <v>1</v>
      </c>
      <c r="V280">
        <f t="shared" si="37"/>
        <v>1</v>
      </c>
      <c r="W280">
        <f t="shared" si="38"/>
        <v>1</v>
      </c>
      <c r="Y280" t="str">
        <f t="shared" si="39"/>
        <v/>
      </c>
    </row>
    <row r="281" spans="2:25">
      <c r="B281">
        <v>98</v>
      </c>
      <c r="H281">
        <v>49</v>
      </c>
      <c r="I281" s="18">
        <v>18</v>
      </c>
      <c r="J281">
        <v>6</v>
      </c>
      <c r="K281">
        <f t="shared" si="30"/>
        <v>30</v>
      </c>
      <c r="L281" s="39">
        <f t="shared" si="31"/>
        <v>15.268140296446395</v>
      </c>
      <c r="M281">
        <f t="shared" si="32"/>
        <v>495.31337508538434</v>
      </c>
      <c r="N281">
        <f t="shared" si="33"/>
        <v>2646.8799355285087</v>
      </c>
      <c r="O281" s="39">
        <f t="shared" si="34"/>
        <v>18189.637337185843</v>
      </c>
      <c r="S281">
        <f t="shared" si="35"/>
        <v>1</v>
      </c>
      <c r="T281">
        <f t="shared" si="41"/>
        <v>0</v>
      </c>
      <c r="U281">
        <f t="shared" si="36"/>
        <v>1</v>
      </c>
      <c r="V281">
        <f t="shared" si="37"/>
        <v>1</v>
      </c>
      <c r="W281">
        <f t="shared" si="38"/>
        <v>1</v>
      </c>
      <c r="Y281" t="str">
        <f t="shared" si="39"/>
        <v/>
      </c>
    </row>
    <row r="282" spans="2:25">
      <c r="B282">
        <v>100</v>
      </c>
      <c r="H282">
        <v>50</v>
      </c>
      <c r="I282" s="18">
        <v>14</v>
      </c>
      <c r="J282">
        <v>10</v>
      </c>
      <c r="K282">
        <f t="shared" si="30"/>
        <v>50</v>
      </c>
      <c r="L282" s="39">
        <f t="shared" si="31"/>
        <v>15.393804002589984</v>
      </c>
      <c r="M282">
        <f t="shared" si="32"/>
        <v>485.31337508538434</v>
      </c>
      <c r="N282">
        <f t="shared" si="33"/>
        <v>2614.7866415649451</v>
      </c>
      <c r="O282" s="39">
        <f t="shared" si="34"/>
        <v>18157.544043222279</v>
      </c>
      <c r="S282">
        <f t="shared" si="35"/>
        <v>1</v>
      </c>
      <c r="T282">
        <f t="shared" si="41"/>
        <v>0</v>
      </c>
      <c r="U282">
        <f t="shared" si="36"/>
        <v>1</v>
      </c>
      <c r="V282">
        <f t="shared" si="37"/>
        <v>1</v>
      </c>
      <c r="W282">
        <f t="shared" si="38"/>
        <v>1</v>
      </c>
      <c r="Y282" t="str">
        <f t="shared" si="39"/>
        <v/>
      </c>
    </row>
    <row r="283" spans="2:25">
      <c r="H283">
        <v>51</v>
      </c>
      <c r="I283" s="18">
        <v>10</v>
      </c>
      <c r="J283">
        <v>20</v>
      </c>
      <c r="K283">
        <f t="shared" si="30"/>
        <v>100</v>
      </c>
      <c r="L283" s="39">
        <f t="shared" si="31"/>
        <v>15.707963267948966</v>
      </c>
      <c r="M283">
        <f t="shared" si="32"/>
        <v>460.31337508538434</v>
      </c>
      <c r="N283">
        <f t="shared" si="33"/>
        <v>2530.7049556553911</v>
      </c>
      <c r="O283" s="39">
        <f t="shared" si="34"/>
        <v>18073.462357312725</v>
      </c>
      <c r="S283">
        <f t="shared" si="35"/>
        <v>1</v>
      </c>
      <c r="T283">
        <f t="shared" si="41"/>
        <v>0</v>
      </c>
      <c r="U283">
        <f t="shared" si="36"/>
        <v>1</v>
      </c>
      <c r="V283">
        <f t="shared" si="37"/>
        <v>1</v>
      </c>
      <c r="W283">
        <f t="shared" si="38"/>
        <v>1</v>
      </c>
      <c r="Y283" t="str">
        <f t="shared" si="39"/>
        <v/>
      </c>
    </row>
    <row r="284" spans="2:25">
      <c r="H284">
        <v>52</v>
      </c>
      <c r="I284" s="18">
        <v>12</v>
      </c>
      <c r="J284">
        <v>14</v>
      </c>
      <c r="K284">
        <f t="shared" si="30"/>
        <v>70</v>
      </c>
      <c r="L284" s="39">
        <f t="shared" si="31"/>
        <v>15.833626974092557</v>
      </c>
      <c r="M284">
        <f t="shared" si="32"/>
        <v>475.31337508538434</v>
      </c>
      <c r="N284">
        <f t="shared" si="33"/>
        <v>2634.07713691462</v>
      </c>
      <c r="O284" s="39">
        <f t="shared" si="34"/>
        <v>18176.834538571955</v>
      </c>
      <c r="S284">
        <f t="shared" si="35"/>
        <v>1</v>
      </c>
      <c r="T284">
        <f t="shared" si="41"/>
        <v>0</v>
      </c>
      <c r="U284">
        <f t="shared" si="36"/>
        <v>1</v>
      </c>
      <c r="V284">
        <f t="shared" si="37"/>
        <v>1</v>
      </c>
      <c r="W284">
        <f t="shared" si="38"/>
        <v>1</v>
      </c>
      <c r="Y284" t="str">
        <f t="shared" si="39"/>
        <v/>
      </c>
    </row>
    <row r="285" spans="2:25">
      <c r="H285">
        <v>53</v>
      </c>
      <c r="I285" s="18">
        <v>32</v>
      </c>
      <c r="J285">
        <v>2</v>
      </c>
      <c r="K285">
        <f t="shared" si="30"/>
        <v>10</v>
      </c>
      <c r="L285" s="39">
        <f t="shared" si="31"/>
        <v>16.084954386379742</v>
      </c>
      <c r="M285">
        <f t="shared" si="32"/>
        <v>505.31337508538434</v>
      </c>
      <c r="N285">
        <f t="shared" si="33"/>
        <v>2844.7799061766023</v>
      </c>
      <c r="O285" s="39">
        <f t="shared" si="34"/>
        <v>18387.537307833936</v>
      </c>
      <c r="S285">
        <f t="shared" si="35"/>
        <v>1</v>
      </c>
      <c r="T285">
        <f t="shared" si="41"/>
        <v>0</v>
      </c>
      <c r="U285">
        <f t="shared" si="36"/>
        <v>0</v>
      </c>
      <c r="V285">
        <f t="shared" si="37"/>
        <v>1</v>
      </c>
      <c r="W285">
        <f t="shared" si="38"/>
        <v>1</v>
      </c>
      <c r="Y285" t="str">
        <f t="shared" si="39"/>
        <v/>
      </c>
    </row>
    <row r="286" spans="2:25">
      <c r="H286">
        <v>54</v>
      </c>
      <c r="I286" s="18">
        <v>16</v>
      </c>
      <c r="J286">
        <v>8</v>
      </c>
      <c r="K286">
        <f t="shared" si="30"/>
        <v>40</v>
      </c>
      <c r="L286" s="39">
        <f t="shared" si="31"/>
        <v>16.084954386379742</v>
      </c>
      <c r="M286">
        <f t="shared" si="32"/>
        <v>490.31337508538434</v>
      </c>
      <c r="N286">
        <f t="shared" si="33"/>
        <v>2760.3338956481084</v>
      </c>
      <c r="O286" s="39">
        <f t="shared" si="34"/>
        <v>18303.091297305444</v>
      </c>
      <c r="S286">
        <f t="shared" si="35"/>
        <v>1</v>
      </c>
      <c r="T286">
        <f t="shared" si="41"/>
        <v>0</v>
      </c>
      <c r="U286">
        <f t="shared" si="36"/>
        <v>1</v>
      </c>
      <c r="V286">
        <f t="shared" si="37"/>
        <v>1</v>
      </c>
      <c r="W286">
        <f t="shared" si="38"/>
        <v>1</v>
      </c>
      <c r="Y286" t="str">
        <f t="shared" si="39"/>
        <v/>
      </c>
    </row>
    <row r="287" spans="2:25">
      <c r="H287">
        <v>55</v>
      </c>
      <c r="I287" s="18">
        <v>8</v>
      </c>
      <c r="J287">
        <v>32</v>
      </c>
      <c r="K287">
        <f t="shared" si="30"/>
        <v>160</v>
      </c>
      <c r="L287" s="39">
        <f t="shared" si="31"/>
        <v>16.084954386379742</v>
      </c>
      <c r="M287">
        <f t="shared" si="32"/>
        <v>430.31337508538434</v>
      </c>
      <c r="N287">
        <f t="shared" si="33"/>
        <v>2422.5498535341335</v>
      </c>
      <c r="O287" s="39">
        <f t="shared" si="34"/>
        <v>17965.307255191467</v>
      </c>
      <c r="S287">
        <f t="shared" si="35"/>
        <v>1</v>
      </c>
      <c r="T287">
        <f t="shared" si="41"/>
        <v>0</v>
      </c>
      <c r="U287">
        <f t="shared" si="36"/>
        <v>1</v>
      </c>
      <c r="V287">
        <f t="shared" si="37"/>
        <v>0</v>
      </c>
      <c r="W287">
        <f t="shared" si="38"/>
        <v>1</v>
      </c>
      <c r="Y287" t="str">
        <f t="shared" si="39"/>
        <v/>
      </c>
    </row>
    <row r="288" spans="2:25">
      <c r="H288">
        <v>56</v>
      </c>
      <c r="I288" s="18">
        <v>8</v>
      </c>
      <c r="J288">
        <v>34</v>
      </c>
      <c r="K288">
        <f t="shared" si="30"/>
        <v>170</v>
      </c>
      <c r="L288" s="39">
        <f t="shared" si="31"/>
        <v>17.090264035528477</v>
      </c>
      <c r="M288">
        <f t="shared" si="32"/>
        <v>425.31337508538434</v>
      </c>
      <c r="N288">
        <f t="shared" si="33"/>
        <v>2544.0512573178421</v>
      </c>
      <c r="O288" s="39">
        <f t="shared" si="34"/>
        <v>18086.808658975177</v>
      </c>
      <c r="S288">
        <f t="shared" si="35"/>
        <v>1</v>
      </c>
      <c r="T288">
        <f t="shared" si="41"/>
        <v>0</v>
      </c>
      <c r="U288">
        <f t="shared" si="36"/>
        <v>1</v>
      </c>
      <c r="V288">
        <f t="shared" si="37"/>
        <v>0</v>
      </c>
      <c r="W288">
        <f t="shared" si="38"/>
        <v>1</v>
      </c>
      <c r="Y288" t="str">
        <f t="shared" si="39"/>
        <v/>
      </c>
    </row>
    <row r="289" spans="8:25">
      <c r="H289">
        <v>57</v>
      </c>
      <c r="I289" s="18">
        <v>10</v>
      </c>
      <c r="J289">
        <v>22</v>
      </c>
      <c r="K289">
        <f t="shared" si="30"/>
        <v>110</v>
      </c>
      <c r="L289" s="39">
        <f t="shared" si="31"/>
        <v>17.27875959474386</v>
      </c>
      <c r="M289">
        <f t="shared" si="32"/>
        <v>455.31337508538434</v>
      </c>
      <c r="N289">
        <f t="shared" si="33"/>
        <v>2753.5376219301279</v>
      </c>
      <c r="O289" s="39">
        <f t="shared" si="34"/>
        <v>18296.295023587463</v>
      </c>
      <c r="S289">
        <f t="shared" si="35"/>
        <v>1</v>
      </c>
      <c r="T289">
        <f t="shared" si="41"/>
        <v>0</v>
      </c>
      <c r="U289">
        <f t="shared" si="36"/>
        <v>1</v>
      </c>
      <c r="V289">
        <f t="shared" si="37"/>
        <v>0</v>
      </c>
      <c r="W289">
        <f t="shared" si="38"/>
        <v>1</v>
      </c>
      <c r="Y289" t="str">
        <f t="shared" si="39"/>
        <v/>
      </c>
    </row>
    <row r="290" spans="8:25">
      <c r="H290">
        <v>58</v>
      </c>
      <c r="I290" s="18">
        <v>24</v>
      </c>
      <c r="J290">
        <v>4</v>
      </c>
      <c r="K290">
        <f t="shared" si="30"/>
        <v>20</v>
      </c>
      <c r="L290" s="39">
        <f t="shared" si="31"/>
        <v>18.095573684677209</v>
      </c>
      <c r="M290">
        <f t="shared" si="32"/>
        <v>500.31337508538434</v>
      </c>
      <c r="N290">
        <f t="shared" si="33"/>
        <v>3168.7101405004914</v>
      </c>
      <c r="O290" s="39">
        <f t="shared" si="34"/>
        <v>18711.467542157825</v>
      </c>
      <c r="S290">
        <f t="shared" si="35"/>
        <v>1</v>
      </c>
      <c r="T290">
        <f t="shared" si="41"/>
        <v>0</v>
      </c>
      <c r="U290">
        <f t="shared" si="36"/>
        <v>1</v>
      </c>
      <c r="V290">
        <f t="shared" si="37"/>
        <v>1</v>
      </c>
      <c r="W290">
        <f t="shared" si="38"/>
        <v>1</v>
      </c>
      <c r="Y290" t="str">
        <f t="shared" si="39"/>
        <v/>
      </c>
    </row>
    <row r="291" spans="8:25">
      <c r="H291">
        <v>59</v>
      </c>
      <c r="I291" s="18">
        <v>12</v>
      </c>
      <c r="J291">
        <v>16</v>
      </c>
      <c r="K291">
        <f t="shared" si="30"/>
        <v>80</v>
      </c>
      <c r="L291" s="39">
        <f t="shared" si="31"/>
        <v>18.095573684677209</v>
      </c>
      <c r="M291">
        <f t="shared" si="32"/>
        <v>470.31337508538434</v>
      </c>
      <c r="N291">
        <f t="shared" si="33"/>
        <v>2978.7066168113806</v>
      </c>
      <c r="O291" s="39">
        <f t="shared" si="34"/>
        <v>18521.464018468716</v>
      </c>
      <c r="S291">
        <f t="shared" si="35"/>
        <v>1</v>
      </c>
      <c r="T291">
        <f t="shared" si="41"/>
        <v>0</v>
      </c>
      <c r="U291">
        <f t="shared" si="36"/>
        <v>1</v>
      </c>
      <c r="V291">
        <f t="shared" si="37"/>
        <v>1</v>
      </c>
      <c r="W291">
        <f t="shared" si="38"/>
        <v>1</v>
      </c>
      <c r="Y291" t="str">
        <f t="shared" si="39"/>
        <v/>
      </c>
    </row>
    <row r="292" spans="8:25">
      <c r="H292">
        <v>60</v>
      </c>
      <c r="I292" s="18">
        <v>8</v>
      </c>
      <c r="J292">
        <v>36</v>
      </c>
      <c r="K292">
        <f t="shared" si="30"/>
        <v>180</v>
      </c>
      <c r="L292" s="39">
        <f t="shared" si="31"/>
        <v>18.095573684677213</v>
      </c>
      <c r="M292">
        <f t="shared" si="32"/>
        <v>420.31337508538434</v>
      </c>
      <c r="N292">
        <f t="shared" si="33"/>
        <v>2662.0340773295306</v>
      </c>
      <c r="O292" s="39">
        <f t="shared" si="34"/>
        <v>18204.791478986866</v>
      </c>
      <c r="S292">
        <f t="shared" si="35"/>
        <v>1</v>
      </c>
      <c r="T292">
        <f t="shared" si="41"/>
        <v>0</v>
      </c>
      <c r="U292">
        <f t="shared" si="36"/>
        <v>1</v>
      </c>
      <c r="V292">
        <f t="shared" si="37"/>
        <v>0</v>
      </c>
      <c r="W292">
        <f t="shared" si="38"/>
        <v>1</v>
      </c>
      <c r="Y292" t="str">
        <f t="shared" si="39"/>
        <v/>
      </c>
    </row>
    <row r="293" spans="8:25">
      <c r="H293">
        <v>61</v>
      </c>
      <c r="I293" s="18">
        <v>34</v>
      </c>
      <c r="J293">
        <v>2</v>
      </c>
      <c r="K293">
        <f t="shared" si="30"/>
        <v>10</v>
      </c>
      <c r="L293" s="39">
        <f t="shared" si="31"/>
        <v>18.158405537749001</v>
      </c>
      <c r="M293">
        <f t="shared" si="32"/>
        <v>505.31337508538434</v>
      </c>
      <c r="N293">
        <f t="shared" si="33"/>
        <v>3211.4898159571785</v>
      </c>
      <c r="O293" s="39">
        <f t="shared" si="34"/>
        <v>18754.247217614513</v>
      </c>
      <c r="S293">
        <f t="shared" si="35"/>
        <v>1</v>
      </c>
      <c r="T293">
        <f t="shared" si="41"/>
        <v>0</v>
      </c>
      <c r="U293">
        <f t="shared" si="36"/>
        <v>0</v>
      </c>
      <c r="V293">
        <f t="shared" si="37"/>
        <v>1</v>
      </c>
      <c r="W293">
        <f t="shared" si="38"/>
        <v>1</v>
      </c>
      <c r="Y293" t="str">
        <f t="shared" si="39"/>
        <v/>
      </c>
    </row>
    <row r="294" spans="8:25">
      <c r="H294">
        <v>62</v>
      </c>
      <c r="I294" s="18">
        <v>14</v>
      </c>
      <c r="J294">
        <v>12</v>
      </c>
      <c r="K294">
        <f t="shared" si="30"/>
        <v>60</v>
      </c>
      <c r="L294" s="39">
        <f t="shared" si="31"/>
        <v>18.472564803107982</v>
      </c>
      <c r="M294">
        <f t="shared" si="32"/>
        <v>480.31337508538434</v>
      </c>
      <c r="N294">
        <f t="shared" si="33"/>
        <v>3105.4169814724955</v>
      </c>
      <c r="O294" s="39">
        <f t="shared" si="34"/>
        <v>18648.17438312983</v>
      </c>
      <c r="S294">
        <f t="shared" si="35"/>
        <v>1</v>
      </c>
      <c r="T294">
        <f t="shared" si="41"/>
        <v>0</v>
      </c>
      <c r="U294">
        <f t="shared" si="36"/>
        <v>1</v>
      </c>
      <c r="V294">
        <f t="shared" si="37"/>
        <v>1</v>
      </c>
      <c r="W294">
        <f t="shared" si="38"/>
        <v>1</v>
      </c>
      <c r="Y294" t="str">
        <f t="shared" si="39"/>
        <v/>
      </c>
    </row>
    <row r="295" spans="8:25">
      <c r="H295">
        <v>63</v>
      </c>
      <c r="I295" s="18">
        <v>20</v>
      </c>
      <c r="J295">
        <v>6</v>
      </c>
      <c r="K295">
        <f t="shared" si="30"/>
        <v>30</v>
      </c>
      <c r="L295" s="39">
        <f t="shared" si="31"/>
        <v>18.849555921538759</v>
      </c>
      <c r="M295">
        <f t="shared" si="32"/>
        <v>495.31337508538434</v>
      </c>
      <c r="N295">
        <f t="shared" si="33"/>
        <v>3267.7530068253191</v>
      </c>
      <c r="O295" s="39">
        <f t="shared" si="34"/>
        <v>18810.510408482653</v>
      </c>
      <c r="S295">
        <f t="shared" si="35"/>
        <v>1</v>
      </c>
      <c r="T295">
        <f t="shared" si="41"/>
        <v>0</v>
      </c>
      <c r="U295">
        <f t="shared" si="36"/>
        <v>1</v>
      </c>
      <c r="V295">
        <f t="shared" si="37"/>
        <v>1</v>
      </c>
      <c r="W295">
        <f t="shared" si="38"/>
        <v>1</v>
      </c>
      <c r="Y295" t="str">
        <f t="shared" si="39"/>
        <v/>
      </c>
    </row>
    <row r="296" spans="8:25">
      <c r="H296">
        <v>64</v>
      </c>
      <c r="I296" s="18">
        <v>10</v>
      </c>
      <c r="J296">
        <v>24</v>
      </c>
      <c r="K296">
        <f t="shared" si="30"/>
        <v>120</v>
      </c>
      <c r="L296" s="39">
        <f t="shared" si="31"/>
        <v>18.849555921538759</v>
      </c>
      <c r="M296">
        <f t="shared" si="32"/>
        <v>450.31337508538434</v>
      </c>
      <c r="N296">
        <f t="shared" si="33"/>
        <v>2970.8725010610838</v>
      </c>
      <c r="O296" s="39">
        <f t="shared" si="34"/>
        <v>18513.629902718418</v>
      </c>
      <c r="S296">
        <f t="shared" si="35"/>
        <v>1</v>
      </c>
      <c r="T296">
        <f t="shared" si="41"/>
        <v>0</v>
      </c>
      <c r="U296">
        <f t="shared" si="36"/>
        <v>1</v>
      </c>
      <c r="V296">
        <f t="shared" si="37"/>
        <v>0</v>
      </c>
      <c r="W296">
        <f t="shared" si="38"/>
        <v>1</v>
      </c>
      <c r="Y296" t="str">
        <f t="shared" si="39"/>
        <v/>
      </c>
    </row>
    <row r="297" spans="8:25">
      <c r="H297">
        <v>65</v>
      </c>
      <c r="I297" s="18">
        <v>8</v>
      </c>
      <c r="J297">
        <v>38</v>
      </c>
      <c r="K297">
        <f t="shared" ref="K297:K360" si="42">$F$230+$F$231*(J297-2)/2</f>
        <v>190</v>
      </c>
      <c r="L297" s="39">
        <f t="shared" ref="L297:L360" si="43">J297*0.25*PI()*(I297/10)^2</f>
        <v>19.100883333825944</v>
      </c>
      <c r="M297">
        <f t="shared" ref="M297:M360" si="44">$F$233-(K297+$F$232)/2</f>
        <v>415.31337508538434</v>
      </c>
      <c r="N297">
        <f t="shared" ref="N297:N360" si="45">L297*$F$235*M297*0.001</f>
        <v>2776.4983135691973</v>
      </c>
      <c r="O297" s="39">
        <f t="shared" ref="O297:O360" si="46">N297+$F$237</f>
        <v>18319.255715226533</v>
      </c>
      <c r="S297">
        <f t="shared" ref="S297:S360" si="47">IF(L297&lt;$F$236,1,0)</f>
        <v>1</v>
      </c>
      <c r="T297">
        <f t="shared" ref="T297:T360" si="48">IF(O297&gt;$F$234,1,0)</f>
        <v>0</v>
      </c>
      <c r="U297">
        <f t="shared" ref="U297:U360" si="49">IF(I297&lt;=$F$238,1,0)</f>
        <v>1</v>
      </c>
      <c r="V297">
        <f t="shared" ref="V297:V360" si="50">IF(J297&lt;=$F$239,1,0)</f>
        <v>0</v>
      </c>
      <c r="W297">
        <f t="shared" ref="W297:W360" si="51">IF(K297&lt;=$F$240,1,0)</f>
        <v>1</v>
      </c>
      <c r="Y297" t="str">
        <f t="shared" ref="Y297:Y360" si="52">IF(SUM(S297:W297)=5,H297,"")</f>
        <v/>
      </c>
    </row>
    <row r="298" spans="8:25">
      <c r="H298">
        <v>66</v>
      </c>
      <c r="I298" s="18">
        <v>25</v>
      </c>
      <c r="J298">
        <v>4</v>
      </c>
      <c r="K298">
        <f t="shared" si="42"/>
        <v>20</v>
      </c>
      <c r="L298" s="39">
        <f t="shared" si="43"/>
        <v>19.634954084936208</v>
      </c>
      <c r="M298">
        <f t="shared" si="44"/>
        <v>500.31337508538434</v>
      </c>
      <c r="N298">
        <f t="shared" si="45"/>
        <v>3438.2705517583463</v>
      </c>
      <c r="O298" s="39">
        <f t="shared" si="46"/>
        <v>18981.02795341568</v>
      </c>
      <c r="S298">
        <f t="shared" si="47"/>
        <v>1</v>
      </c>
      <c r="T298">
        <f t="shared" si="48"/>
        <v>0</v>
      </c>
      <c r="U298">
        <f t="shared" si="49"/>
        <v>1</v>
      </c>
      <c r="V298">
        <f t="shared" si="50"/>
        <v>1</v>
      </c>
      <c r="W298">
        <f t="shared" si="51"/>
        <v>1</v>
      </c>
      <c r="Y298" t="str">
        <f t="shared" si="52"/>
        <v/>
      </c>
    </row>
    <row r="299" spans="8:25">
      <c r="H299">
        <v>67</v>
      </c>
      <c r="I299" s="18">
        <v>16</v>
      </c>
      <c r="J299">
        <v>10</v>
      </c>
      <c r="K299">
        <f t="shared" si="42"/>
        <v>50</v>
      </c>
      <c r="L299" s="39">
        <f t="shared" si="43"/>
        <v>20.106192982974679</v>
      </c>
      <c r="M299">
        <f t="shared" si="44"/>
        <v>485.31337508538434</v>
      </c>
      <c r="N299">
        <f t="shared" si="45"/>
        <v>3415.2315318399301</v>
      </c>
      <c r="O299" s="39">
        <f t="shared" si="46"/>
        <v>18957.988933497265</v>
      </c>
      <c r="S299">
        <f t="shared" si="47"/>
        <v>1</v>
      </c>
      <c r="T299">
        <f t="shared" si="48"/>
        <v>0</v>
      </c>
      <c r="U299">
        <f t="shared" si="49"/>
        <v>1</v>
      </c>
      <c r="V299">
        <f t="shared" si="50"/>
        <v>1</v>
      </c>
      <c r="W299">
        <f t="shared" si="51"/>
        <v>1</v>
      </c>
      <c r="Y299" t="str">
        <f t="shared" si="52"/>
        <v/>
      </c>
    </row>
    <row r="300" spans="8:25">
      <c r="H300">
        <v>68</v>
      </c>
      <c r="I300" s="18">
        <v>8</v>
      </c>
      <c r="J300">
        <v>40</v>
      </c>
      <c r="K300">
        <f t="shared" si="42"/>
        <v>200</v>
      </c>
      <c r="L300" s="39">
        <f t="shared" si="43"/>
        <v>20.106192982974679</v>
      </c>
      <c r="M300">
        <f t="shared" si="44"/>
        <v>410.31337508538434</v>
      </c>
      <c r="N300">
        <f t="shared" si="45"/>
        <v>2887.4439660368448</v>
      </c>
      <c r="O300" s="39">
        <f t="shared" si="46"/>
        <v>18430.201367694179</v>
      </c>
      <c r="S300">
        <f t="shared" si="47"/>
        <v>1</v>
      </c>
      <c r="T300">
        <f t="shared" si="48"/>
        <v>0</v>
      </c>
      <c r="U300">
        <f t="shared" si="49"/>
        <v>1</v>
      </c>
      <c r="V300">
        <f t="shared" si="50"/>
        <v>0</v>
      </c>
      <c r="W300">
        <f t="shared" si="51"/>
        <v>1</v>
      </c>
      <c r="Y300" t="str">
        <f t="shared" si="52"/>
        <v/>
      </c>
    </row>
    <row r="301" spans="8:25">
      <c r="H301">
        <v>69</v>
      </c>
      <c r="I301" s="18">
        <v>12</v>
      </c>
      <c r="J301">
        <v>18</v>
      </c>
      <c r="K301">
        <f t="shared" si="42"/>
        <v>90</v>
      </c>
      <c r="L301" s="39">
        <f t="shared" si="43"/>
        <v>20.357520395261858</v>
      </c>
      <c r="M301">
        <f t="shared" si="44"/>
        <v>465.31337508538434</v>
      </c>
      <c r="N301">
        <f t="shared" si="45"/>
        <v>3315.4192832210952</v>
      </c>
      <c r="O301" s="39">
        <f t="shared" si="46"/>
        <v>18858.176684878428</v>
      </c>
      <c r="S301">
        <f t="shared" si="47"/>
        <v>1</v>
      </c>
      <c r="T301">
        <f t="shared" si="48"/>
        <v>0</v>
      </c>
      <c r="U301">
        <f t="shared" si="49"/>
        <v>1</v>
      </c>
      <c r="V301">
        <f t="shared" si="50"/>
        <v>1</v>
      </c>
      <c r="W301">
        <f t="shared" si="51"/>
        <v>1</v>
      </c>
      <c r="Y301" t="str">
        <f t="shared" si="52"/>
        <v/>
      </c>
    </row>
    <row r="302" spans="8:25">
      <c r="H302">
        <v>70</v>
      </c>
      <c r="I302" s="18">
        <v>36</v>
      </c>
      <c r="J302">
        <v>2</v>
      </c>
      <c r="K302">
        <f t="shared" si="42"/>
        <v>10</v>
      </c>
      <c r="L302" s="39">
        <f t="shared" si="43"/>
        <v>20.357520395261862</v>
      </c>
      <c r="M302">
        <f t="shared" si="44"/>
        <v>505.31337508538434</v>
      </c>
      <c r="N302">
        <f t="shared" si="45"/>
        <v>3600.4245687547614</v>
      </c>
      <c r="O302" s="39">
        <f t="shared" si="46"/>
        <v>19143.181970412097</v>
      </c>
      <c r="S302">
        <f t="shared" si="47"/>
        <v>1</v>
      </c>
      <c r="T302">
        <f t="shared" si="48"/>
        <v>0</v>
      </c>
      <c r="U302">
        <f t="shared" si="49"/>
        <v>0</v>
      </c>
      <c r="V302">
        <f t="shared" si="50"/>
        <v>1</v>
      </c>
      <c r="W302">
        <f t="shared" si="51"/>
        <v>1</v>
      </c>
      <c r="Y302" t="str">
        <f t="shared" si="52"/>
        <v/>
      </c>
    </row>
    <row r="303" spans="8:25">
      <c r="H303">
        <v>71</v>
      </c>
      <c r="I303" s="18">
        <v>18</v>
      </c>
      <c r="J303">
        <v>8</v>
      </c>
      <c r="K303">
        <f t="shared" si="42"/>
        <v>40</v>
      </c>
      <c r="L303" s="39">
        <f t="shared" si="43"/>
        <v>20.357520395261862</v>
      </c>
      <c r="M303">
        <f t="shared" si="44"/>
        <v>490.31337508538434</v>
      </c>
      <c r="N303">
        <f t="shared" si="45"/>
        <v>3493.5475866796369</v>
      </c>
      <c r="O303" s="39">
        <f t="shared" si="46"/>
        <v>19036.304988336971</v>
      </c>
      <c r="S303">
        <f t="shared" si="47"/>
        <v>1</v>
      </c>
      <c r="T303">
        <f t="shared" si="48"/>
        <v>0</v>
      </c>
      <c r="U303">
        <f t="shared" si="49"/>
        <v>1</v>
      </c>
      <c r="V303">
        <f t="shared" si="50"/>
        <v>1</v>
      </c>
      <c r="W303">
        <f t="shared" si="51"/>
        <v>1</v>
      </c>
      <c r="Y303" t="str">
        <f t="shared" si="52"/>
        <v/>
      </c>
    </row>
    <row r="304" spans="8:25">
      <c r="H304">
        <v>72</v>
      </c>
      <c r="I304" s="18">
        <v>10</v>
      </c>
      <c r="J304">
        <v>26</v>
      </c>
      <c r="K304">
        <f t="shared" si="42"/>
        <v>130</v>
      </c>
      <c r="L304" s="39">
        <f t="shared" si="43"/>
        <v>20.420352248333657</v>
      </c>
      <c r="M304">
        <f t="shared" si="44"/>
        <v>445.31337508538434</v>
      </c>
      <c r="N304">
        <f t="shared" si="45"/>
        <v>3182.7095930482569</v>
      </c>
      <c r="O304" s="39">
        <f t="shared" si="46"/>
        <v>18725.466994705592</v>
      </c>
      <c r="S304">
        <f t="shared" si="47"/>
        <v>1</v>
      </c>
      <c r="T304">
        <f t="shared" si="48"/>
        <v>0</v>
      </c>
      <c r="U304">
        <f t="shared" si="49"/>
        <v>1</v>
      </c>
      <c r="V304">
        <f t="shared" si="50"/>
        <v>0</v>
      </c>
      <c r="W304">
        <f t="shared" si="51"/>
        <v>1</v>
      </c>
      <c r="Y304" t="str">
        <f t="shared" si="52"/>
        <v/>
      </c>
    </row>
    <row r="305" spans="8:25">
      <c r="H305">
        <v>73</v>
      </c>
      <c r="I305" s="18">
        <v>8</v>
      </c>
      <c r="J305">
        <v>42</v>
      </c>
      <c r="K305">
        <f t="shared" si="42"/>
        <v>210</v>
      </c>
      <c r="L305" s="39">
        <f t="shared" si="43"/>
        <v>21.111502632123415</v>
      </c>
      <c r="M305">
        <f t="shared" si="44"/>
        <v>405.31337508538434</v>
      </c>
      <c r="N305">
        <f t="shared" si="45"/>
        <v>2994.8710347324709</v>
      </c>
      <c r="O305" s="39">
        <f t="shared" si="46"/>
        <v>18537.628436389805</v>
      </c>
      <c r="S305">
        <f t="shared" si="47"/>
        <v>1</v>
      </c>
      <c r="T305">
        <f t="shared" si="48"/>
        <v>0</v>
      </c>
      <c r="U305">
        <f t="shared" si="49"/>
        <v>1</v>
      </c>
      <c r="V305">
        <f t="shared" si="50"/>
        <v>0</v>
      </c>
      <c r="W305">
        <f t="shared" si="51"/>
        <v>1</v>
      </c>
      <c r="Y305" t="str">
        <f t="shared" si="52"/>
        <v/>
      </c>
    </row>
    <row r="306" spans="8:25">
      <c r="H306">
        <v>74</v>
      </c>
      <c r="I306" s="18">
        <v>26</v>
      </c>
      <c r="J306">
        <v>4</v>
      </c>
      <c r="K306">
        <f t="shared" si="42"/>
        <v>20</v>
      </c>
      <c r="L306" s="39">
        <f t="shared" si="43"/>
        <v>21.237166338267002</v>
      </c>
      <c r="M306">
        <f t="shared" si="44"/>
        <v>500.31337508538434</v>
      </c>
      <c r="N306">
        <f t="shared" si="45"/>
        <v>3718.833428781827</v>
      </c>
      <c r="O306" s="39">
        <f t="shared" si="46"/>
        <v>19261.590830439163</v>
      </c>
      <c r="S306">
        <f t="shared" si="47"/>
        <v>1</v>
      </c>
      <c r="T306">
        <f t="shared" si="48"/>
        <v>0</v>
      </c>
      <c r="U306">
        <f t="shared" si="49"/>
        <v>0</v>
      </c>
      <c r="V306">
        <f t="shared" si="50"/>
        <v>1</v>
      </c>
      <c r="W306">
        <f t="shared" si="51"/>
        <v>1</v>
      </c>
      <c r="Y306" t="str">
        <f t="shared" si="52"/>
        <v/>
      </c>
    </row>
    <row r="307" spans="8:25">
      <c r="H307">
        <v>75</v>
      </c>
      <c r="I307" s="18">
        <v>14</v>
      </c>
      <c r="J307">
        <v>14</v>
      </c>
      <c r="K307">
        <f t="shared" si="42"/>
        <v>70</v>
      </c>
      <c r="L307" s="39">
        <f t="shared" si="43"/>
        <v>21.55132560362598</v>
      </c>
      <c r="M307">
        <f t="shared" si="44"/>
        <v>475.31337508538434</v>
      </c>
      <c r="N307">
        <f t="shared" si="45"/>
        <v>3585.2716585782327</v>
      </c>
      <c r="O307" s="39">
        <f t="shared" si="46"/>
        <v>19128.029060235567</v>
      </c>
      <c r="S307">
        <f t="shared" si="47"/>
        <v>1</v>
      </c>
      <c r="T307">
        <f t="shared" si="48"/>
        <v>0</v>
      </c>
      <c r="U307">
        <f t="shared" si="49"/>
        <v>1</v>
      </c>
      <c r="V307">
        <f t="shared" si="50"/>
        <v>1</v>
      </c>
      <c r="W307">
        <f t="shared" si="51"/>
        <v>1</v>
      </c>
      <c r="Y307" t="str">
        <f t="shared" si="52"/>
        <v/>
      </c>
    </row>
    <row r="308" spans="8:25">
      <c r="H308">
        <v>76</v>
      </c>
      <c r="I308" s="18">
        <v>10</v>
      </c>
      <c r="J308">
        <v>28</v>
      </c>
      <c r="K308">
        <f t="shared" si="42"/>
        <v>140</v>
      </c>
      <c r="L308" s="39">
        <f t="shared" si="43"/>
        <v>21.991148575128552</v>
      </c>
      <c r="M308">
        <f t="shared" si="44"/>
        <v>440.31337508538434</v>
      </c>
      <c r="N308">
        <f t="shared" si="45"/>
        <v>3389.0488978916478</v>
      </c>
      <c r="O308" s="39">
        <f t="shared" si="46"/>
        <v>18931.806299548982</v>
      </c>
      <c r="S308">
        <f t="shared" si="47"/>
        <v>1</v>
      </c>
      <c r="T308">
        <f t="shared" si="48"/>
        <v>0</v>
      </c>
      <c r="U308">
        <f t="shared" si="49"/>
        <v>1</v>
      </c>
      <c r="V308">
        <f t="shared" si="50"/>
        <v>0</v>
      </c>
      <c r="W308">
        <f t="shared" si="51"/>
        <v>1</v>
      </c>
      <c r="Y308" t="str">
        <f t="shared" si="52"/>
        <v/>
      </c>
    </row>
    <row r="309" spans="8:25">
      <c r="H309">
        <v>77</v>
      </c>
      <c r="I309" s="18">
        <v>8</v>
      </c>
      <c r="J309">
        <v>44</v>
      </c>
      <c r="K309">
        <f t="shared" si="42"/>
        <v>220</v>
      </c>
      <c r="L309" s="39">
        <f t="shared" si="43"/>
        <v>22.116812281272146</v>
      </c>
      <c r="M309">
        <f t="shared" si="44"/>
        <v>400.31337508538434</v>
      </c>
      <c r="N309">
        <f t="shared" si="45"/>
        <v>3098.779519656076</v>
      </c>
      <c r="O309" s="39">
        <f t="shared" si="46"/>
        <v>18641.536921313411</v>
      </c>
      <c r="S309">
        <f t="shared" si="47"/>
        <v>1</v>
      </c>
      <c r="T309">
        <f t="shared" si="48"/>
        <v>0</v>
      </c>
      <c r="U309">
        <f t="shared" si="49"/>
        <v>1</v>
      </c>
      <c r="V309">
        <f t="shared" si="50"/>
        <v>0</v>
      </c>
      <c r="W309">
        <f t="shared" si="51"/>
        <v>1</v>
      </c>
      <c r="Y309" t="str">
        <f t="shared" si="52"/>
        <v/>
      </c>
    </row>
    <row r="310" spans="8:25">
      <c r="H310">
        <v>78</v>
      </c>
      <c r="I310" s="18">
        <v>12</v>
      </c>
      <c r="J310">
        <v>20</v>
      </c>
      <c r="K310">
        <f t="shared" si="42"/>
        <v>100</v>
      </c>
      <c r="L310" s="39">
        <f t="shared" si="43"/>
        <v>22.61946710584651</v>
      </c>
      <c r="M310">
        <f t="shared" si="44"/>
        <v>460.31337508538434</v>
      </c>
      <c r="N310">
        <f t="shared" si="45"/>
        <v>3644.2151361437636</v>
      </c>
      <c r="O310" s="39">
        <f t="shared" si="46"/>
        <v>19186.972537801099</v>
      </c>
      <c r="S310">
        <f t="shared" si="47"/>
        <v>1</v>
      </c>
      <c r="T310">
        <f t="shared" si="48"/>
        <v>0</v>
      </c>
      <c r="U310">
        <f t="shared" si="49"/>
        <v>1</v>
      </c>
      <c r="V310">
        <f t="shared" si="50"/>
        <v>1</v>
      </c>
      <c r="W310">
        <f t="shared" si="51"/>
        <v>1</v>
      </c>
      <c r="Y310" t="str">
        <f t="shared" si="52"/>
        <v/>
      </c>
    </row>
    <row r="311" spans="8:25">
      <c r="H311">
        <v>79</v>
      </c>
      <c r="I311" s="18">
        <v>38</v>
      </c>
      <c r="J311">
        <v>2</v>
      </c>
      <c r="K311">
        <f t="shared" si="42"/>
        <v>10</v>
      </c>
      <c r="L311" s="39">
        <f t="shared" si="43"/>
        <v>22.682298958918306</v>
      </c>
      <c r="M311">
        <f t="shared" si="44"/>
        <v>505.31337508538434</v>
      </c>
      <c r="N311">
        <f t="shared" si="45"/>
        <v>4011.5841645693481</v>
      </c>
      <c r="O311" s="39">
        <f t="shared" si="46"/>
        <v>19554.341566226682</v>
      </c>
      <c r="S311">
        <f t="shared" si="47"/>
        <v>1</v>
      </c>
      <c r="T311">
        <f t="shared" si="48"/>
        <v>0</v>
      </c>
      <c r="U311">
        <f t="shared" si="49"/>
        <v>0</v>
      </c>
      <c r="V311">
        <f t="shared" si="50"/>
        <v>1</v>
      </c>
      <c r="W311">
        <f t="shared" si="51"/>
        <v>1</v>
      </c>
      <c r="Y311" t="str">
        <f t="shared" si="52"/>
        <v/>
      </c>
    </row>
    <row r="312" spans="8:25">
      <c r="H312">
        <v>80</v>
      </c>
      <c r="I312" s="18">
        <v>22</v>
      </c>
      <c r="J312">
        <v>6</v>
      </c>
      <c r="K312">
        <f t="shared" si="42"/>
        <v>30</v>
      </c>
      <c r="L312" s="39">
        <f t="shared" si="43"/>
        <v>22.807962665061901</v>
      </c>
      <c r="M312">
        <f t="shared" si="44"/>
        <v>495.31337508538434</v>
      </c>
      <c r="N312">
        <f t="shared" si="45"/>
        <v>3953.9811382586367</v>
      </c>
      <c r="O312" s="39">
        <f t="shared" si="46"/>
        <v>19496.738539915972</v>
      </c>
      <c r="S312">
        <f t="shared" si="47"/>
        <v>1</v>
      </c>
      <c r="T312">
        <f t="shared" si="48"/>
        <v>0</v>
      </c>
      <c r="U312">
        <f t="shared" si="49"/>
        <v>1</v>
      </c>
      <c r="V312">
        <f t="shared" si="50"/>
        <v>1</v>
      </c>
      <c r="W312">
        <f t="shared" si="51"/>
        <v>1</v>
      </c>
      <c r="Y312" t="str">
        <f t="shared" si="52"/>
        <v/>
      </c>
    </row>
    <row r="313" spans="8:25">
      <c r="H313">
        <v>81</v>
      </c>
      <c r="I313" s="18">
        <v>8</v>
      </c>
      <c r="J313">
        <v>46</v>
      </c>
      <c r="K313">
        <f t="shared" si="42"/>
        <v>230</v>
      </c>
      <c r="L313" s="39">
        <f t="shared" si="43"/>
        <v>23.122121930420882</v>
      </c>
      <c r="M313">
        <f t="shared" si="44"/>
        <v>395.31337508538434</v>
      </c>
      <c r="N313">
        <f t="shared" si="45"/>
        <v>3199.1694208076615</v>
      </c>
      <c r="O313" s="39">
        <f t="shared" si="46"/>
        <v>18741.926822464997</v>
      </c>
      <c r="S313">
        <f t="shared" si="47"/>
        <v>1</v>
      </c>
      <c r="T313">
        <f t="shared" si="48"/>
        <v>0</v>
      </c>
      <c r="U313">
        <f t="shared" si="49"/>
        <v>1</v>
      </c>
      <c r="V313">
        <f t="shared" si="50"/>
        <v>0</v>
      </c>
      <c r="W313">
        <f t="shared" si="51"/>
        <v>1</v>
      </c>
      <c r="Y313" t="str">
        <f t="shared" si="52"/>
        <v/>
      </c>
    </row>
    <row r="314" spans="8:25">
      <c r="H314">
        <v>82</v>
      </c>
      <c r="I314" s="18">
        <v>10</v>
      </c>
      <c r="J314">
        <v>30</v>
      </c>
      <c r="K314">
        <f t="shared" si="42"/>
        <v>150</v>
      </c>
      <c r="L314" s="39">
        <f t="shared" si="43"/>
        <v>23.561944901923447</v>
      </c>
      <c r="M314">
        <f t="shared" si="44"/>
        <v>435.31337508538434</v>
      </c>
      <c r="N314">
        <f t="shared" si="45"/>
        <v>3589.8904155912564</v>
      </c>
      <c r="O314" s="39">
        <f t="shared" si="46"/>
        <v>19132.647817248591</v>
      </c>
      <c r="S314">
        <f t="shared" si="47"/>
        <v>1</v>
      </c>
      <c r="T314">
        <f t="shared" si="48"/>
        <v>0</v>
      </c>
      <c r="U314">
        <f t="shared" si="49"/>
        <v>1</v>
      </c>
      <c r="V314">
        <f t="shared" si="50"/>
        <v>0</v>
      </c>
      <c r="W314">
        <f t="shared" si="51"/>
        <v>1</v>
      </c>
      <c r="Y314" t="str">
        <f t="shared" si="52"/>
        <v/>
      </c>
    </row>
    <row r="315" spans="8:25">
      <c r="H315">
        <v>83</v>
      </c>
      <c r="I315" s="18">
        <v>16</v>
      </c>
      <c r="J315">
        <v>12</v>
      </c>
      <c r="K315">
        <f t="shared" si="42"/>
        <v>60</v>
      </c>
      <c r="L315" s="39">
        <f t="shared" si="43"/>
        <v>24.127431579569617</v>
      </c>
      <c r="M315">
        <f t="shared" si="44"/>
        <v>480.31337508538434</v>
      </c>
      <c r="N315">
        <f t="shared" si="45"/>
        <v>4056.0548329436692</v>
      </c>
      <c r="O315" s="39">
        <f t="shared" si="46"/>
        <v>19598.812234601002</v>
      </c>
      <c r="S315">
        <f t="shared" si="47"/>
        <v>1</v>
      </c>
      <c r="T315">
        <f t="shared" si="48"/>
        <v>0</v>
      </c>
      <c r="U315">
        <f t="shared" si="49"/>
        <v>1</v>
      </c>
      <c r="V315">
        <f t="shared" si="50"/>
        <v>1</v>
      </c>
      <c r="W315">
        <f t="shared" si="51"/>
        <v>1</v>
      </c>
      <c r="Y315" t="str">
        <f t="shared" si="52"/>
        <v/>
      </c>
    </row>
    <row r="316" spans="8:25">
      <c r="H316">
        <v>84</v>
      </c>
      <c r="I316" s="18">
        <v>8</v>
      </c>
      <c r="J316">
        <v>48</v>
      </c>
      <c r="K316">
        <f t="shared" si="42"/>
        <v>240</v>
      </c>
      <c r="L316" s="39">
        <f t="shared" si="43"/>
        <v>24.127431579569617</v>
      </c>
      <c r="M316">
        <f t="shared" si="44"/>
        <v>390.31337508538434</v>
      </c>
      <c r="N316">
        <f t="shared" si="45"/>
        <v>3296.040738187226</v>
      </c>
      <c r="O316" s="39">
        <f t="shared" si="46"/>
        <v>18838.798139844559</v>
      </c>
      <c r="S316">
        <f t="shared" si="47"/>
        <v>1</v>
      </c>
      <c r="T316">
        <f t="shared" si="48"/>
        <v>0</v>
      </c>
      <c r="U316">
        <f t="shared" si="49"/>
        <v>1</v>
      </c>
      <c r="V316">
        <f t="shared" si="50"/>
        <v>0</v>
      </c>
      <c r="W316">
        <f t="shared" si="51"/>
        <v>1</v>
      </c>
      <c r="Y316" t="str">
        <f t="shared" si="52"/>
        <v/>
      </c>
    </row>
    <row r="317" spans="8:25">
      <c r="H317">
        <v>85</v>
      </c>
      <c r="I317" s="18">
        <v>28</v>
      </c>
      <c r="J317">
        <v>4</v>
      </c>
      <c r="K317">
        <f t="shared" si="42"/>
        <v>20</v>
      </c>
      <c r="L317" s="39">
        <f t="shared" si="43"/>
        <v>24.630086404143974</v>
      </c>
      <c r="M317">
        <f t="shared" si="44"/>
        <v>500.31337508538434</v>
      </c>
      <c r="N317">
        <f t="shared" si="45"/>
        <v>4312.9665801256679</v>
      </c>
      <c r="O317" s="39">
        <f t="shared" si="46"/>
        <v>19855.723981783001</v>
      </c>
      <c r="S317">
        <f t="shared" si="47"/>
        <v>1</v>
      </c>
      <c r="T317">
        <f t="shared" si="48"/>
        <v>0</v>
      </c>
      <c r="U317">
        <f t="shared" si="49"/>
        <v>0</v>
      </c>
      <c r="V317">
        <f t="shared" si="50"/>
        <v>1</v>
      </c>
      <c r="W317">
        <f t="shared" si="51"/>
        <v>1</v>
      </c>
      <c r="Y317" t="str">
        <f t="shared" si="52"/>
        <v/>
      </c>
    </row>
    <row r="318" spans="8:25">
      <c r="H318">
        <v>86</v>
      </c>
      <c r="I318" s="18">
        <v>14</v>
      </c>
      <c r="J318">
        <v>16</v>
      </c>
      <c r="K318">
        <f t="shared" si="42"/>
        <v>80</v>
      </c>
      <c r="L318" s="39">
        <f t="shared" si="43"/>
        <v>24.630086404143974</v>
      </c>
      <c r="M318">
        <f t="shared" si="44"/>
        <v>470.31337508538434</v>
      </c>
      <c r="N318">
        <f t="shared" si="45"/>
        <v>4054.3506728821567</v>
      </c>
      <c r="O318" s="39">
        <f t="shared" si="46"/>
        <v>19597.10807453949</v>
      </c>
      <c r="S318">
        <f t="shared" si="47"/>
        <v>1</v>
      </c>
      <c r="T318">
        <f t="shared" si="48"/>
        <v>0</v>
      </c>
      <c r="U318">
        <f t="shared" si="49"/>
        <v>1</v>
      </c>
      <c r="V318">
        <f t="shared" si="50"/>
        <v>1</v>
      </c>
      <c r="W318">
        <f t="shared" si="51"/>
        <v>1</v>
      </c>
      <c r="Y318" t="str">
        <f t="shared" si="52"/>
        <v/>
      </c>
    </row>
    <row r="319" spans="8:25">
      <c r="H319">
        <v>87</v>
      </c>
      <c r="I319" s="18">
        <v>12</v>
      </c>
      <c r="J319">
        <v>22</v>
      </c>
      <c r="K319">
        <f t="shared" si="42"/>
        <v>110</v>
      </c>
      <c r="L319" s="39">
        <f t="shared" si="43"/>
        <v>24.881413816431159</v>
      </c>
      <c r="M319">
        <f t="shared" si="44"/>
        <v>455.31337508538434</v>
      </c>
      <c r="N319">
        <f t="shared" si="45"/>
        <v>3965.0941755793847</v>
      </c>
      <c r="O319" s="39">
        <f t="shared" si="46"/>
        <v>19507.851577236717</v>
      </c>
      <c r="S319">
        <f t="shared" si="47"/>
        <v>1</v>
      </c>
      <c r="T319">
        <f t="shared" si="48"/>
        <v>0</v>
      </c>
      <c r="U319">
        <f t="shared" si="49"/>
        <v>1</v>
      </c>
      <c r="V319">
        <f t="shared" si="50"/>
        <v>0</v>
      </c>
      <c r="W319">
        <f t="shared" si="51"/>
        <v>1</v>
      </c>
      <c r="Y319" t="str">
        <f t="shared" si="52"/>
        <v/>
      </c>
    </row>
    <row r="320" spans="8:25">
      <c r="H320">
        <v>88</v>
      </c>
      <c r="I320" s="18">
        <v>40</v>
      </c>
      <c r="J320">
        <v>2</v>
      </c>
      <c r="K320">
        <f t="shared" si="42"/>
        <v>10</v>
      </c>
      <c r="L320" s="39">
        <f t="shared" si="43"/>
        <v>25.132741228718345</v>
      </c>
      <c r="M320">
        <f t="shared" si="44"/>
        <v>505.31337508538434</v>
      </c>
      <c r="N320">
        <f t="shared" si="45"/>
        <v>4444.9686034009392</v>
      </c>
      <c r="O320" s="39">
        <f t="shared" si="46"/>
        <v>19987.726005058274</v>
      </c>
      <c r="S320">
        <f t="shared" si="47"/>
        <v>1</v>
      </c>
      <c r="T320">
        <f t="shared" si="48"/>
        <v>0</v>
      </c>
      <c r="U320">
        <f t="shared" si="49"/>
        <v>0</v>
      </c>
      <c r="V320">
        <f t="shared" si="50"/>
        <v>1</v>
      </c>
      <c r="W320">
        <f t="shared" si="51"/>
        <v>1</v>
      </c>
      <c r="Y320" t="str">
        <f t="shared" si="52"/>
        <v/>
      </c>
    </row>
    <row r="321" spans="8:25">
      <c r="H321">
        <v>89</v>
      </c>
      <c r="I321" s="18">
        <v>20</v>
      </c>
      <c r="J321">
        <v>8</v>
      </c>
      <c r="K321">
        <f t="shared" si="42"/>
        <v>40</v>
      </c>
      <c r="L321" s="39">
        <f t="shared" si="43"/>
        <v>25.132741228718345</v>
      </c>
      <c r="M321">
        <f t="shared" si="44"/>
        <v>490.31337508538434</v>
      </c>
      <c r="N321">
        <f t="shared" si="45"/>
        <v>4313.0217119501685</v>
      </c>
      <c r="O321" s="39">
        <f t="shared" si="46"/>
        <v>19855.779113607503</v>
      </c>
      <c r="S321">
        <f t="shared" si="47"/>
        <v>1</v>
      </c>
      <c r="T321">
        <f t="shared" si="48"/>
        <v>0</v>
      </c>
      <c r="U321">
        <f t="shared" si="49"/>
        <v>1</v>
      </c>
      <c r="V321">
        <f t="shared" si="50"/>
        <v>1</v>
      </c>
      <c r="W321">
        <f t="shared" si="51"/>
        <v>1</v>
      </c>
      <c r="Y321" t="str">
        <f t="shared" si="52"/>
        <v/>
      </c>
    </row>
    <row r="322" spans="8:25">
      <c r="H322">
        <v>90</v>
      </c>
      <c r="I322" s="18">
        <v>10</v>
      </c>
      <c r="J322">
        <v>32</v>
      </c>
      <c r="K322">
        <f t="shared" si="42"/>
        <v>160</v>
      </c>
      <c r="L322" s="39">
        <f t="shared" si="43"/>
        <v>25.132741228718345</v>
      </c>
      <c r="M322">
        <f t="shared" si="44"/>
        <v>430.31337508538434</v>
      </c>
      <c r="N322">
        <f t="shared" si="45"/>
        <v>3785.2341461470833</v>
      </c>
      <c r="O322" s="39">
        <f t="shared" si="46"/>
        <v>19327.991547804417</v>
      </c>
      <c r="S322">
        <f t="shared" si="47"/>
        <v>1</v>
      </c>
      <c r="T322">
        <f t="shared" si="48"/>
        <v>0</v>
      </c>
      <c r="U322">
        <f t="shared" si="49"/>
        <v>1</v>
      </c>
      <c r="V322">
        <f t="shared" si="50"/>
        <v>0</v>
      </c>
      <c r="W322">
        <f t="shared" si="51"/>
        <v>1</v>
      </c>
      <c r="Y322" t="str">
        <f t="shared" si="52"/>
        <v/>
      </c>
    </row>
    <row r="323" spans="8:25">
      <c r="H323">
        <v>91</v>
      </c>
      <c r="I323" s="18">
        <v>8</v>
      </c>
      <c r="J323">
        <v>50</v>
      </c>
      <c r="K323">
        <f t="shared" si="42"/>
        <v>250</v>
      </c>
      <c r="L323" s="39">
        <f t="shared" si="43"/>
        <v>25.132741228718352</v>
      </c>
      <c r="M323">
        <f t="shared" si="44"/>
        <v>385.31337508538434</v>
      </c>
      <c r="N323">
        <f t="shared" si="45"/>
        <v>3389.39347179477</v>
      </c>
      <c r="O323" s="39">
        <f t="shared" si="46"/>
        <v>18932.150873452105</v>
      </c>
      <c r="S323">
        <f t="shared" si="47"/>
        <v>1</v>
      </c>
      <c r="T323">
        <f t="shared" si="48"/>
        <v>0</v>
      </c>
      <c r="U323">
        <f t="shared" si="49"/>
        <v>1</v>
      </c>
      <c r="V323">
        <f t="shared" si="50"/>
        <v>0</v>
      </c>
      <c r="W323">
        <f t="shared" si="51"/>
        <v>1</v>
      </c>
      <c r="Y323" t="str">
        <f t="shared" si="52"/>
        <v/>
      </c>
    </row>
    <row r="324" spans="8:25">
      <c r="H324">
        <v>92</v>
      </c>
      <c r="I324" s="18">
        <v>18</v>
      </c>
      <c r="J324">
        <v>10</v>
      </c>
      <c r="K324">
        <f t="shared" si="42"/>
        <v>50</v>
      </c>
      <c r="L324" s="39">
        <f t="shared" si="43"/>
        <v>25.446900494077326</v>
      </c>
      <c r="M324">
        <f t="shared" si="44"/>
        <v>485.31337508538434</v>
      </c>
      <c r="N324">
        <f t="shared" si="45"/>
        <v>4322.4024074849103</v>
      </c>
      <c r="O324" s="39">
        <f t="shared" si="46"/>
        <v>19865.159809142246</v>
      </c>
      <c r="S324">
        <f t="shared" si="47"/>
        <v>1</v>
      </c>
      <c r="T324">
        <f t="shared" si="48"/>
        <v>0</v>
      </c>
      <c r="U324">
        <f t="shared" si="49"/>
        <v>1</v>
      </c>
      <c r="V324">
        <f t="shared" si="50"/>
        <v>1</v>
      </c>
      <c r="W324">
        <f t="shared" si="51"/>
        <v>1</v>
      </c>
      <c r="Y324" t="str">
        <f t="shared" si="52"/>
        <v/>
      </c>
    </row>
    <row r="325" spans="8:25">
      <c r="H325">
        <v>93</v>
      </c>
      <c r="I325" s="18">
        <v>8</v>
      </c>
      <c r="J325">
        <v>52</v>
      </c>
      <c r="K325">
        <f t="shared" si="42"/>
        <v>260</v>
      </c>
      <c r="L325" s="39">
        <f t="shared" si="43"/>
        <v>26.138050877867087</v>
      </c>
      <c r="M325">
        <f t="shared" si="44"/>
        <v>380.31337508538434</v>
      </c>
      <c r="N325">
        <f t="shared" si="45"/>
        <v>3479.2276216302939</v>
      </c>
      <c r="O325" s="39">
        <f t="shared" si="46"/>
        <v>19021.985023287627</v>
      </c>
      <c r="S325">
        <f t="shared" si="47"/>
        <v>1</v>
      </c>
      <c r="T325">
        <f t="shared" si="48"/>
        <v>0</v>
      </c>
      <c r="U325">
        <f t="shared" si="49"/>
        <v>1</v>
      </c>
      <c r="V325">
        <f t="shared" si="50"/>
        <v>0</v>
      </c>
      <c r="W325">
        <f t="shared" si="51"/>
        <v>1</v>
      </c>
      <c r="Y325" t="str">
        <f t="shared" si="52"/>
        <v/>
      </c>
    </row>
    <row r="326" spans="8:25">
      <c r="H326">
        <v>94</v>
      </c>
      <c r="I326" s="18">
        <v>10</v>
      </c>
      <c r="J326">
        <v>34</v>
      </c>
      <c r="K326">
        <f t="shared" si="42"/>
        <v>170</v>
      </c>
      <c r="L326" s="39">
        <f t="shared" si="43"/>
        <v>26.703537555513243</v>
      </c>
      <c r="M326">
        <f t="shared" si="44"/>
        <v>425.31337508538434</v>
      </c>
      <c r="N326">
        <f t="shared" si="45"/>
        <v>3975.0800895591283</v>
      </c>
      <c r="O326" s="39">
        <f t="shared" si="46"/>
        <v>19517.837491216462</v>
      </c>
      <c r="S326">
        <f t="shared" si="47"/>
        <v>1</v>
      </c>
      <c r="T326">
        <f t="shared" si="48"/>
        <v>0</v>
      </c>
      <c r="U326">
        <f t="shared" si="49"/>
        <v>1</v>
      </c>
      <c r="V326">
        <f t="shared" si="50"/>
        <v>0</v>
      </c>
      <c r="W326">
        <f t="shared" si="51"/>
        <v>1</v>
      </c>
      <c r="Y326" t="str">
        <f t="shared" si="52"/>
        <v/>
      </c>
    </row>
    <row r="327" spans="8:25">
      <c r="H327">
        <v>95</v>
      </c>
      <c r="I327" s="18">
        <v>24</v>
      </c>
      <c r="J327">
        <v>6</v>
      </c>
      <c r="K327">
        <f t="shared" si="42"/>
        <v>30</v>
      </c>
      <c r="L327" s="39">
        <f t="shared" si="43"/>
        <v>27.143360527015812</v>
      </c>
      <c r="M327">
        <f t="shared" si="44"/>
        <v>495.31337508538434</v>
      </c>
      <c r="N327">
        <f t="shared" si="45"/>
        <v>4705.5643298284594</v>
      </c>
      <c r="O327" s="39">
        <f t="shared" si="46"/>
        <v>20248.321731485794</v>
      </c>
      <c r="S327">
        <f t="shared" si="47"/>
        <v>1</v>
      </c>
      <c r="T327">
        <f t="shared" si="48"/>
        <v>0</v>
      </c>
      <c r="U327">
        <f t="shared" si="49"/>
        <v>1</v>
      </c>
      <c r="V327">
        <f t="shared" si="50"/>
        <v>1</v>
      </c>
      <c r="W327">
        <f t="shared" si="51"/>
        <v>1</v>
      </c>
      <c r="Y327" t="str">
        <f t="shared" si="52"/>
        <v/>
      </c>
    </row>
    <row r="328" spans="8:25">
      <c r="H328">
        <v>96</v>
      </c>
      <c r="I328" s="18">
        <v>12</v>
      </c>
      <c r="J328">
        <v>24</v>
      </c>
      <c r="K328">
        <f t="shared" si="42"/>
        <v>120</v>
      </c>
      <c r="L328" s="39">
        <f t="shared" si="43"/>
        <v>27.143360527015812</v>
      </c>
      <c r="M328">
        <f t="shared" si="44"/>
        <v>450.31337508538434</v>
      </c>
      <c r="N328">
        <f t="shared" si="45"/>
        <v>4278.0564015279606</v>
      </c>
      <c r="O328" s="39">
        <f t="shared" si="46"/>
        <v>19820.813803185294</v>
      </c>
      <c r="S328">
        <f t="shared" si="47"/>
        <v>1</v>
      </c>
      <c r="T328">
        <f t="shared" si="48"/>
        <v>0</v>
      </c>
      <c r="U328">
        <f t="shared" si="49"/>
        <v>1</v>
      </c>
      <c r="V328">
        <f t="shared" si="50"/>
        <v>0</v>
      </c>
      <c r="W328">
        <f t="shared" si="51"/>
        <v>1</v>
      </c>
      <c r="Y328" t="str">
        <f t="shared" si="52"/>
        <v/>
      </c>
    </row>
    <row r="329" spans="8:25">
      <c r="H329">
        <v>97</v>
      </c>
      <c r="I329" s="18">
        <v>8</v>
      </c>
      <c r="J329">
        <v>54</v>
      </c>
      <c r="K329">
        <f t="shared" si="42"/>
        <v>270</v>
      </c>
      <c r="L329" s="39">
        <f t="shared" si="43"/>
        <v>27.143360527015815</v>
      </c>
      <c r="M329">
        <f t="shared" si="44"/>
        <v>375.31337508538434</v>
      </c>
      <c r="N329">
        <f t="shared" si="45"/>
        <v>3565.5431876937955</v>
      </c>
      <c r="O329" s="39">
        <f t="shared" si="46"/>
        <v>19108.300589351129</v>
      </c>
      <c r="S329">
        <f t="shared" si="47"/>
        <v>1</v>
      </c>
      <c r="T329">
        <f t="shared" si="48"/>
        <v>0</v>
      </c>
      <c r="U329">
        <f t="shared" si="49"/>
        <v>1</v>
      </c>
      <c r="V329">
        <f t="shared" si="50"/>
        <v>0</v>
      </c>
      <c r="W329">
        <f t="shared" si="51"/>
        <v>1</v>
      </c>
      <c r="Y329" t="str">
        <f t="shared" si="52"/>
        <v/>
      </c>
    </row>
    <row r="330" spans="8:25">
      <c r="H330">
        <v>98</v>
      </c>
      <c r="I330" s="18">
        <v>14</v>
      </c>
      <c r="J330">
        <v>18</v>
      </c>
      <c r="K330">
        <f t="shared" si="42"/>
        <v>90</v>
      </c>
      <c r="L330" s="39">
        <f t="shared" si="43"/>
        <v>27.708847204661971</v>
      </c>
      <c r="M330">
        <f t="shared" si="44"/>
        <v>465.31337508538434</v>
      </c>
      <c r="N330">
        <f t="shared" si="45"/>
        <v>4512.6540243842683</v>
      </c>
      <c r="O330" s="39">
        <f t="shared" si="46"/>
        <v>20055.411426041603</v>
      </c>
      <c r="S330">
        <f t="shared" si="47"/>
        <v>1</v>
      </c>
      <c r="T330">
        <f t="shared" si="48"/>
        <v>0</v>
      </c>
      <c r="U330">
        <f t="shared" si="49"/>
        <v>1</v>
      </c>
      <c r="V330">
        <f t="shared" si="50"/>
        <v>1</v>
      </c>
      <c r="W330">
        <f t="shared" si="51"/>
        <v>1</v>
      </c>
      <c r="Y330" t="str">
        <f t="shared" si="52"/>
        <v/>
      </c>
    </row>
    <row r="331" spans="8:25">
      <c r="H331">
        <v>99</v>
      </c>
      <c r="I331" s="18">
        <v>16</v>
      </c>
      <c r="J331">
        <v>14</v>
      </c>
      <c r="K331">
        <f t="shared" si="42"/>
        <v>70</v>
      </c>
      <c r="L331" s="39">
        <f t="shared" si="43"/>
        <v>28.148670176164551</v>
      </c>
      <c r="M331">
        <f t="shared" si="44"/>
        <v>475.31337508538434</v>
      </c>
      <c r="N331">
        <f t="shared" si="45"/>
        <v>4682.8037989593249</v>
      </c>
      <c r="O331" s="39">
        <f t="shared" si="46"/>
        <v>20225.561200616659</v>
      </c>
      <c r="S331">
        <f t="shared" si="47"/>
        <v>1</v>
      </c>
      <c r="T331">
        <f t="shared" si="48"/>
        <v>0</v>
      </c>
      <c r="U331">
        <f t="shared" si="49"/>
        <v>1</v>
      </c>
      <c r="V331">
        <f t="shared" si="50"/>
        <v>1</v>
      </c>
      <c r="W331">
        <f t="shared" si="51"/>
        <v>1</v>
      </c>
      <c r="Y331" t="str">
        <f t="shared" si="52"/>
        <v/>
      </c>
    </row>
    <row r="332" spans="8:25">
      <c r="H332">
        <v>100</v>
      </c>
      <c r="I332" s="18">
        <v>8</v>
      </c>
      <c r="J332">
        <v>56</v>
      </c>
      <c r="K332">
        <f t="shared" si="42"/>
        <v>280</v>
      </c>
      <c r="L332" s="39">
        <f t="shared" si="43"/>
        <v>28.148670176164551</v>
      </c>
      <c r="M332">
        <f t="shared" si="44"/>
        <v>370.31337508538434</v>
      </c>
      <c r="N332">
        <f t="shared" si="45"/>
        <v>3648.340169985278</v>
      </c>
      <c r="O332" s="39">
        <f t="shared" si="46"/>
        <v>19191.097571642611</v>
      </c>
      <c r="S332">
        <f t="shared" si="47"/>
        <v>1</v>
      </c>
      <c r="T332">
        <f t="shared" si="48"/>
        <v>0</v>
      </c>
      <c r="U332">
        <f t="shared" si="49"/>
        <v>1</v>
      </c>
      <c r="V332">
        <f t="shared" si="50"/>
        <v>0</v>
      </c>
      <c r="W332">
        <f t="shared" si="51"/>
        <v>1</v>
      </c>
      <c r="Y332" t="str">
        <f t="shared" si="52"/>
        <v/>
      </c>
    </row>
    <row r="333" spans="8:25">
      <c r="H333">
        <v>101</v>
      </c>
      <c r="I333" s="18">
        <v>30</v>
      </c>
      <c r="J333">
        <v>4</v>
      </c>
      <c r="K333">
        <f t="shared" si="42"/>
        <v>20</v>
      </c>
      <c r="L333" s="39">
        <f t="shared" si="43"/>
        <v>28.274333882308138</v>
      </c>
      <c r="M333">
        <f t="shared" si="44"/>
        <v>500.31337508538434</v>
      </c>
      <c r="N333">
        <f t="shared" si="45"/>
        <v>4951.1095945320176</v>
      </c>
      <c r="O333" s="39">
        <f t="shared" si="46"/>
        <v>20493.866996189354</v>
      </c>
      <c r="S333">
        <f t="shared" si="47"/>
        <v>1</v>
      </c>
      <c r="T333">
        <f t="shared" si="48"/>
        <v>0</v>
      </c>
      <c r="U333">
        <f t="shared" si="49"/>
        <v>0</v>
      </c>
      <c r="V333">
        <f t="shared" si="50"/>
        <v>1</v>
      </c>
      <c r="W333">
        <f t="shared" si="51"/>
        <v>1</v>
      </c>
      <c r="Y333" t="str">
        <f t="shared" si="52"/>
        <v/>
      </c>
    </row>
    <row r="334" spans="8:25">
      <c r="H334">
        <v>102</v>
      </c>
      <c r="I334" s="18">
        <v>10</v>
      </c>
      <c r="J334">
        <v>36</v>
      </c>
      <c r="K334">
        <f t="shared" si="42"/>
        <v>180</v>
      </c>
      <c r="L334" s="39">
        <f t="shared" si="43"/>
        <v>28.274333882308138</v>
      </c>
      <c r="M334">
        <f t="shared" si="44"/>
        <v>420.31337508538434</v>
      </c>
      <c r="N334">
        <f t="shared" si="45"/>
        <v>4159.4282458273901</v>
      </c>
      <c r="O334" s="39">
        <f t="shared" si="46"/>
        <v>19702.185647484723</v>
      </c>
      <c r="S334">
        <f t="shared" si="47"/>
        <v>1</v>
      </c>
      <c r="T334">
        <f t="shared" si="48"/>
        <v>0</v>
      </c>
      <c r="U334">
        <f t="shared" si="49"/>
        <v>1</v>
      </c>
      <c r="V334">
        <f t="shared" si="50"/>
        <v>0</v>
      </c>
      <c r="W334">
        <f t="shared" si="51"/>
        <v>1</v>
      </c>
      <c r="Y334" t="str">
        <f t="shared" si="52"/>
        <v/>
      </c>
    </row>
    <row r="335" spans="8:25">
      <c r="H335">
        <v>103</v>
      </c>
      <c r="I335" s="18">
        <v>8</v>
      </c>
      <c r="J335">
        <v>58</v>
      </c>
      <c r="K335">
        <f t="shared" si="42"/>
        <v>290</v>
      </c>
      <c r="L335" s="39">
        <f t="shared" si="43"/>
        <v>29.153979825313286</v>
      </c>
      <c r="M335">
        <f t="shared" si="44"/>
        <v>365.31337508538434</v>
      </c>
      <c r="N335">
        <f t="shared" si="45"/>
        <v>3727.6185685047399</v>
      </c>
      <c r="O335" s="39">
        <f t="shared" si="46"/>
        <v>19270.375970162073</v>
      </c>
      <c r="S335">
        <f t="shared" si="47"/>
        <v>1</v>
      </c>
      <c r="T335">
        <f t="shared" si="48"/>
        <v>0</v>
      </c>
      <c r="U335">
        <f t="shared" si="49"/>
        <v>1</v>
      </c>
      <c r="V335">
        <f t="shared" si="50"/>
        <v>0</v>
      </c>
      <c r="W335">
        <f t="shared" si="51"/>
        <v>1</v>
      </c>
      <c r="Y335" t="str">
        <f t="shared" si="52"/>
        <v/>
      </c>
    </row>
    <row r="336" spans="8:25">
      <c r="H336">
        <v>104</v>
      </c>
      <c r="I336" s="18">
        <v>12</v>
      </c>
      <c r="J336">
        <v>26</v>
      </c>
      <c r="K336">
        <f t="shared" si="42"/>
        <v>130</v>
      </c>
      <c r="L336" s="39">
        <f t="shared" si="43"/>
        <v>29.405307237600464</v>
      </c>
      <c r="M336">
        <f t="shared" si="44"/>
        <v>445.31337508538434</v>
      </c>
      <c r="N336">
        <f t="shared" si="45"/>
        <v>4583.1018139894895</v>
      </c>
      <c r="O336" s="39">
        <f t="shared" si="46"/>
        <v>20125.859215646822</v>
      </c>
      <c r="S336">
        <f t="shared" si="47"/>
        <v>1</v>
      </c>
      <c r="T336">
        <f t="shared" si="48"/>
        <v>0</v>
      </c>
      <c r="U336">
        <f t="shared" si="49"/>
        <v>1</v>
      </c>
      <c r="V336">
        <f t="shared" si="50"/>
        <v>0</v>
      </c>
      <c r="W336">
        <f t="shared" si="51"/>
        <v>1</v>
      </c>
      <c r="Y336" t="str">
        <f t="shared" si="52"/>
        <v/>
      </c>
    </row>
    <row r="337" spans="8:25">
      <c r="H337">
        <v>105</v>
      </c>
      <c r="I337" s="18">
        <v>25</v>
      </c>
      <c r="J337">
        <v>6</v>
      </c>
      <c r="K337">
        <f t="shared" si="42"/>
        <v>30</v>
      </c>
      <c r="L337" s="39">
        <f t="shared" si="43"/>
        <v>29.45243112740431</v>
      </c>
      <c r="M337">
        <f t="shared" si="44"/>
        <v>495.31337508538434</v>
      </c>
      <c r="N337">
        <f t="shared" si="45"/>
        <v>5105.8640731645619</v>
      </c>
      <c r="O337" s="39">
        <f t="shared" si="46"/>
        <v>20648.621474821895</v>
      </c>
      <c r="S337">
        <f t="shared" si="47"/>
        <v>1</v>
      </c>
      <c r="T337">
        <f t="shared" si="48"/>
        <v>0</v>
      </c>
      <c r="U337">
        <f t="shared" si="49"/>
        <v>1</v>
      </c>
      <c r="V337">
        <f t="shared" si="50"/>
        <v>1</v>
      </c>
      <c r="W337">
        <f t="shared" si="51"/>
        <v>1</v>
      </c>
      <c r="Y337" t="str">
        <f t="shared" si="52"/>
        <v/>
      </c>
    </row>
    <row r="338" spans="8:25">
      <c r="H338">
        <v>106</v>
      </c>
      <c r="I338" s="18">
        <v>10</v>
      </c>
      <c r="J338">
        <v>38</v>
      </c>
      <c r="K338">
        <f t="shared" si="42"/>
        <v>190</v>
      </c>
      <c r="L338" s="39">
        <f t="shared" si="43"/>
        <v>29.845130209103033</v>
      </c>
      <c r="M338">
        <f t="shared" si="44"/>
        <v>415.31337508538434</v>
      </c>
      <c r="N338">
        <f t="shared" si="45"/>
        <v>4338.2786149518706</v>
      </c>
      <c r="O338" s="39">
        <f t="shared" si="46"/>
        <v>19881.036016609207</v>
      </c>
      <c r="S338">
        <f t="shared" si="47"/>
        <v>1</v>
      </c>
      <c r="T338">
        <f t="shared" si="48"/>
        <v>0</v>
      </c>
      <c r="U338">
        <f t="shared" si="49"/>
        <v>1</v>
      </c>
      <c r="V338">
        <f t="shared" si="50"/>
        <v>0</v>
      </c>
      <c r="W338">
        <f t="shared" si="51"/>
        <v>1</v>
      </c>
      <c r="Y338" t="str">
        <f t="shared" si="52"/>
        <v/>
      </c>
    </row>
    <row r="339" spans="8:25">
      <c r="H339">
        <v>107</v>
      </c>
      <c r="I339" s="18">
        <v>8</v>
      </c>
      <c r="J339">
        <v>60</v>
      </c>
      <c r="K339">
        <f t="shared" si="42"/>
        <v>300</v>
      </c>
      <c r="L339" s="39">
        <f t="shared" si="43"/>
        <v>30.159289474462017</v>
      </c>
      <c r="M339">
        <f t="shared" si="44"/>
        <v>360.31337508538434</v>
      </c>
      <c r="N339">
        <f t="shared" si="45"/>
        <v>3803.3783832521808</v>
      </c>
      <c r="O339" s="39">
        <f t="shared" si="46"/>
        <v>19346.135784909515</v>
      </c>
      <c r="S339">
        <f t="shared" si="47"/>
        <v>1</v>
      </c>
      <c r="T339">
        <f t="shared" si="48"/>
        <v>0</v>
      </c>
      <c r="U339">
        <f t="shared" si="49"/>
        <v>1</v>
      </c>
      <c r="V339">
        <f t="shared" si="50"/>
        <v>0</v>
      </c>
      <c r="W339">
        <f t="shared" si="51"/>
        <v>1</v>
      </c>
      <c r="Y339" t="str">
        <f t="shared" si="52"/>
        <v/>
      </c>
    </row>
    <row r="340" spans="8:25">
      <c r="H340">
        <v>108</v>
      </c>
      <c r="I340" s="18">
        <v>22</v>
      </c>
      <c r="J340">
        <v>8</v>
      </c>
      <c r="K340">
        <f t="shared" si="42"/>
        <v>40</v>
      </c>
      <c r="L340" s="39">
        <f t="shared" si="43"/>
        <v>30.410616886749203</v>
      </c>
      <c r="M340">
        <f t="shared" si="44"/>
        <v>490.31337508538434</v>
      </c>
      <c r="N340">
        <f t="shared" si="45"/>
        <v>5218.7562714597052</v>
      </c>
      <c r="O340" s="39">
        <f t="shared" si="46"/>
        <v>20761.513673117039</v>
      </c>
      <c r="S340">
        <f t="shared" si="47"/>
        <v>1</v>
      </c>
      <c r="T340">
        <f t="shared" si="48"/>
        <v>0</v>
      </c>
      <c r="U340">
        <f t="shared" si="49"/>
        <v>1</v>
      </c>
      <c r="V340">
        <f t="shared" si="50"/>
        <v>1</v>
      </c>
      <c r="W340">
        <f t="shared" si="51"/>
        <v>1</v>
      </c>
      <c r="Y340" t="str">
        <f t="shared" si="52"/>
        <v/>
      </c>
    </row>
    <row r="341" spans="8:25">
      <c r="H341">
        <v>109</v>
      </c>
      <c r="I341" s="18">
        <v>18</v>
      </c>
      <c r="J341">
        <v>12</v>
      </c>
      <c r="K341">
        <f t="shared" si="42"/>
        <v>60</v>
      </c>
      <c r="L341" s="39">
        <f t="shared" si="43"/>
        <v>30.536280592892791</v>
      </c>
      <c r="M341">
        <f t="shared" si="44"/>
        <v>480.31337508538434</v>
      </c>
      <c r="N341">
        <f t="shared" si="45"/>
        <v>5133.4443979443295</v>
      </c>
      <c r="O341" s="39">
        <f t="shared" si="46"/>
        <v>20676.201799601666</v>
      </c>
      <c r="S341">
        <f t="shared" si="47"/>
        <v>1</v>
      </c>
      <c r="T341">
        <f t="shared" si="48"/>
        <v>0</v>
      </c>
      <c r="U341">
        <f t="shared" si="49"/>
        <v>1</v>
      </c>
      <c r="V341">
        <f t="shared" si="50"/>
        <v>1</v>
      </c>
      <c r="W341">
        <f t="shared" si="51"/>
        <v>1</v>
      </c>
      <c r="Y341" t="str">
        <f t="shared" si="52"/>
        <v/>
      </c>
    </row>
    <row r="342" spans="8:25">
      <c r="H342">
        <v>110</v>
      </c>
      <c r="I342" s="18">
        <v>14</v>
      </c>
      <c r="J342">
        <v>20</v>
      </c>
      <c r="K342">
        <f t="shared" si="42"/>
        <v>100</v>
      </c>
      <c r="L342" s="39">
        <f t="shared" si="43"/>
        <v>30.787608005179969</v>
      </c>
      <c r="M342">
        <f t="shared" si="44"/>
        <v>460.31337508538434</v>
      </c>
      <c r="N342">
        <f t="shared" si="45"/>
        <v>4960.1817130845657</v>
      </c>
      <c r="O342" s="39">
        <f t="shared" si="46"/>
        <v>20502.939114741901</v>
      </c>
      <c r="S342">
        <f t="shared" si="47"/>
        <v>1</v>
      </c>
      <c r="T342">
        <f t="shared" si="48"/>
        <v>0</v>
      </c>
      <c r="U342">
        <f t="shared" si="49"/>
        <v>1</v>
      </c>
      <c r="V342">
        <f t="shared" si="50"/>
        <v>1</v>
      </c>
      <c r="W342">
        <f t="shared" si="51"/>
        <v>1</v>
      </c>
      <c r="Y342" t="str">
        <f t="shared" si="52"/>
        <v/>
      </c>
    </row>
    <row r="343" spans="8:25">
      <c r="H343">
        <v>111</v>
      </c>
      <c r="I343" s="18">
        <v>8</v>
      </c>
      <c r="J343">
        <v>62</v>
      </c>
      <c r="K343">
        <f t="shared" si="42"/>
        <v>310</v>
      </c>
      <c r="L343" s="39">
        <f t="shared" si="43"/>
        <v>31.164599123610753</v>
      </c>
      <c r="M343">
        <f t="shared" si="44"/>
        <v>355.31337508538434</v>
      </c>
      <c r="N343">
        <f t="shared" si="45"/>
        <v>3875.6196142276012</v>
      </c>
      <c r="O343" s="39">
        <f t="shared" si="46"/>
        <v>19418.377015884937</v>
      </c>
      <c r="S343">
        <f t="shared" si="47"/>
        <v>1</v>
      </c>
      <c r="T343">
        <f t="shared" si="48"/>
        <v>0</v>
      </c>
      <c r="U343">
        <f t="shared" si="49"/>
        <v>1</v>
      </c>
      <c r="V343">
        <f t="shared" si="50"/>
        <v>0</v>
      </c>
      <c r="W343">
        <f t="shared" si="51"/>
        <v>0</v>
      </c>
      <c r="Y343" t="str">
        <f t="shared" si="52"/>
        <v/>
      </c>
    </row>
    <row r="344" spans="8:25">
      <c r="H344">
        <v>112</v>
      </c>
      <c r="I344" s="18">
        <v>20</v>
      </c>
      <c r="J344">
        <v>10</v>
      </c>
      <c r="K344">
        <f t="shared" si="42"/>
        <v>50</v>
      </c>
      <c r="L344" s="39">
        <f t="shared" si="43"/>
        <v>31.415926535897931</v>
      </c>
      <c r="M344">
        <f t="shared" si="44"/>
        <v>485.31337508538434</v>
      </c>
      <c r="N344">
        <f t="shared" si="45"/>
        <v>5336.299268499889</v>
      </c>
      <c r="O344" s="39">
        <f t="shared" si="46"/>
        <v>20879.056670157224</v>
      </c>
      <c r="S344">
        <f t="shared" si="47"/>
        <v>1</v>
      </c>
      <c r="T344">
        <f t="shared" si="48"/>
        <v>0</v>
      </c>
      <c r="U344">
        <f t="shared" si="49"/>
        <v>1</v>
      </c>
      <c r="V344">
        <f t="shared" si="50"/>
        <v>1</v>
      </c>
      <c r="W344">
        <f t="shared" si="51"/>
        <v>1</v>
      </c>
      <c r="Y344" t="str">
        <f t="shared" si="52"/>
        <v/>
      </c>
    </row>
    <row r="345" spans="8:25">
      <c r="H345">
        <v>113</v>
      </c>
      <c r="I345" s="18">
        <v>10</v>
      </c>
      <c r="J345">
        <v>40</v>
      </c>
      <c r="K345">
        <f t="shared" si="42"/>
        <v>200</v>
      </c>
      <c r="L345" s="39">
        <f t="shared" si="43"/>
        <v>31.415926535897931</v>
      </c>
      <c r="M345">
        <f t="shared" si="44"/>
        <v>410.31337508538434</v>
      </c>
      <c r="N345">
        <f t="shared" si="45"/>
        <v>4511.6311969325679</v>
      </c>
      <c r="O345" s="39">
        <f t="shared" si="46"/>
        <v>20054.388598589903</v>
      </c>
      <c r="S345">
        <f t="shared" si="47"/>
        <v>1</v>
      </c>
      <c r="T345">
        <f t="shared" si="48"/>
        <v>0</v>
      </c>
      <c r="U345">
        <f t="shared" si="49"/>
        <v>1</v>
      </c>
      <c r="V345">
        <f t="shared" si="50"/>
        <v>0</v>
      </c>
      <c r="W345">
        <f t="shared" si="51"/>
        <v>1</v>
      </c>
      <c r="Y345" t="str">
        <f t="shared" si="52"/>
        <v/>
      </c>
    </row>
    <row r="346" spans="8:25">
      <c r="H346">
        <v>114</v>
      </c>
      <c r="I346" s="18">
        <v>12</v>
      </c>
      <c r="J346">
        <v>28</v>
      </c>
      <c r="K346">
        <f t="shared" si="42"/>
        <v>140</v>
      </c>
      <c r="L346" s="39">
        <f t="shared" si="43"/>
        <v>31.667253948185113</v>
      </c>
      <c r="M346">
        <f t="shared" si="44"/>
        <v>440.31337508538434</v>
      </c>
      <c r="N346">
        <f t="shared" si="45"/>
        <v>4880.2304129639724</v>
      </c>
      <c r="O346" s="39">
        <f t="shared" si="46"/>
        <v>20422.987814621309</v>
      </c>
      <c r="S346">
        <f t="shared" si="47"/>
        <v>1</v>
      </c>
      <c r="T346">
        <f t="shared" si="48"/>
        <v>0</v>
      </c>
      <c r="U346">
        <f t="shared" si="49"/>
        <v>1</v>
      </c>
      <c r="V346">
        <f t="shared" si="50"/>
        <v>0</v>
      </c>
      <c r="W346">
        <f t="shared" si="51"/>
        <v>1</v>
      </c>
      <c r="Y346" t="str">
        <f t="shared" si="52"/>
        <v/>
      </c>
    </row>
    <row r="347" spans="8:25">
      <c r="H347">
        <v>115</v>
      </c>
      <c r="I347" s="18">
        <v>45</v>
      </c>
      <c r="J347">
        <v>2</v>
      </c>
      <c r="K347">
        <f t="shared" si="42"/>
        <v>10</v>
      </c>
      <c r="L347" s="39">
        <f t="shared" si="43"/>
        <v>31.808625617596654</v>
      </c>
      <c r="M347">
        <f t="shared" si="44"/>
        <v>505.31337508538434</v>
      </c>
      <c r="N347">
        <f t="shared" si="45"/>
        <v>5625.6633886793134</v>
      </c>
      <c r="O347" s="39">
        <f t="shared" si="46"/>
        <v>21168.420790336648</v>
      </c>
      <c r="S347">
        <f t="shared" si="47"/>
        <v>1</v>
      </c>
      <c r="T347">
        <f t="shared" si="48"/>
        <v>0</v>
      </c>
      <c r="U347">
        <f t="shared" si="49"/>
        <v>0</v>
      </c>
      <c r="V347">
        <f t="shared" si="50"/>
        <v>1</v>
      </c>
      <c r="W347">
        <f t="shared" si="51"/>
        <v>1</v>
      </c>
      <c r="Y347" t="str">
        <f t="shared" si="52"/>
        <v/>
      </c>
    </row>
    <row r="348" spans="8:25">
      <c r="H348">
        <v>116</v>
      </c>
      <c r="I348" s="18">
        <v>26</v>
      </c>
      <c r="J348">
        <v>6</v>
      </c>
      <c r="K348">
        <f t="shared" si="42"/>
        <v>30</v>
      </c>
      <c r="L348" s="39">
        <f t="shared" si="43"/>
        <v>31.855749507400507</v>
      </c>
      <c r="M348">
        <f t="shared" si="44"/>
        <v>495.31337508538434</v>
      </c>
      <c r="N348">
        <f t="shared" si="45"/>
        <v>5522.5025815347899</v>
      </c>
      <c r="O348" s="39">
        <f t="shared" si="46"/>
        <v>21065.259983192125</v>
      </c>
      <c r="S348">
        <f t="shared" si="47"/>
        <v>1</v>
      </c>
      <c r="T348">
        <f t="shared" si="48"/>
        <v>0</v>
      </c>
      <c r="U348">
        <f t="shared" si="49"/>
        <v>0</v>
      </c>
      <c r="V348">
        <f t="shared" si="50"/>
        <v>1</v>
      </c>
      <c r="W348">
        <f t="shared" si="51"/>
        <v>1</v>
      </c>
      <c r="Y348" t="str">
        <f t="shared" si="52"/>
        <v/>
      </c>
    </row>
    <row r="349" spans="8:25">
      <c r="H349">
        <v>117</v>
      </c>
      <c r="I349" s="18">
        <v>32</v>
      </c>
      <c r="J349">
        <v>4</v>
      </c>
      <c r="K349">
        <f t="shared" si="42"/>
        <v>20</v>
      </c>
      <c r="L349" s="39">
        <f t="shared" si="43"/>
        <v>32.169908772759484</v>
      </c>
      <c r="M349">
        <f t="shared" si="44"/>
        <v>500.31337508538434</v>
      </c>
      <c r="N349">
        <f t="shared" si="45"/>
        <v>5633.2624720008744</v>
      </c>
      <c r="O349" s="39">
        <f t="shared" si="46"/>
        <v>21176.01987365821</v>
      </c>
      <c r="S349">
        <f t="shared" si="47"/>
        <v>1</v>
      </c>
      <c r="T349">
        <f t="shared" si="48"/>
        <v>0</v>
      </c>
      <c r="U349">
        <f t="shared" si="49"/>
        <v>0</v>
      </c>
      <c r="V349">
        <f t="shared" si="50"/>
        <v>1</v>
      </c>
      <c r="W349">
        <f t="shared" si="51"/>
        <v>1</v>
      </c>
      <c r="Y349" t="str">
        <f t="shared" si="52"/>
        <v/>
      </c>
    </row>
    <row r="350" spans="8:25">
      <c r="H350">
        <v>118</v>
      </c>
      <c r="I350" s="18">
        <v>16</v>
      </c>
      <c r="J350">
        <v>16</v>
      </c>
      <c r="K350">
        <f t="shared" si="42"/>
        <v>80</v>
      </c>
      <c r="L350" s="39">
        <f t="shared" si="43"/>
        <v>32.169908772759484</v>
      </c>
      <c r="M350">
        <f t="shared" si="44"/>
        <v>470.31337508538434</v>
      </c>
      <c r="N350">
        <f t="shared" si="45"/>
        <v>5295.4784298868999</v>
      </c>
      <c r="O350" s="39">
        <f t="shared" si="46"/>
        <v>20838.235831544232</v>
      </c>
      <c r="S350">
        <f t="shared" si="47"/>
        <v>1</v>
      </c>
      <c r="T350">
        <f t="shared" si="48"/>
        <v>0</v>
      </c>
      <c r="U350">
        <f t="shared" si="49"/>
        <v>1</v>
      </c>
      <c r="V350">
        <f t="shared" si="50"/>
        <v>1</v>
      </c>
      <c r="W350">
        <f t="shared" si="51"/>
        <v>1</v>
      </c>
      <c r="Y350" t="str">
        <f t="shared" si="52"/>
        <v/>
      </c>
    </row>
    <row r="351" spans="8:25">
      <c r="H351">
        <v>119</v>
      </c>
      <c r="I351" s="18">
        <v>8</v>
      </c>
      <c r="J351">
        <v>64</v>
      </c>
      <c r="K351">
        <f t="shared" si="42"/>
        <v>320</v>
      </c>
      <c r="L351" s="39">
        <f t="shared" si="43"/>
        <v>32.169908772759484</v>
      </c>
      <c r="M351">
        <f t="shared" si="44"/>
        <v>350.31337508538434</v>
      </c>
      <c r="N351">
        <f t="shared" si="45"/>
        <v>3944.3422614310016</v>
      </c>
      <c r="O351" s="39">
        <f t="shared" si="46"/>
        <v>19487.099663088335</v>
      </c>
      <c r="S351">
        <f t="shared" si="47"/>
        <v>1</v>
      </c>
      <c r="T351">
        <f t="shared" si="48"/>
        <v>0</v>
      </c>
      <c r="U351">
        <f t="shared" si="49"/>
        <v>1</v>
      </c>
      <c r="V351">
        <f t="shared" si="50"/>
        <v>0</v>
      </c>
      <c r="W351">
        <f t="shared" si="51"/>
        <v>0</v>
      </c>
      <c r="Y351" t="str">
        <f t="shared" si="52"/>
        <v/>
      </c>
    </row>
    <row r="352" spans="8:25">
      <c r="H352">
        <v>120</v>
      </c>
      <c r="I352" s="18">
        <v>10</v>
      </c>
      <c r="J352">
        <v>42</v>
      </c>
      <c r="K352">
        <f t="shared" si="42"/>
        <v>210</v>
      </c>
      <c r="L352" s="39">
        <f t="shared" si="43"/>
        <v>32.986722862692829</v>
      </c>
      <c r="M352">
        <f t="shared" si="44"/>
        <v>405.31337508538434</v>
      </c>
      <c r="N352">
        <f t="shared" si="45"/>
        <v>4679.4859917694848</v>
      </c>
      <c r="O352" s="39">
        <f t="shared" si="46"/>
        <v>20222.243393426819</v>
      </c>
      <c r="S352">
        <f t="shared" si="47"/>
        <v>1</v>
      </c>
      <c r="T352">
        <f t="shared" si="48"/>
        <v>0</v>
      </c>
      <c r="U352">
        <f t="shared" si="49"/>
        <v>1</v>
      </c>
      <c r="V352">
        <f t="shared" si="50"/>
        <v>0</v>
      </c>
      <c r="W352">
        <f t="shared" si="51"/>
        <v>1</v>
      </c>
      <c r="Y352" t="str">
        <f t="shared" si="52"/>
        <v/>
      </c>
    </row>
    <row r="353" spans="8:25">
      <c r="H353">
        <v>121</v>
      </c>
      <c r="I353" s="18">
        <v>8</v>
      </c>
      <c r="J353">
        <v>66</v>
      </c>
      <c r="K353">
        <f t="shared" si="42"/>
        <v>330</v>
      </c>
      <c r="L353" s="39">
        <f t="shared" si="43"/>
        <v>33.17521842190822</v>
      </c>
      <c r="M353">
        <f t="shared" si="44"/>
        <v>345.31337508538434</v>
      </c>
      <c r="N353">
        <f t="shared" si="45"/>
        <v>4009.5463248623805</v>
      </c>
      <c r="O353" s="39">
        <f t="shared" si="46"/>
        <v>19552.303726519716</v>
      </c>
      <c r="S353">
        <f t="shared" si="47"/>
        <v>1</v>
      </c>
      <c r="T353">
        <f t="shared" si="48"/>
        <v>0</v>
      </c>
      <c r="U353">
        <f t="shared" si="49"/>
        <v>1</v>
      </c>
      <c r="V353">
        <f t="shared" si="50"/>
        <v>0</v>
      </c>
      <c r="W353">
        <f t="shared" si="51"/>
        <v>0</v>
      </c>
      <c r="Y353" t="str">
        <f t="shared" si="52"/>
        <v/>
      </c>
    </row>
    <row r="354" spans="8:25">
      <c r="H354">
        <v>122</v>
      </c>
      <c r="I354" s="18">
        <v>14</v>
      </c>
      <c r="J354">
        <v>22</v>
      </c>
      <c r="K354">
        <f t="shared" si="42"/>
        <v>110</v>
      </c>
      <c r="L354" s="39">
        <f t="shared" si="43"/>
        <v>33.866368805697959</v>
      </c>
      <c r="M354">
        <f t="shared" si="44"/>
        <v>455.31337508538434</v>
      </c>
      <c r="N354">
        <f t="shared" si="45"/>
        <v>5396.9337389830498</v>
      </c>
      <c r="O354" s="39">
        <f t="shared" si="46"/>
        <v>20939.691140640385</v>
      </c>
      <c r="S354">
        <f t="shared" si="47"/>
        <v>1</v>
      </c>
      <c r="T354">
        <f t="shared" si="48"/>
        <v>0</v>
      </c>
      <c r="U354">
        <f t="shared" si="49"/>
        <v>1</v>
      </c>
      <c r="V354">
        <f t="shared" si="50"/>
        <v>0</v>
      </c>
      <c r="W354">
        <f t="shared" si="51"/>
        <v>1</v>
      </c>
      <c r="Y354" t="str">
        <f t="shared" si="52"/>
        <v/>
      </c>
    </row>
    <row r="355" spans="8:25">
      <c r="H355">
        <v>123</v>
      </c>
      <c r="I355" s="18">
        <v>12</v>
      </c>
      <c r="J355">
        <v>30</v>
      </c>
      <c r="K355">
        <f t="shared" si="42"/>
        <v>150</v>
      </c>
      <c r="L355" s="39">
        <f t="shared" si="43"/>
        <v>33.929200658769759</v>
      </c>
      <c r="M355">
        <f t="shared" si="44"/>
        <v>435.31337508538434</v>
      </c>
      <c r="N355">
        <f t="shared" si="45"/>
        <v>5169.4421984514083</v>
      </c>
      <c r="O355" s="39">
        <f t="shared" si="46"/>
        <v>20712.199600108743</v>
      </c>
      <c r="S355">
        <f t="shared" si="47"/>
        <v>1</v>
      </c>
      <c r="T355">
        <f t="shared" si="48"/>
        <v>0</v>
      </c>
      <c r="U355">
        <f t="shared" si="49"/>
        <v>1</v>
      </c>
      <c r="V355">
        <f t="shared" si="50"/>
        <v>0</v>
      </c>
      <c r="W355">
        <f t="shared" si="51"/>
        <v>1</v>
      </c>
      <c r="Y355" t="str">
        <f t="shared" si="52"/>
        <v/>
      </c>
    </row>
    <row r="356" spans="8:25">
      <c r="H356">
        <v>124</v>
      </c>
      <c r="I356" s="18">
        <v>8</v>
      </c>
      <c r="J356">
        <v>68</v>
      </c>
      <c r="K356">
        <f t="shared" si="42"/>
        <v>340</v>
      </c>
      <c r="L356" s="39">
        <f t="shared" si="43"/>
        <v>34.180528071056955</v>
      </c>
      <c r="M356">
        <f t="shared" si="44"/>
        <v>340.31337508538434</v>
      </c>
      <c r="N356">
        <f t="shared" si="45"/>
        <v>4071.2318045217394</v>
      </c>
      <c r="O356" s="39">
        <f t="shared" si="46"/>
        <v>19613.989206179074</v>
      </c>
      <c r="S356">
        <f t="shared" si="47"/>
        <v>1</v>
      </c>
      <c r="T356">
        <f t="shared" si="48"/>
        <v>0</v>
      </c>
      <c r="U356">
        <f t="shared" si="49"/>
        <v>1</v>
      </c>
      <c r="V356">
        <f t="shared" si="50"/>
        <v>0</v>
      </c>
      <c r="W356">
        <f t="shared" si="51"/>
        <v>0</v>
      </c>
      <c r="Y356" t="str">
        <f t="shared" si="52"/>
        <v/>
      </c>
    </row>
    <row r="357" spans="8:25">
      <c r="H357">
        <v>125</v>
      </c>
      <c r="I357" s="18">
        <v>10</v>
      </c>
      <c r="J357">
        <v>44</v>
      </c>
      <c r="K357">
        <f t="shared" si="42"/>
        <v>220</v>
      </c>
      <c r="L357" s="39">
        <f t="shared" si="43"/>
        <v>34.557519189487721</v>
      </c>
      <c r="M357">
        <f t="shared" si="44"/>
        <v>400.31337508538434</v>
      </c>
      <c r="N357">
        <f t="shared" si="45"/>
        <v>4841.8429994626176</v>
      </c>
      <c r="O357" s="39">
        <f t="shared" si="46"/>
        <v>20384.600401119951</v>
      </c>
      <c r="S357">
        <f t="shared" si="47"/>
        <v>1</v>
      </c>
      <c r="T357">
        <f t="shared" si="48"/>
        <v>0</v>
      </c>
      <c r="U357">
        <f t="shared" si="49"/>
        <v>1</v>
      </c>
      <c r="V357">
        <f t="shared" si="50"/>
        <v>0</v>
      </c>
      <c r="W357">
        <f t="shared" si="51"/>
        <v>1</v>
      </c>
      <c r="Y357" t="str">
        <f t="shared" si="52"/>
        <v/>
      </c>
    </row>
    <row r="358" spans="8:25">
      <c r="H358">
        <v>126</v>
      </c>
      <c r="I358" s="18">
        <v>8</v>
      </c>
      <c r="J358">
        <v>70</v>
      </c>
      <c r="K358">
        <f t="shared" si="42"/>
        <v>350</v>
      </c>
      <c r="L358" s="39">
        <f t="shared" si="43"/>
        <v>35.18583772020569</v>
      </c>
      <c r="M358">
        <f t="shared" si="44"/>
        <v>335.31337508538434</v>
      </c>
      <c r="N358">
        <f t="shared" si="45"/>
        <v>4129.3987004090777</v>
      </c>
      <c r="O358" s="39">
        <f t="shared" si="46"/>
        <v>19672.156102066412</v>
      </c>
      <c r="S358">
        <f t="shared" si="47"/>
        <v>1</v>
      </c>
      <c r="T358">
        <f t="shared" si="48"/>
        <v>0</v>
      </c>
      <c r="U358">
        <f t="shared" si="49"/>
        <v>1</v>
      </c>
      <c r="V358">
        <f t="shared" si="50"/>
        <v>0</v>
      </c>
      <c r="W358">
        <f t="shared" si="51"/>
        <v>0</v>
      </c>
      <c r="Y358" t="str">
        <f t="shared" si="52"/>
        <v/>
      </c>
    </row>
    <row r="359" spans="8:25">
      <c r="H359">
        <v>127</v>
      </c>
      <c r="I359" s="18">
        <v>18</v>
      </c>
      <c r="J359">
        <v>14</v>
      </c>
      <c r="K359">
        <f t="shared" si="42"/>
        <v>70</v>
      </c>
      <c r="L359" s="39">
        <f t="shared" si="43"/>
        <v>35.625660691708255</v>
      </c>
      <c r="M359">
        <f t="shared" si="44"/>
        <v>475.31337508538434</v>
      </c>
      <c r="N359">
        <f t="shared" si="45"/>
        <v>5926.6735580578952</v>
      </c>
      <c r="O359" s="39">
        <f t="shared" si="46"/>
        <v>21469.430959715231</v>
      </c>
      <c r="S359">
        <f t="shared" si="47"/>
        <v>1</v>
      </c>
      <c r="T359">
        <f t="shared" si="48"/>
        <v>0</v>
      </c>
      <c r="U359">
        <f t="shared" si="49"/>
        <v>1</v>
      </c>
      <c r="V359">
        <f t="shared" si="50"/>
        <v>1</v>
      </c>
      <c r="W359">
        <f t="shared" si="51"/>
        <v>1</v>
      </c>
      <c r="Y359" t="str">
        <f t="shared" si="52"/>
        <v/>
      </c>
    </row>
    <row r="360" spans="8:25">
      <c r="H360">
        <v>128</v>
      </c>
      <c r="I360" s="18">
        <v>10</v>
      </c>
      <c r="J360">
        <v>46</v>
      </c>
      <c r="K360">
        <f t="shared" si="42"/>
        <v>230</v>
      </c>
      <c r="L360" s="39">
        <f t="shared" si="43"/>
        <v>36.128315516282619</v>
      </c>
      <c r="M360">
        <f t="shared" si="44"/>
        <v>395.31337508538434</v>
      </c>
      <c r="N360">
        <f t="shared" si="45"/>
        <v>4998.70222001197</v>
      </c>
      <c r="O360" s="39">
        <f t="shared" si="46"/>
        <v>20541.459621669303</v>
      </c>
      <c r="S360">
        <f t="shared" si="47"/>
        <v>1</v>
      </c>
      <c r="T360">
        <f t="shared" si="48"/>
        <v>0</v>
      </c>
      <c r="U360">
        <f t="shared" si="49"/>
        <v>1</v>
      </c>
      <c r="V360">
        <f t="shared" si="50"/>
        <v>0</v>
      </c>
      <c r="W360">
        <f t="shared" si="51"/>
        <v>1</v>
      </c>
      <c r="Y360" t="str">
        <f t="shared" si="52"/>
        <v/>
      </c>
    </row>
    <row r="361" spans="8:25">
      <c r="H361">
        <v>129</v>
      </c>
      <c r="I361" s="18">
        <v>24</v>
      </c>
      <c r="J361">
        <v>8</v>
      </c>
      <c r="K361">
        <f t="shared" ref="K361:K424" si="53">$F$230+$F$231*(J361-2)/2</f>
        <v>40</v>
      </c>
      <c r="L361" s="39">
        <f t="shared" ref="L361:L424" si="54">J361*0.25*PI()*(I361/10)^2</f>
        <v>36.191147369354418</v>
      </c>
      <c r="M361">
        <f t="shared" ref="M361:M424" si="55">$F$233-(K361+$F$232)/2</f>
        <v>490.31337508538434</v>
      </c>
      <c r="N361">
        <f t="shared" ref="N361:N424" si="56">L361*$F$235*M361*0.001</f>
        <v>6210.7512652082423</v>
      </c>
      <c r="O361" s="39">
        <f t="shared" ref="O361:O424" si="57">N361+$F$237</f>
        <v>21753.508666865579</v>
      </c>
      <c r="S361">
        <f t="shared" ref="S361:S424" si="58">IF(L361&lt;$F$236,1,0)</f>
        <v>1</v>
      </c>
      <c r="T361">
        <f t="shared" ref="T361:T424" si="59">IF(O361&gt;$F$234,1,0)</f>
        <v>0</v>
      </c>
      <c r="U361">
        <f t="shared" ref="U361:U424" si="60">IF(I361&lt;=$F$238,1,0)</f>
        <v>1</v>
      </c>
      <c r="V361">
        <f t="shared" ref="V361:V424" si="61">IF(J361&lt;=$F$239,1,0)</f>
        <v>1</v>
      </c>
      <c r="W361">
        <f t="shared" ref="W361:W424" si="62">IF(K361&lt;=$F$240,1,0)</f>
        <v>1</v>
      </c>
      <c r="Y361" t="str">
        <f t="shared" ref="Y361:Y424" si="63">IF(SUM(S361:W361)=5,H361,"")</f>
        <v/>
      </c>
    </row>
    <row r="362" spans="8:25">
      <c r="H362">
        <v>130</v>
      </c>
      <c r="I362" s="18">
        <v>12</v>
      </c>
      <c r="J362">
        <v>32</v>
      </c>
      <c r="K362">
        <f t="shared" si="53"/>
        <v>160</v>
      </c>
      <c r="L362" s="39">
        <f t="shared" si="54"/>
        <v>36.191147369354418</v>
      </c>
      <c r="M362">
        <f t="shared" si="55"/>
        <v>430.31337508538434</v>
      </c>
      <c r="N362">
        <f t="shared" si="56"/>
        <v>5450.7371704518</v>
      </c>
      <c r="O362" s="39">
        <f t="shared" si="57"/>
        <v>20993.494572109135</v>
      </c>
      <c r="S362">
        <f t="shared" si="58"/>
        <v>1</v>
      </c>
      <c r="T362">
        <f t="shared" si="59"/>
        <v>0</v>
      </c>
      <c r="U362">
        <f t="shared" si="60"/>
        <v>1</v>
      </c>
      <c r="V362">
        <f t="shared" si="61"/>
        <v>0</v>
      </c>
      <c r="W362">
        <f t="shared" si="62"/>
        <v>1</v>
      </c>
      <c r="Y362" t="str">
        <f t="shared" si="63"/>
        <v/>
      </c>
    </row>
    <row r="363" spans="8:25">
      <c r="H363">
        <v>131</v>
      </c>
      <c r="I363" s="18">
        <v>16</v>
      </c>
      <c r="J363">
        <v>18</v>
      </c>
      <c r="K363">
        <f t="shared" si="53"/>
        <v>90</v>
      </c>
      <c r="L363" s="39">
        <f t="shared" si="54"/>
        <v>36.191147369354425</v>
      </c>
      <c r="M363">
        <f t="shared" si="55"/>
        <v>465.31337508538434</v>
      </c>
      <c r="N363">
        <f t="shared" si="56"/>
        <v>5894.0787257263919</v>
      </c>
      <c r="O363" s="39">
        <f t="shared" si="57"/>
        <v>21436.836127383725</v>
      </c>
      <c r="S363">
        <f t="shared" si="58"/>
        <v>1</v>
      </c>
      <c r="T363">
        <f t="shared" si="59"/>
        <v>0</v>
      </c>
      <c r="U363">
        <f t="shared" si="60"/>
        <v>1</v>
      </c>
      <c r="V363">
        <f t="shared" si="61"/>
        <v>1</v>
      </c>
      <c r="W363">
        <f t="shared" si="62"/>
        <v>1</v>
      </c>
      <c r="Y363" t="str">
        <f t="shared" si="63"/>
        <v/>
      </c>
    </row>
    <row r="364" spans="8:25">
      <c r="H364">
        <v>132</v>
      </c>
      <c r="I364" s="18">
        <v>8</v>
      </c>
      <c r="J364">
        <v>72</v>
      </c>
      <c r="K364">
        <f t="shared" si="53"/>
        <v>360</v>
      </c>
      <c r="L364" s="39">
        <f t="shared" si="54"/>
        <v>36.191147369354425</v>
      </c>
      <c r="M364">
        <f t="shared" si="55"/>
        <v>330.31337508538434</v>
      </c>
      <c r="N364">
        <f t="shared" si="56"/>
        <v>4184.0470125243955</v>
      </c>
      <c r="O364" s="39">
        <f t="shared" si="57"/>
        <v>19726.80441418173</v>
      </c>
      <c r="S364">
        <f t="shared" si="58"/>
        <v>1</v>
      </c>
      <c r="T364">
        <f t="shared" si="59"/>
        <v>0</v>
      </c>
      <c r="U364">
        <f t="shared" si="60"/>
        <v>1</v>
      </c>
      <c r="V364">
        <f t="shared" si="61"/>
        <v>0</v>
      </c>
      <c r="W364">
        <f t="shared" si="62"/>
        <v>0</v>
      </c>
      <c r="Y364" t="str">
        <f t="shared" si="63"/>
        <v/>
      </c>
    </row>
    <row r="365" spans="8:25">
      <c r="H365">
        <v>133</v>
      </c>
      <c r="I365" s="18">
        <v>34</v>
      </c>
      <c r="J365">
        <v>4</v>
      </c>
      <c r="K365">
        <f t="shared" si="53"/>
        <v>20</v>
      </c>
      <c r="L365" s="39">
        <f t="shared" si="54"/>
        <v>36.316811075498002</v>
      </c>
      <c r="M365">
        <f t="shared" si="55"/>
        <v>500.31337508538434</v>
      </c>
      <c r="N365">
        <f t="shared" si="56"/>
        <v>6359.4252125322355</v>
      </c>
      <c r="O365" s="39">
        <f t="shared" si="57"/>
        <v>21902.182614189569</v>
      </c>
      <c r="S365">
        <f t="shared" si="58"/>
        <v>1</v>
      </c>
      <c r="T365">
        <f t="shared" si="59"/>
        <v>0</v>
      </c>
      <c r="U365">
        <f t="shared" si="60"/>
        <v>0</v>
      </c>
      <c r="V365">
        <f t="shared" si="61"/>
        <v>1</v>
      </c>
      <c r="W365">
        <f t="shared" si="62"/>
        <v>1</v>
      </c>
      <c r="Y365" t="str">
        <f t="shared" si="63"/>
        <v/>
      </c>
    </row>
    <row r="366" spans="8:25">
      <c r="H366">
        <v>134</v>
      </c>
      <c r="I366" s="18">
        <v>28</v>
      </c>
      <c r="J366">
        <v>6</v>
      </c>
      <c r="K366">
        <f t="shared" si="53"/>
        <v>30</v>
      </c>
      <c r="L366" s="39">
        <f t="shared" si="54"/>
        <v>36.945129606215964</v>
      </c>
      <c r="M366">
        <f t="shared" si="55"/>
        <v>495.31337508538434</v>
      </c>
      <c r="N366">
        <f t="shared" si="56"/>
        <v>6404.7958933776254</v>
      </c>
      <c r="O366" s="39">
        <f t="shared" si="57"/>
        <v>21947.553295034959</v>
      </c>
      <c r="S366">
        <f t="shared" si="58"/>
        <v>1</v>
      </c>
      <c r="T366">
        <f t="shared" si="59"/>
        <v>0</v>
      </c>
      <c r="U366">
        <f t="shared" si="60"/>
        <v>0</v>
      </c>
      <c r="V366">
        <f t="shared" si="61"/>
        <v>1</v>
      </c>
      <c r="W366">
        <f t="shared" si="62"/>
        <v>1</v>
      </c>
      <c r="Y366" t="str">
        <f t="shared" si="63"/>
        <v/>
      </c>
    </row>
    <row r="367" spans="8:25">
      <c r="H367">
        <v>135</v>
      </c>
      <c r="I367" s="18">
        <v>14</v>
      </c>
      <c r="J367">
        <v>24</v>
      </c>
      <c r="K367">
        <f t="shared" si="53"/>
        <v>120</v>
      </c>
      <c r="L367" s="39">
        <f t="shared" si="54"/>
        <v>36.945129606215964</v>
      </c>
      <c r="M367">
        <f t="shared" si="55"/>
        <v>450.31337508538434</v>
      </c>
      <c r="N367">
        <f t="shared" si="56"/>
        <v>5822.9101020797243</v>
      </c>
      <c r="O367" s="39">
        <f t="shared" si="57"/>
        <v>21365.667503737059</v>
      </c>
      <c r="S367">
        <f t="shared" si="58"/>
        <v>1</v>
      </c>
      <c r="T367">
        <f t="shared" si="59"/>
        <v>0</v>
      </c>
      <c r="U367">
        <f t="shared" si="60"/>
        <v>1</v>
      </c>
      <c r="V367">
        <f t="shared" si="61"/>
        <v>0</v>
      </c>
      <c r="W367">
        <f t="shared" si="62"/>
        <v>1</v>
      </c>
      <c r="Y367" t="str">
        <f t="shared" si="63"/>
        <v/>
      </c>
    </row>
    <row r="368" spans="8:25">
      <c r="H368">
        <v>136</v>
      </c>
      <c r="I368" s="18">
        <v>8</v>
      </c>
      <c r="J368">
        <v>74</v>
      </c>
      <c r="K368">
        <f t="shared" si="53"/>
        <v>370</v>
      </c>
      <c r="L368" s="39">
        <f t="shared" si="54"/>
        <v>37.19645701850316</v>
      </c>
      <c r="M368">
        <f t="shared" si="55"/>
        <v>325.31337508538434</v>
      </c>
      <c r="N368">
        <f t="shared" si="56"/>
        <v>4235.1767408676933</v>
      </c>
      <c r="O368" s="39">
        <f t="shared" si="57"/>
        <v>19777.934142525028</v>
      </c>
      <c r="S368">
        <f t="shared" si="58"/>
        <v>1</v>
      </c>
      <c r="T368">
        <f t="shared" si="59"/>
        <v>0</v>
      </c>
      <c r="U368">
        <f t="shared" si="60"/>
        <v>1</v>
      </c>
      <c r="V368">
        <f t="shared" si="61"/>
        <v>0</v>
      </c>
      <c r="W368">
        <f t="shared" si="62"/>
        <v>0</v>
      </c>
      <c r="Y368" t="str">
        <f t="shared" si="63"/>
        <v/>
      </c>
    </row>
    <row r="369" spans="8:25">
      <c r="H369">
        <v>137</v>
      </c>
      <c r="I369" s="18">
        <v>20</v>
      </c>
      <c r="J369">
        <v>12</v>
      </c>
      <c r="K369">
        <f t="shared" si="53"/>
        <v>60</v>
      </c>
      <c r="L369" s="39">
        <f t="shared" si="54"/>
        <v>37.699111843077517</v>
      </c>
      <c r="M369">
        <f t="shared" si="55"/>
        <v>480.31337508538434</v>
      </c>
      <c r="N369">
        <f t="shared" si="56"/>
        <v>6337.5856764744813</v>
      </c>
      <c r="O369" s="39">
        <f t="shared" si="57"/>
        <v>21880.343078131817</v>
      </c>
      <c r="S369">
        <f t="shared" si="58"/>
        <v>1</v>
      </c>
      <c r="T369">
        <f t="shared" si="59"/>
        <v>0</v>
      </c>
      <c r="U369">
        <f t="shared" si="60"/>
        <v>1</v>
      </c>
      <c r="V369">
        <f t="shared" si="61"/>
        <v>1</v>
      </c>
      <c r="W369">
        <f t="shared" si="62"/>
        <v>1</v>
      </c>
      <c r="Y369" t="str">
        <f t="shared" si="63"/>
        <v/>
      </c>
    </row>
    <row r="370" spans="8:25">
      <c r="H370">
        <v>138</v>
      </c>
      <c r="I370" s="18">
        <v>10</v>
      </c>
      <c r="J370">
        <v>48</v>
      </c>
      <c r="K370">
        <f t="shared" si="53"/>
        <v>240</v>
      </c>
      <c r="L370" s="39">
        <f t="shared" si="54"/>
        <v>37.699111843077517</v>
      </c>
      <c r="M370">
        <f t="shared" si="55"/>
        <v>390.31337508538434</v>
      </c>
      <c r="N370">
        <f t="shared" si="56"/>
        <v>5150.0636534175401</v>
      </c>
      <c r="O370" s="39">
        <f t="shared" si="57"/>
        <v>20692.821055074874</v>
      </c>
      <c r="S370">
        <f t="shared" si="58"/>
        <v>1</v>
      </c>
      <c r="T370">
        <f t="shared" si="59"/>
        <v>0</v>
      </c>
      <c r="U370">
        <f t="shared" si="60"/>
        <v>1</v>
      </c>
      <c r="V370">
        <f t="shared" si="61"/>
        <v>0</v>
      </c>
      <c r="W370">
        <f t="shared" si="62"/>
        <v>1</v>
      </c>
      <c r="Y370" t="str">
        <f t="shared" si="63"/>
        <v/>
      </c>
    </row>
    <row r="371" spans="8:25">
      <c r="H371">
        <v>139</v>
      </c>
      <c r="I371" s="18">
        <v>22</v>
      </c>
      <c r="J371">
        <v>10</v>
      </c>
      <c r="K371">
        <f t="shared" si="53"/>
        <v>50</v>
      </c>
      <c r="L371" s="39">
        <f t="shared" si="54"/>
        <v>38.013271108436506</v>
      </c>
      <c r="M371">
        <f t="shared" si="55"/>
        <v>485.31337508538434</v>
      </c>
      <c r="N371">
        <f t="shared" si="56"/>
        <v>6456.9221148848674</v>
      </c>
      <c r="O371" s="39">
        <f t="shared" si="57"/>
        <v>21999.679516542201</v>
      </c>
      <c r="S371">
        <f t="shared" si="58"/>
        <v>1</v>
      </c>
      <c r="T371">
        <f t="shared" si="59"/>
        <v>0</v>
      </c>
      <c r="U371">
        <f t="shared" si="60"/>
        <v>1</v>
      </c>
      <c r="V371">
        <f t="shared" si="61"/>
        <v>1</v>
      </c>
      <c r="W371">
        <f t="shared" si="62"/>
        <v>1</v>
      </c>
      <c r="Y371" t="str">
        <f t="shared" si="63"/>
        <v/>
      </c>
    </row>
    <row r="372" spans="8:25">
      <c r="H372">
        <v>140</v>
      </c>
      <c r="I372" s="18">
        <v>8</v>
      </c>
      <c r="J372">
        <v>76</v>
      </c>
      <c r="K372">
        <f t="shared" si="53"/>
        <v>380</v>
      </c>
      <c r="L372" s="39">
        <f t="shared" si="54"/>
        <v>38.201766667651889</v>
      </c>
      <c r="M372">
        <f t="shared" si="55"/>
        <v>320.31337508538434</v>
      </c>
      <c r="N372">
        <f t="shared" si="56"/>
        <v>4282.7878854389692</v>
      </c>
      <c r="O372" s="39">
        <f t="shared" si="57"/>
        <v>19825.545287096305</v>
      </c>
      <c r="S372">
        <f t="shared" si="58"/>
        <v>1</v>
      </c>
      <c r="T372">
        <f t="shared" si="59"/>
        <v>0</v>
      </c>
      <c r="U372">
        <f t="shared" si="60"/>
        <v>1</v>
      </c>
      <c r="V372">
        <f t="shared" si="61"/>
        <v>0</v>
      </c>
      <c r="W372">
        <f t="shared" si="62"/>
        <v>0</v>
      </c>
      <c r="Y372" t="str">
        <f t="shared" si="63"/>
        <v/>
      </c>
    </row>
    <row r="373" spans="8:25">
      <c r="H373">
        <v>141</v>
      </c>
      <c r="I373" s="18">
        <v>12</v>
      </c>
      <c r="J373">
        <v>34</v>
      </c>
      <c r="K373">
        <f t="shared" si="53"/>
        <v>170</v>
      </c>
      <c r="L373" s="39">
        <f t="shared" si="54"/>
        <v>38.453094079939071</v>
      </c>
      <c r="M373">
        <f t="shared" si="55"/>
        <v>425.31337508538434</v>
      </c>
      <c r="N373">
        <f t="shared" si="56"/>
        <v>5724.1153289651447</v>
      </c>
      <c r="O373" s="39">
        <f t="shared" si="57"/>
        <v>21266.872730622479</v>
      </c>
      <c r="S373">
        <f t="shared" si="58"/>
        <v>1</v>
      </c>
      <c r="T373">
        <f t="shared" si="59"/>
        <v>0</v>
      </c>
      <c r="U373">
        <f t="shared" si="60"/>
        <v>1</v>
      </c>
      <c r="V373">
        <f t="shared" si="61"/>
        <v>0</v>
      </c>
      <c r="W373">
        <f t="shared" si="62"/>
        <v>1</v>
      </c>
      <c r="Y373" t="str">
        <f t="shared" si="63"/>
        <v/>
      </c>
    </row>
    <row r="374" spans="8:25">
      <c r="H374">
        <v>142</v>
      </c>
      <c r="I374" s="18">
        <v>8</v>
      </c>
      <c r="J374">
        <v>78</v>
      </c>
      <c r="K374">
        <f t="shared" si="53"/>
        <v>390</v>
      </c>
      <c r="L374" s="39">
        <f t="shared" si="54"/>
        <v>39.207076316800624</v>
      </c>
      <c r="M374">
        <f t="shared" si="55"/>
        <v>315.31337508538434</v>
      </c>
      <c r="N374">
        <f t="shared" si="56"/>
        <v>4326.880446238225</v>
      </c>
      <c r="O374" s="39">
        <f t="shared" si="57"/>
        <v>19869.637847895559</v>
      </c>
      <c r="S374">
        <f t="shared" si="58"/>
        <v>1</v>
      </c>
      <c r="T374">
        <f t="shared" si="59"/>
        <v>0</v>
      </c>
      <c r="U374">
        <f t="shared" si="60"/>
        <v>1</v>
      </c>
      <c r="V374">
        <f t="shared" si="61"/>
        <v>0</v>
      </c>
      <c r="W374">
        <f t="shared" si="62"/>
        <v>0</v>
      </c>
      <c r="Y374" t="str">
        <f t="shared" si="63"/>
        <v/>
      </c>
    </row>
    <row r="375" spans="8:25">
      <c r="H375">
        <v>143</v>
      </c>
      <c r="I375" s="18">
        <v>50</v>
      </c>
      <c r="J375">
        <v>2</v>
      </c>
      <c r="K375">
        <f t="shared" si="53"/>
        <v>10</v>
      </c>
      <c r="L375" s="39">
        <f t="shared" si="54"/>
        <v>39.269908169872416</v>
      </c>
      <c r="M375">
        <f t="shared" si="55"/>
        <v>505.31337508538434</v>
      </c>
      <c r="N375">
        <f t="shared" si="56"/>
        <v>6945.263442813969</v>
      </c>
      <c r="O375" s="39">
        <f t="shared" si="57"/>
        <v>22488.020844471303</v>
      </c>
      <c r="S375">
        <f t="shared" si="58"/>
        <v>1</v>
      </c>
      <c r="T375">
        <f t="shared" si="59"/>
        <v>0</v>
      </c>
      <c r="U375">
        <f t="shared" si="60"/>
        <v>0</v>
      </c>
      <c r="V375">
        <f t="shared" si="61"/>
        <v>1</v>
      </c>
      <c r="W375">
        <f t="shared" si="62"/>
        <v>1</v>
      </c>
      <c r="Y375" t="str">
        <f t="shared" si="63"/>
        <v/>
      </c>
    </row>
    <row r="376" spans="8:25">
      <c r="H376">
        <v>144</v>
      </c>
      <c r="I376" s="18">
        <v>25</v>
      </c>
      <c r="J376">
        <v>8</v>
      </c>
      <c r="K376">
        <f t="shared" si="53"/>
        <v>40</v>
      </c>
      <c r="L376" s="39">
        <f t="shared" si="54"/>
        <v>39.269908169872416</v>
      </c>
      <c r="M376">
        <f t="shared" si="55"/>
        <v>490.31337508538434</v>
      </c>
      <c r="N376">
        <f t="shared" si="56"/>
        <v>6739.0964249221388</v>
      </c>
      <c r="O376" s="39">
        <f t="shared" si="57"/>
        <v>22281.853826579474</v>
      </c>
      <c r="S376">
        <f t="shared" si="58"/>
        <v>1</v>
      </c>
      <c r="T376">
        <f t="shared" si="59"/>
        <v>0</v>
      </c>
      <c r="U376">
        <f t="shared" si="60"/>
        <v>1</v>
      </c>
      <c r="V376">
        <f t="shared" si="61"/>
        <v>1</v>
      </c>
      <c r="W376">
        <f t="shared" si="62"/>
        <v>1</v>
      </c>
      <c r="Y376" t="str">
        <f t="shared" si="63"/>
        <v/>
      </c>
    </row>
    <row r="377" spans="8:25">
      <c r="H377">
        <v>145</v>
      </c>
      <c r="I377" s="18">
        <v>10</v>
      </c>
      <c r="J377">
        <v>50</v>
      </c>
      <c r="K377">
        <f t="shared" si="53"/>
        <v>250</v>
      </c>
      <c r="L377" s="39">
        <f t="shared" si="54"/>
        <v>39.269908169872416</v>
      </c>
      <c r="M377">
        <f t="shared" si="55"/>
        <v>385.31337508538434</v>
      </c>
      <c r="N377">
        <f t="shared" si="56"/>
        <v>5295.9272996793279</v>
      </c>
      <c r="O377" s="39">
        <f t="shared" si="57"/>
        <v>20838.684701336664</v>
      </c>
      <c r="S377">
        <f t="shared" si="58"/>
        <v>1</v>
      </c>
      <c r="T377">
        <f t="shared" si="59"/>
        <v>0</v>
      </c>
      <c r="U377">
        <f t="shared" si="60"/>
        <v>1</v>
      </c>
      <c r="V377">
        <f t="shared" si="61"/>
        <v>0</v>
      </c>
      <c r="W377">
        <f t="shared" si="62"/>
        <v>1</v>
      </c>
      <c r="Y377" t="str">
        <f t="shared" si="63"/>
        <v/>
      </c>
    </row>
    <row r="378" spans="8:25">
      <c r="H378">
        <v>146</v>
      </c>
      <c r="I378" s="18">
        <v>14</v>
      </c>
      <c r="J378">
        <v>26</v>
      </c>
      <c r="K378">
        <f t="shared" si="53"/>
        <v>130</v>
      </c>
      <c r="L378" s="39">
        <f t="shared" si="54"/>
        <v>40.023890406733962</v>
      </c>
      <c r="M378">
        <f t="shared" si="55"/>
        <v>445.31337508538434</v>
      </c>
      <c r="N378">
        <f t="shared" si="56"/>
        <v>6238.1108023745828</v>
      </c>
      <c r="O378" s="39">
        <f t="shared" si="57"/>
        <v>21780.868204031918</v>
      </c>
      <c r="S378">
        <f t="shared" si="58"/>
        <v>1</v>
      </c>
      <c r="T378">
        <f t="shared" si="59"/>
        <v>0</v>
      </c>
      <c r="U378">
        <f t="shared" si="60"/>
        <v>1</v>
      </c>
      <c r="V378">
        <f t="shared" si="61"/>
        <v>0</v>
      </c>
      <c r="W378">
        <f t="shared" si="62"/>
        <v>1</v>
      </c>
      <c r="Y378" t="str">
        <f t="shared" si="63"/>
        <v/>
      </c>
    </row>
    <row r="379" spans="8:25">
      <c r="H379">
        <v>147</v>
      </c>
      <c r="I379" s="18">
        <v>16</v>
      </c>
      <c r="J379">
        <v>20</v>
      </c>
      <c r="K379">
        <f t="shared" si="53"/>
        <v>100</v>
      </c>
      <c r="L379" s="39">
        <f t="shared" si="54"/>
        <v>40.212385965949359</v>
      </c>
      <c r="M379">
        <f t="shared" si="55"/>
        <v>460.31337508538434</v>
      </c>
      <c r="N379">
        <f t="shared" si="56"/>
        <v>6478.6046864778027</v>
      </c>
      <c r="O379" s="39">
        <f t="shared" si="57"/>
        <v>22021.362088135138</v>
      </c>
      <c r="S379">
        <f t="shared" si="58"/>
        <v>1</v>
      </c>
      <c r="T379">
        <f t="shared" si="59"/>
        <v>0</v>
      </c>
      <c r="U379">
        <f t="shared" si="60"/>
        <v>1</v>
      </c>
      <c r="V379">
        <f t="shared" si="61"/>
        <v>1</v>
      </c>
      <c r="W379">
        <f t="shared" si="62"/>
        <v>1</v>
      </c>
      <c r="Y379" t="str">
        <f t="shared" si="63"/>
        <v/>
      </c>
    </row>
    <row r="380" spans="8:25">
      <c r="H380">
        <v>148</v>
      </c>
      <c r="I380" s="18">
        <v>8</v>
      </c>
      <c r="J380">
        <v>80</v>
      </c>
      <c r="K380">
        <f t="shared" si="53"/>
        <v>400</v>
      </c>
      <c r="L380" s="39">
        <f t="shared" si="54"/>
        <v>40.212385965949359</v>
      </c>
      <c r="M380">
        <f t="shared" si="55"/>
        <v>310.31337508538434</v>
      </c>
      <c r="N380">
        <f t="shared" si="56"/>
        <v>4367.4544232654607</v>
      </c>
      <c r="O380" s="39">
        <f t="shared" si="57"/>
        <v>19910.211824922793</v>
      </c>
      <c r="S380">
        <f t="shared" si="58"/>
        <v>1</v>
      </c>
      <c r="T380">
        <f t="shared" si="59"/>
        <v>0</v>
      </c>
      <c r="U380">
        <f t="shared" si="60"/>
        <v>1</v>
      </c>
      <c r="V380">
        <f t="shared" si="61"/>
        <v>0</v>
      </c>
      <c r="W380">
        <f t="shared" si="62"/>
        <v>0</v>
      </c>
      <c r="Y380" t="str">
        <f t="shared" si="63"/>
        <v/>
      </c>
    </row>
    <row r="381" spans="8:25">
      <c r="H381">
        <v>149</v>
      </c>
      <c r="I381" s="18">
        <v>12</v>
      </c>
      <c r="J381">
        <v>36</v>
      </c>
      <c r="K381">
        <f t="shared" si="53"/>
        <v>180</v>
      </c>
      <c r="L381" s="39">
        <f t="shared" si="54"/>
        <v>40.715040790523716</v>
      </c>
      <c r="M381">
        <f t="shared" si="55"/>
        <v>420.31337508538434</v>
      </c>
      <c r="N381">
        <f t="shared" si="56"/>
        <v>5989.5766739914416</v>
      </c>
      <c r="O381" s="39">
        <f t="shared" si="57"/>
        <v>21532.334075648774</v>
      </c>
      <c r="S381">
        <f t="shared" si="58"/>
        <v>1</v>
      </c>
      <c r="T381">
        <f t="shared" si="59"/>
        <v>0</v>
      </c>
      <c r="U381">
        <f t="shared" si="60"/>
        <v>1</v>
      </c>
      <c r="V381">
        <f t="shared" si="61"/>
        <v>0</v>
      </c>
      <c r="W381">
        <f t="shared" si="62"/>
        <v>1</v>
      </c>
      <c r="Y381" t="str">
        <f t="shared" si="63"/>
        <v/>
      </c>
    </row>
    <row r="382" spans="8:25">
      <c r="H382">
        <v>150</v>
      </c>
      <c r="I382" s="18">
        <v>36</v>
      </c>
      <c r="J382">
        <v>4</v>
      </c>
      <c r="K382">
        <f t="shared" si="53"/>
        <v>20</v>
      </c>
      <c r="L382" s="39">
        <f t="shared" si="54"/>
        <v>40.715040790523723</v>
      </c>
      <c r="M382">
        <f t="shared" si="55"/>
        <v>500.31337508538434</v>
      </c>
      <c r="N382">
        <f t="shared" si="56"/>
        <v>7129.5978161261064</v>
      </c>
      <c r="O382" s="39">
        <f t="shared" si="57"/>
        <v>22672.355217783443</v>
      </c>
      <c r="S382">
        <f t="shared" si="58"/>
        <v>1</v>
      </c>
      <c r="T382">
        <f t="shared" si="59"/>
        <v>0</v>
      </c>
      <c r="U382">
        <f t="shared" si="60"/>
        <v>0</v>
      </c>
      <c r="V382">
        <f t="shared" si="61"/>
        <v>1</v>
      </c>
      <c r="W382">
        <f t="shared" si="62"/>
        <v>1</v>
      </c>
      <c r="Y382" t="str">
        <f t="shared" si="63"/>
        <v/>
      </c>
    </row>
    <row r="383" spans="8:25">
      <c r="H383">
        <v>151</v>
      </c>
      <c r="I383" s="18">
        <v>18</v>
      </c>
      <c r="J383">
        <v>16</v>
      </c>
      <c r="K383">
        <f t="shared" si="53"/>
        <v>80</v>
      </c>
      <c r="L383" s="39">
        <f t="shared" si="54"/>
        <v>40.715040790523723</v>
      </c>
      <c r="M383">
        <f t="shared" si="55"/>
        <v>470.31337508538434</v>
      </c>
      <c r="N383">
        <f t="shared" si="56"/>
        <v>6702.0898878256075</v>
      </c>
      <c r="O383" s="39">
        <f t="shared" si="57"/>
        <v>22244.847289482943</v>
      </c>
      <c r="S383">
        <f t="shared" si="58"/>
        <v>1</v>
      </c>
      <c r="T383">
        <f t="shared" si="59"/>
        <v>0</v>
      </c>
      <c r="U383">
        <f t="shared" si="60"/>
        <v>1</v>
      </c>
      <c r="V383">
        <f t="shared" si="61"/>
        <v>1</v>
      </c>
      <c r="W383">
        <f t="shared" si="62"/>
        <v>1</v>
      </c>
      <c r="Y383" t="str">
        <f t="shared" si="63"/>
        <v/>
      </c>
    </row>
    <row r="384" spans="8:25">
      <c r="H384">
        <v>152</v>
      </c>
      <c r="I384" s="18">
        <v>10</v>
      </c>
      <c r="J384">
        <v>52</v>
      </c>
      <c r="K384">
        <f t="shared" si="53"/>
        <v>260</v>
      </c>
      <c r="L384" s="39">
        <f t="shared" si="54"/>
        <v>40.840704496667314</v>
      </c>
      <c r="M384">
        <f t="shared" si="55"/>
        <v>380.31337508538434</v>
      </c>
      <c r="N384">
        <f t="shared" si="56"/>
        <v>5436.2931587973326</v>
      </c>
      <c r="O384" s="39">
        <f t="shared" si="57"/>
        <v>20979.050560454667</v>
      </c>
      <c r="S384">
        <f t="shared" si="58"/>
        <v>1</v>
      </c>
      <c r="T384">
        <f t="shared" si="59"/>
        <v>0</v>
      </c>
      <c r="U384">
        <f t="shared" si="60"/>
        <v>1</v>
      </c>
      <c r="V384">
        <f t="shared" si="61"/>
        <v>0</v>
      </c>
      <c r="W384">
        <f t="shared" si="62"/>
        <v>1</v>
      </c>
      <c r="Y384" t="str">
        <f t="shared" si="63"/>
        <v/>
      </c>
    </row>
    <row r="385" spans="8:25">
      <c r="H385">
        <v>153</v>
      </c>
      <c r="I385" s="18">
        <v>8</v>
      </c>
      <c r="J385">
        <v>82</v>
      </c>
      <c r="K385">
        <f t="shared" si="53"/>
        <v>410</v>
      </c>
      <c r="L385" s="39">
        <f t="shared" si="54"/>
        <v>41.217695615098087</v>
      </c>
      <c r="M385">
        <f t="shared" si="55"/>
        <v>305.31337508538434</v>
      </c>
      <c r="N385">
        <f t="shared" si="56"/>
        <v>4404.5098165206755</v>
      </c>
      <c r="O385" s="39">
        <f t="shared" si="57"/>
        <v>19947.267218178011</v>
      </c>
      <c r="S385">
        <f t="shared" si="58"/>
        <v>1</v>
      </c>
      <c r="T385">
        <f t="shared" si="59"/>
        <v>0</v>
      </c>
      <c r="U385">
        <f t="shared" si="60"/>
        <v>1</v>
      </c>
      <c r="V385">
        <f t="shared" si="61"/>
        <v>0</v>
      </c>
      <c r="W385">
        <f t="shared" si="62"/>
        <v>0</v>
      </c>
      <c r="Y385" t="str">
        <f t="shared" si="63"/>
        <v/>
      </c>
    </row>
    <row r="386" spans="8:25">
      <c r="H386">
        <v>154</v>
      </c>
      <c r="I386" s="18">
        <v>8</v>
      </c>
      <c r="J386">
        <v>84</v>
      </c>
      <c r="K386">
        <f t="shared" si="53"/>
        <v>420</v>
      </c>
      <c r="L386" s="39">
        <f t="shared" si="54"/>
        <v>42.223005264246829</v>
      </c>
      <c r="M386">
        <f t="shared" si="55"/>
        <v>300.31337508538434</v>
      </c>
      <c r="N386">
        <f t="shared" si="56"/>
        <v>4438.0466260038702</v>
      </c>
      <c r="O386" s="39">
        <f t="shared" si="57"/>
        <v>19980.804027661205</v>
      </c>
      <c r="S386">
        <f t="shared" si="58"/>
        <v>1</v>
      </c>
      <c r="T386">
        <f t="shared" si="59"/>
        <v>0</v>
      </c>
      <c r="U386">
        <f t="shared" si="60"/>
        <v>1</v>
      </c>
      <c r="V386">
        <f t="shared" si="61"/>
        <v>0</v>
      </c>
      <c r="W386">
        <f t="shared" si="62"/>
        <v>0</v>
      </c>
      <c r="Y386" t="str">
        <f t="shared" si="63"/>
        <v/>
      </c>
    </row>
    <row r="387" spans="8:25">
      <c r="H387">
        <v>155</v>
      </c>
      <c r="I387" s="18">
        <v>30</v>
      </c>
      <c r="J387">
        <v>6</v>
      </c>
      <c r="K387">
        <f t="shared" si="53"/>
        <v>30</v>
      </c>
      <c r="L387" s="39">
        <f t="shared" si="54"/>
        <v>42.411500823462205</v>
      </c>
      <c r="M387">
        <f t="shared" si="55"/>
        <v>495.31337508538434</v>
      </c>
      <c r="N387">
        <f t="shared" si="56"/>
        <v>7352.4442653569677</v>
      </c>
      <c r="O387" s="39">
        <f t="shared" si="57"/>
        <v>22895.201667014302</v>
      </c>
      <c r="S387">
        <f t="shared" si="58"/>
        <v>1</v>
      </c>
      <c r="T387">
        <f t="shared" si="59"/>
        <v>0</v>
      </c>
      <c r="U387">
        <f t="shared" si="60"/>
        <v>0</v>
      </c>
      <c r="V387">
        <f t="shared" si="61"/>
        <v>1</v>
      </c>
      <c r="W387">
        <f t="shared" si="62"/>
        <v>1</v>
      </c>
      <c r="Y387" t="str">
        <f t="shared" si="63"/>
        <v/>
      </c>
    </row>
    <row r="388" spans="8:25">
      <c r="H388">
        <v>156</v>
      </c>
      <c r="I388" s="18">
        <v>10</v>
      </c>
      <c r="J388">
        <v>54</v>
      </c>
      <c r="K388">
        <f t="shared" si="53"/>
        <v>270</v>
      </c>
      <c r="L388" s="39">
        <f t="shared" si="54"/>
        <v>42.411500823462205</v>
      </c>
      <c r="M388">
        <f t="shared" si="55"/>
        <v>375.31337508538434</v>
      </c>
      <c r="N388">
        <f t="shared" si="56"/>
        <v>5571.161230771555</v>
      </c>
      <c r="O388" s="39">
        <f t="shared" si="57"/>
        <v>21113.918632428889</v>
      </c>
      <c r="S388">
        <f t="shared" si="58"/>
        <v>1</v>
      </c>
      <c r="T388">
        <f t="shared" si="59"/>
        <v>0</v>
      </c>
      <c r="U388">
        <f t="shared" si="60"/>
        <v>1</v>
      </c>
      <c r="V388">
        <f t="shared" si="61"/>
        <v>0</v>
      </c>
      <c r="W388">
        <f t="shared" si="62"/>
        <v>1</v>
      </c>
      <c r="Y388" t="str">
        <f t="shared" si="63"/>
        <v/>
      </c>
    </row>
    <row r="389" spans="8:25">
      <c r="H389">
        <v>157</v>
      </c>
      <c r="I389" s="18">
        <v>26</v>
      </c>
      <c r="J389">
        <v>8</v>
      </c>
      <c r="K389">
        <f t="shared" si="53"/>
        <v>40</v>
      </c>
      <c r="L389" s="39">
        <f t="shared" si="54"/>
        <v>42.474332676534004</v>
      </c>
      <c r="M389">
        <f t="shared" si="55"/>
        <v>490.31337508538434</v>
      </c>
      <c r="N389">
        <f t="shared" si="56"/>
        <v>7289.0066931957854</v>
      </c>
      <c r="O389" s="39">
        <f t="shared" si="57"/>
        <v>22831.764094853119</v>
      </c>
      <c r="S389">
        <f t="shared" si="58"/>
        <v>1</v>
      </c>
      <c r="T389">
        <f t="shared" si="59"/>
        <v>0</v>
      </c>
      <c r="U389">
        <f t="shared" si="60"/>
        <v>0</v>
      </c>
      <c r="V389">
        <f t="shared" si="61"/>
        <v>1</v>
      </c>
      <c r="W389">
        <f t="shared" si="62"/>
        <v>1</v>
      </c>
      <c r="Y389" t="str">
        <f t="shared" si="63"/>
        <v/>
      </c>
    </row>
    <row r="390" spans="8:25">
      <c r="H390">
        <v>158</v>
      </c>
      <c r="I390" s="18">
        <v>12</v>
      </c>
      <c r="J390">
        <v>38</v>
      </c>
      <c r="K390">
        <f t="shared" si="53"/>
        <v>190</v>
      </c>
      <c r="L390" s="39">
        <f t="shared" si="54"/>
        <v>42.976987501108368</v>
      </c>
      <c r="M390">
        <f t="shared" si="55"/>
        <v>415.31337508538434</v>
      </c>
      <c r="N390">
        <f t="shared" si="56"/>
        <v>6247.1212055306933</v>
      </c>
      <c r="O390" s="39">
        <f t="shared" si="57"/>
        <v>21789.878607188028</v>
      </c>
      <c r="S390">
        <f t="shared" si="58"/>
        <v>1</v>
      </c>
      <c r="T390">
        <f t="shared" si="59"/>
        <v>0</v>
      </c>
      <c r="U390">
        <f t="shared" si="60"/>
        <v>1</v>
      </c>
      <c r="V390">
        <f t="shared" si="61"/>
        <v>0</v>
      </c>
      <c r="W390">
        <f t="shared" si="62"/>
        <v>1</v>
      </c>
      <c r="Y390" t="str">
        <f t="shared" si="63"/>
        <v/>
      </c>
    </row>
    <row r="391" spans="8:25">
      <c r="H391">
        <v>159</v>
      </c>
      <c r="I391" s="18">
        <v>14</v>
      </c>
      <c r="J391">
        <v>28</v>
      </c>
      <c r="K391">
        <f t="shared" si="53"/>
        <v>140</v>
      </c>
      <c r="L391" s="39">
        <f t="shared" si="54"/>
        <v>43.102651207251959</v>
      </c>
      <c r="M391">
        <f t="shared" si="55"/>
        <v>440.31337508538434</v>
      </c>
      <c r="N391">
        <f t="shared" si="56"/>
        <v>6642.535839867629</v>
      </c>
      <c r="O391" s="39">
        <f t="shared" si="57"/>
        <v>22185.293241524963</v>
      </c>
      <c r="S391">
        <f t="shared" si="58"/>
        <v>1</v>
      </c>
      <c r="T391">
        <f t="shared" si="59"/>
        <v>0</v>
      </c>
      <c r="U391">
        <f t="shared" si="60"/>
        <v>1</v>
      </c>
      <c r="V391">
        <f t="shared" si="61"/>
        <v>0</v>
      </c>
      <c r="W391">
        <f t="shared" si="62"/>
        <v>1</v>
      </c>
      <c r="Y391" t="str">
        <f t="shared" si="63"/>
        <v/>
      </c>
    </row>
    <row r="392" spans="8:25">
      <c r="H392">
        <v>160</v>
      </c>
      <c r="I392" s="18">
        <v>8</v>
      </c>
      <c r="J392">
        <v>86</v>
      </c>
      <c r="K392">
        <f t="shared" si="53"/>
        <v>430</v>
      </c>
      <c r="L392" s="39">
        <f t="shared" si="54"/>
        <v>43.228314913395558</v>
      </c>
      <c r="M392">
        <f t="shared" si="55"/>
        <v>295.31337508538434</v>
      </c>
      <c r="N392">
        <f t="shared" si="56"/>
        <v>4468.064851715043</v>
      </c>
      <c r="O392" s="39">
        <f t="shared" si="57"/>
        <v>20010.822253372378</v>
      </c>
      <c r="S392">
        <f t="shared" si="58"/>
        <v>1</v>
      </c>
      <c r="T392">
        <f t="shared" si="59"/>
        <v>0</v>
      </c>
      <c r="U392">
        <f t="shared" si="60"/>
        <v>1</v>
      </c>
      <c r="V392">
        <f t="shared" si="61"/>
        <v>0</v>
      </c>
      <c r="W392">
        <f t="shared" si="62"/>
        <v>0</v>
      </c>
      <c r="Y392" t="str">
        <f t="shared" si="63"/>
        <v/>
      </c>
    </row>
    <row r="393" spans="8:25">
      <c r="H393">
        <v>161</v>
      </c>
      <c r="I393" s="18">
        <v>20</v>
      </c>
      <c r="J393">
        <v>14</v>
      </c>
      <c r="K393">
        <f t="shared" si="53"/>
        <v>70</v>
      </c>
      <c r="L393" s="39">
        <f t="shared" si="54"/>
        <v>43.982297150257104</v>
      </c>
      <c r="M393">
        <f t="shared" si="55"/>
        <v>475.31337508538434</v>
      </c>
      <c r="N393">
        <f t="shared" si="56"/>
        <v>7316.8809358739454</v>
      </c>
      <c r="O393" s="39">
        <f t="shared" si="57"/>
        <v>22859.63833753128</v>
      </c>
      <c r="S393">
        <f t="shared" si="58"/>
        <v>1</v>
      </c>
      <c r="T393">
        <f t="shared" si="59"/>
        <v>0</v>
      </c>
      <c r="U393">
        <f t="shared" si="60"/>
        <v>1</v>
      </c>
      <c r="V393">
        <f t="shared" si="61"/>
        <v>1</v>
      </c>
      <c r="W393">
        <f t="shared" si="62"/>
        <v>1</v>
      </c>
      <c r="Y393" t="str">
        <f t="shared" si="63"/>
        <v/>
      </c>
    </row>
    <row r="394" spans="8:25">
      <c r="H394">
        <v>162</v>
      </c>
      <c r="I394" s="18">
        <v>10</v>
      </c>
      <c r="J394">
        <v>56</v>
      </c>
      <c r="K394">
        <f t="shared" si="53"/>
        <v>280</v>
      </c>
      <c r="L394" s="39">
        <f t="shared" si="54"/>
        <v>43.982297150257104</v>
      </c>
      <c r="M394">
        <f t="shared" si="55"/>
        <v>370.31337508538434</v>
      </c>
      <c r="N394">
        <f t="shared" si="56"/>
        <v>5700.531515601996</v>
      </c>
      <c r="O394" s="39">
        <f t="shared" si="57"/>
        <v>21243.288917259331</v>
      </c>
      <c r="S394">
        <f t="shared" si="58"/>
        <v>1</v>
      </c>
      <c r="T394">
        <f t="shared" si="59"/>
        <v>0</v>
      </c>
      <c r="U394">
        <f t="shared" si="60"/>
        <v>1</v>
      </c>
      <c r="V394">
        <f t="shared" si="61"/>
        <v>0</v>
      </c>
      <c r="W394">
        <f t="shared" si="62"/>
        <v>1</v>
      </c>
      <c r="Y394" t="str">
        <f t="shared" si="63"/>
        <v/>
      </c>
    </row>
    <row r="395" spans="8:25">
      <c r="H395">
        <v>163</v>
      </c>
      <c r="I395" s="18">
        <v>16</v>
      </c>
      <c r="J395">
        <v>22</v>
      </c>
      <c r="K395">
        <f t="shared" si="53"/>
        <v>110</v>
      </c>
      <c r="L395" s="39">
        <f t="shared" si="54"/>
        <v>44.233624562544293</v>
      </c>
      <c r="M395">
        <f t="shared" si="55"/>
        <v>455.31337508538434</v>
      </c>
      <c r="N395">
        <f t="shared" si="56"/>
        <v>7049.0563121411296</v>
      </c>
      <c r="O395" s="39">
        <f t="shared" si="57"/>
        <v>22591.813713798463</v>
      </c>
      <c r="S395">
        <f t="shared" si="58"/>
        <v>1</v>
      </c>
      <c r="T395">
        <f t="shared" si="59"/>
        <v>0</v>
      </c>
      <c r="U395">
        <f t="shared" si="60"/>
        <v>1</v>
      </c>
      <c r="V395">
        <f t="shared" si="61"/>
        <v>0</v>
      </c>
      <c r="W395">
        <f t="shared" si="62"/>
        <v>1</v>
      </c>
      <c r="Y395" t="str">
        <f t="shared" si="63"/>
        <v/>
      </c>
    </row>
    <row r="396" spans="8:25">
      <c r="H396">
        <v>164</v>
      </c>
      <c r="I396" s="18">
        <v>8</v>
      </c>
      <c r="J396">
        <v>88</v>
      </c>
      <c r="K396">
        <f t="shared" si="53"/>
        <v>440</v>
      </c>
      <c r="L396" s="39">
        <f t="shared" si="54"/>
        <v>44.233624562544293</v>
      </c>
      <c r="M396">
        <f t="shared" si="55"/>
        <v>290.31337508538434</v>
      </c>
      <c r="N396">
        <f t="shared" si="56"/>
        <v>4494.5644936541976</v>
      </c>
      <c r="O396" s="39">
        <f t="shared" si="57"/>
        <v>20037.321895311532</v>
      </c>
      <c r="S396">
        <f t="shared" si="58"/>
        <v>1</v>
      </c>
      <c r="T396">
        <f t="shared" si="59"/>
        <v>0</v>
      </c>
      <c r="U396">
        <f t="shared" si="60"/>
        <v>1</v>
      </c>
      <c r="V396">
        <f t="shared" si="61"/>
        <v>0</v>
      </c>
      <c r="W396">
        <f t="shared" si="62"/>
        <v>0</v>
      </c>
      <c r="Y396" t="str">
        <f t="shared" si="63"/>
        <v/>
      </c>
    </row>
    <row r="397" spans="8:25">
      <c r="H397">
        <v>165</v>
      </c>
      <c r="I397" s="18">
        <v>24</v>
      </c>
      <c r="J397">
        <v>10</v>
      </c>
      <c r="K397">
        <f t="shared" si="53"/>
        <v>50</v>
      </c>
      <c r="L397" s="39">
        <f t="shared" si="54"/>
        <v>45.238934211693021</v>
      </c>
      <c r="M397">
        <f t="shared" si="55"/>
        <v>485.31337508538434</v>
      </c>
      <c r="N397">
        <f t="shared" si="56"/>
        <v>7684.270946639841</v>
      </c>
      <c r="O397" s="39">
        <f t="shared" si="57"/>
        <v>23227.028348297175</v>
      </c>
      <c r="S397">
        <f t="shared" si="58"/>
        <v>1</v>
      </c>
      <c r="T397">
        <f t="shared" si="59"/>
        <v>0</v>
      </c>
      <c r="U397">
        <f t="shared" si="60"/>
        <v>1</v>
      </c>
      <c r="V397">
        <f t="shared" si="61"/>
        <v>1</v>
      </c>
      <c r="W397">
        <f t="shared" si="62"/>
        <v>1</v>
      </c>
      <c r="Y397" t="str">
        <f t="shared" si="63"/>
        <v/>
      </c>
    </row>
    <row r="398" spans="8:25">
      <c r="H398">
        <v>166</v>
      </c>
      <c r="I398" s="18">
        <v>12</v>
      </c>
      <c r="J398">
        <v>40</v>
      </c>
      <c r="K398">
        <f t="shared" si="53"/>
        <v>200</v>
      </c>
      <c r="L398" s="39">
        <f t="shared" si="54"/>
        <v>45.238934211693021</v>
      </c>
      <c r="M398">
        <f t="shared" si="55"/>
        <v>410.31337508538434</v>
      </c>
      <c r="N398">
        <f t="shared" si="56"/>
        <v>6496.7489235828989</v>
      </c>
      <c r="O398" s="39">
        <f t="shared" si="57"/>
        <v>22039.506325240232</v>
      </c>
      <c r="S398">
        <f t="shared" si="58"/>
        <v>1</v>
      </c>
      <c r="T398">
        <f t="shared" si="59"/>
        <v>0</v>
      </c>
      <c r="U398">
        <f t="shared" si="60"/>
        <v>1</v>
      </c>
      <c r="V398">
        <f t="shared" si="61"/>
        <v>0</v>
      </c>
      <c r="W398">
        <f t="shared" si="62"/>
        <v>1</v>
      </c>
      <c r="Y398" t="str">
        <f t="shared" si="63"/>
        <v/>
      </c>
    </row>
    <row r="399" spans="8:25">
      <c r="H399">
        <v>167</v>
      </c>
      <c r="I399" s="18">
        <v>8</v>
      </c>
      <c r="J399">
        <v>90</v>
      </c>
      <c r="K399">
        <f t="shared" si="53"/>
        <v>450</v>
      </c>
      <c r="L399" s="39">
        <f t="shared" si="54"/>
        <v>45.238934211693028</v>
      </c>
      <c r="M399">
        <f t="shared" si="55"/>
        <v>285.31337508538434</v>
      </c>
      <c r="N399">
        <f t="shared" si="56"/>
        <v>4517.5455518213294</v>
      </c>
      <c r="O399" s="39">
        <f t="shared" si="57"/>
        <v>20060.302953478662</v>
      </c>
      <c r="S399">
        <f t="shared" si="58"/>
        <v>1</v>
      </c>
      <c r="T399">
        <f t="shared" si="59"/>
        <v>0</v>
      </c>
      <c r="U399">
        <f t="shared" si="60"/>
        <v>1</v>
      </c>
      <c r="V399">
        <f t="shared" si="61"/>
        <v>0</v>
      </c>
      <c r="W399">
        <f t="shared" si="62"/>
        <v>0</v>
      </c>
      <c r="Y399" t="str">
        <f t="shared" si="63"/>
        <v/>
      </c>
    </row>
    <row r="400" spans="8:25">
      <c r="H400">
        <v>168</v>
      </c>
      <c r="I400" s="18">
        <v>38</v>
      </c>
      <c r="J400">
        <v>4</v>
      </c>
      <c r="K400">
        <f t="shared" si="53"/>
        <v>20</v>
      </c>
      <c r="L400" s="39">
        <f t="shared" si="54"/>
        <v>45.364597917836612</v>
      </c>
      <c r="M400">
        <f t="shared" si="55"/>
        <v>500.31337508538434</v>
      </c>
      <c r="N400">
        <f t="shared" si="56"/>
        <v>7943.7802827824826</v>
      </c>
      <c r="O400" s="39">
        <f t="shared" si="57"/>
        <v>23486.537684439816</v>
      </c>
      <c r="S400">
        <f t="shared" si="58"/>
        <v>1</v>
      </c>
      <c r="T400">
        <f t="shared" si="59"/>
        <v>0</v>
      </c>
      <c r="U400">
        <f t="shared" si="60"/>
        <v>0</v>
      </c>
      <c r="V400">
        <f t="shared" si="61"/>
        <v>1</v>
      </c>
      <c r="W400">
        <f t="shared" si="62"/>
        <v>1</v>
      </c>
      <c r="Y400" t="str">
        <f t="shared" si="63"/>
        <v/>
      </c>
    </row>
    <row r="401" spans="8:25">
      <c r="H401">
        <v>169</v>
      </c>
      <c r="I401" s="18">
        <v>10</v>
      </c>
      <c r="J401">
        <v>58</v>
      </c>
      <c r="K401">
        <f t="shared" si="53"/>
        <v>290</v>
      </c>
      <c r="L401" s="39">
        <f t="shared" si="54"/>
        <v>45.553093477052002</v>
      </c>
      <c r="M401">
        <f t="shared" si="55"/>
        <v>365.31337508538434</v>
      </c>
      <c r="N401">
        <f t="shared" si="56"/>
        <v>5824.4040132886557</v>
      </c>
      <c r="O401" s="39">
        <f t="shared" si="57"/>
        <v>21367.161414945989</v>
      </c>
      <c r="S401">
        <f t="shared" si="58"/>
        <v>1</v>
      </c>
      <c r="T401">
        <f t="shared" si="59"/>
        <v>0</v>
      </c>
      <c r="U401">
        <f t="shared" si="60"/>
        <v>1</v>
      </c>
      <c r="V401">
        <f t="shared" si="61"/>
        <v>0</v>
      </c>
      <c r="W401">
        <f t="shared" si="62"/>
        <v>1</v>
      </c>
      <c r="Y401" t="str">
        <f t="shared" si="63"/>
        <v/>
      </c>
    </row>
    <row r="402" spans="8:25">
      <c r="H402">
        <v>170</v>
      </c>
      <c r="I402" s="18">
        <v>22</v>
      </c>
      <c r="J402">
        <v>12</v>
      </c>
      <c r="K402">
        <f t="shared" si="53"/>
        <v>60</v>
      </c>
      <c r="L402" s="39">
        <f t="shared" si="54"/>
        <v>45.615925330123801</v>
      </c>
      <c r="M402">
        <f t="shared" si="55"/>
        <v>480.31337508538434</v>
      </c>
      <c r="N402">
        <f t="shared" si="56"/>
        <v>7668.4786685341232</v>
      </c>
      <c r="O402" s="39">
        <f t="shared" si="57"/>
        <v>23211.236070191459</v>
      </c>
      <c r="S402">
        <f t="shared" si="58"/>
        <v>1</v>
      </c>
      <c r="T402">
        <f t="shared" si="59"/>
        <v>0</v>
      </c>
      <c r="U402">
        <f t="shared" si="60"/>
        <v>1</v>
      </c>
      <c r="V402">
        <f t="shared" si="61"/>
        <v>1</v>
      </c>
      <c r="W402">
        <f t="shared" si="62"/>
        <v>1</v>
      </c>
      <c r="Y402" t="str">
        <f t="shared" si="63"/>
        <v/>
      </c>
    </row>
    <row r="403" spans="8:25">
      <c r="H403">
        <v>171</v>
      </c>
      <c r="I403" s="18">
        <v>18</v>
      </c>
      <c r="J403">
        <v>18</v>
      </c>
      <c r="K403">
        <f t="shared" si="53"/>
        <v>90</v>
      </c>
      <c r="L403" s="39">
        <f t="shared" si="54"/>
        <v>45.804420889339184</v>
      </c>
      <c r="M403">
        <f t="shared" si="55"/>
        <v>465.31337508538434</v>
      </c>
      <c r="N403">
        <f t="shared" si="56"/>
        <v>7459.6933872474638</v>
      </c>
      <c r="O403" s="39">
        <f t="shared" si="57"/>
        <v>23002.450788904796</v>
      </c>
      <c r="S403">
        <f t="shared" si="58"/>
        <v>1</v>
      </c>
      <c r="T403">
        <f t="shared" si="59"/>
        <v>0</v>
      </c>
      <c r="U403">
        <f t="shared" si="60"/>
        <v>1</v>
      </c>
      <c r="V403">
        <f t="shared" si="61"/>
        <v>1</v>
      </c>
      <c r="W403">
        <f t="shared" si="62"/>
        <v>1</v>
      </c>
      <c r="Y403" t="str">
        <f t="shared" si="63"/>
        <v/>
      </c>
    </row>
    <row r="404" spans="8:25">
      <c r="H404">
        <v>172</v>
      </c>
      <c r="I404" s="18">
        <v>14</v>
      </c>
      <c r="J404">
        <v>30</v>
      </c>
      <c r="K404">
        <f t="shared" si="53"/>
        <v>150</v>
      </c>
      <c r="L404" s="39">
        <f t="shared" si="54"/>
        <v>46.18141200776995</v>
      </c>
      <c r="M404">
        <f t="shared" si="55"/>
        <v>435.31337508538434</v>
      </c>
      <c r="N404">
        <f t="shared" si="56"/>
        <v>7036.1852145588609</v>
      </c>
      <c r="O404" s="39">
        <f t="shared" si="57"/>
        <v>22578.942616216194</v>
      </c>
      <c r="S404">
        <f t="shared" si="58"/>
        <v>1</v>
      </c>
      <c r="T404">
        <f t="shared" si="59"/>
        <v>0</v>
      </c>
      <c r="U404">
        <f t="shared" si="60"/>
        <v>1</v>
      </c>
      <c r="V404">
        <f t="shared" si="61"/>
        <v>0</v>
      </c>
      <c r="W404">
        <f t="shared" si="62"/>
        <v>1</v>
      </c>
      <c r="Y404" t="str">
        <f t="shared" si="63"/>
        <v/>
      </c>
    </row>
    <row r="405" spans="8:25">
      <c r="H405">
        <v>173</v>
      </c>
      <c r="I405" s="18">
        <v>8</v>
      </c>
      <c r="J405">
        <v>92</v>
      </c>
      <c r="K405">
        <f t="shared" si="53"/>
        <v>460</v>
      </c>
      <c r="L405" s="39">
        <f t="shared" si="54"/>
        <v>46.244243860841763</v>
      </c>
      <c r="M405">
        <f t="shared" si="55"/>
        <v>280.31337508538434</v>
      </c>
      <c r="N405">
        <f t="shared" si="56"/>
        <v>4537.008026216442</v>
      </c>
      <c r="O405" s="39">
        <f t="shared" si="57"/>
        <v>20079.765427873775</v>
      </c>
      <c r="S405">
        <f t="shared" si="58"/>
        <v>1</v>
      </c>
      <c r="T405">
        <f t="shared" si="59"/>
        <v>0</v>
      </c>
      <c r="U405">
        <f t="shared" si="60"/>
        <v>1</v>
      </c>
      <c r="V405">
        <f t="shared" si="61"/>
        <v>0</v>
      </c>
      <c r="W405">
        <f t="shared" si="62"/>
        <v>0</v>
      </c>
      <c r="Y405" t="str">
        <f t="shared" si="63"/>
        <v/>
      </c>
    </row>
    <row r="406" spans="8:25">
      <c r="H406">
        <v>174</v>
      </c>
      <c r="I406" s="18">
        <v>10</v>
      </c>
      <c r="J406">
        <v>60</v>
      </c>
      <c r="K406">
        <f t="shared" si="53"/>
        <v>300</v>
      </c>
      <c r="L406" s="39">
        <f t="shared" si="54"/>
        <v>47.123889803846893</v>
      </c>
      <c r="M406">
        <f t="shared" si="55"/>
        <v>360.31337508538434</v>
      </c>
      <c r="N406">
        <f t="shared" si="56"/>
        <v>5942.7787238315314</v>
      </c>
      <c r="O406" s="39">
        <f t="shared" si="57"/>
        <v>21485.536125488867</v>
      </c>
      <c r="S406">
        <f t="shared" si="58"/>
        <v>1</v>
      </c>
      <c r="T406">
        <f t="shared" si="59"/>
        <v>0</v>
      </c>
      <c r="U406">
        <f t="shared" si="60"/>
        <v>1</v>
      </c>
      <c r="V406">
        <f t="shared" si="61"/>
        <v>0</v>
      </c>
      <c r="W406">
        <f t="shared" si="62"/>
        <v>1</v>
      </c>
      <c r="Y406" t="str">
        <f t="shared" si="63"/>
        <v/>
      </c>
    </row>
    <row r="407" spans="8:25">
      <c r="H407">
        <v>175</v>
      </c>
      <c r="I407" s="18">
        <v>8</v>
      </c>
      <c r="J407">
        <v>94</v>
      </c>
      <c r="K407">
        <f t="shared" si="53"/>
        <v>470</v>
      </c>
      <c r="L407" s="39">
        <f t="shared" si="54"/>
        <v>47.249553509990498</v>
      </c>
      <c r="M407">
        <f t="shared" si="55"/>
        <v>275.31337508538434</v>
      </c>
      <c r="N407">
        <f t="shared" si="56"/>
        <v>4552.9519168395336</v>
      </c>
      <c r="O407" s="39">
        <f t="shared" si="57"/>
        <v>20095.709318496869</v>
      </c>
      <c r="S407">
        <f t="shared" si="58"/>
        <v>1</v>
      </c>
      <c r="T407">
        <f t="shared" si="59"/>
        <v>0</v>
      </c>
      <c r="U407">
        <f t="shared" si="60"/>
        <v>1</v>
      </c>
      <c r="V407">
        <f t="shared" si="61"/>
        <v>0</v>
      </c>
      <c r="W407">
        <f t="shared" si="62"/>
        <v>0</v>
      </c>
      <c r="Y407" t="str">
        <f t="shared" si="63"/>
        <v/>
      </c>
    </row>
    <row r="408" spans="8:25">
      <c r="H408">
        <v>176</v>
      </c>
      <c r="I408" s="18">
        <v>12</v>
      </c>
      <c r="J408">
        <v>42</v>
      </c>
      <c r="K408">
        <f t="shared" si="53"/>
        <v>210</v>
      </c>
      <c r="L408" s="39">
        <f t="shared" si="54"/>
        <v>47.500880922277673</v>
      </c>
      <c r="M408">
        <f t="shared" si="55"/>
        <v>405.31337508538434</v>
      </c>
      <c r="N408">
        <f t="shared" si="56"/>
        <v>6738.4598281480585</v>
      </c>
      <c r="O408" s="39">
        <f t="shared" si="57"/>
        <v>22281.217229805392</v>
      </c>
      <c r="S408">
        <f t="shared" si="58"/>
        <v>1</v>
      </c>
      <c r="T408">
        <f t="shared" si="59"/>
        <v>0</v>
      </c>
      <c r="U408">
        <f t="shared" si="60"/>
        <v>1</v>
      </c>
      <c r="V408">
        <f t="shared" si="61"/>
        <v>0</v>
      </c>
      <c r="W408">
        <f t="shared" si="62"/>
        <v>1</v>
      </c>
      <c r="Y408" t="str">
        <f t="shared" si="63"/>
        <v/>
      </c>
    </row>
    <row r="409" spans="8:25">
      <c r="H409">
        <v>177</v>
      </c>
      <c r="I409" s="18">
        <v>32</v>
      </c>
      <c r="J409">
        <v>6</v>
      </c>
      <c r="K409">
        <f t="shared" si="53"/>
        <v>30</v>
      </c>
      <c r="L409" s="39">
        <f t="shared" si="54"/>
        <v>48.254863159139234</v>
      </c>
      <c r="M409">
        <f t="shared" si="55"/>
        <v>495.31337508538434</v>
      </c>
      <c r="N409">
        <f t="shared" si="56"/>
        <v>8365.4476974728186</v>
      </c>
      <c r="O409" s="39">
        <f t="shared" si="57"/>
        <v>23908.205099130151</v>
      </c>
      <c r="S409">
        <f t="shared" si="58"/>
        <v>1</v>
      </c>
      <c r="T409">
        <f t="shared" si="59"/>
        <v>0</v>
      </c>
      <c r="U409">
        <f t="shared" si="60"/>
        <v>0</v>
      </c>
      <c r="V409">
        <f t="shared" si="61"/>
        <v>1</v>
      </c>
      <c r="W409">
        <f t="shared" si="62"/>
        <v>1</v>
      </c>
      <c r="Y409" t="str">
        <f t="shared" si="63"/>
        <v/>
      </c>
    </row>
    <row r="410" spans="8:25">
      <c r="H410">
        <v>178</v>
      </c>
      <c r="I410" s="18">
        <v>16</v>
      </c>
      <c r="J410">
        <v>24</v>
      </c>
      <c r="K410">
        <f t="shared" si="53"/>
        <v>120</v>
      </c>
      <c r="L410" s="39">
        <f t="shared" si="54"/>
        <v>48.254863159139234</v>
      </c>
      <c r="M410">
        <f t="shared" si="55"/>
        <v>450.31337508538434</v>
      </c>
      <c r="N410">
        <f t="shared" si="56"/>
        <v>7605.4336027163763</v>
      </c>
      <c r="O410" s="39">
        <f t="shared" si="57"/>
        <v>23148.191004373712</v>
      </c>
      <c r="S410">
        <f t="shared" si="58"/>
        <v>1</v>
      </c>
      <c r="T410">
        <f t="shared" si="59"/>
        <v>0</v>
      </c>
      <c r="U410">
        <f t="shared" si="60"/>
        <v>1</v>
      </c>
      <c r="V410">
        <f t="shared" si="61"/>
        <v>0</v>
      </c>
      <c r="W410">
        <f t="shared" si="62"/>
        <v>1</v>
      </c>
      <c r="Y410" t="str">
        <f t="shared" si="63"/>
        <v/>
      </c>
    </row>
    <row r="411" spans="8:25">
      <c r="H411">
        <v>179</v>
      </c>
      <c r="I411" s="18">
        <v>8</v>
      </c>
      <c r="J411">
        <v>96</v>
      </c>
      <c r="K411">
        <f t="shared" si="53"/>
        <v>480</v>
      </c>
      <c r="L411" s="39">
        <f t="shared" si="54"/>
        <v>48.254863159139234</v>
      </c>
      <c r="M411">
        <f t="shared" si="55"/>
        <v>270.31337508538434</v>
      </c>
      <c r="N411">
        <f t="shared" si="56"/>
        <v>4565.3772236906052</v>
      </c>
      <c r="O411" s="39">
        <f t="shared" si="57"/>
        <v>20108.134625347939</v>
      </c>
      <c r="S411">
        <f t="shared" si="58"/>
        <v>1</v>
      </c>
      <c r="T411">
        <f t="shared" si="59"/>
        <v>0</v>
      </c>
      <c r="U411">
        <f t="shared" si="60"/>
        <v>1</v>
      </c>
      <c r="V411">
        <f t="shared" si="61"/>
        <v>0</v>
      </c>
      <c r="W411">
        <f t="shared" si="62"/>
        <v>0</v>
      </c>
      <c r="Y411" t="str">
        <f t="shared" si="63"/>
        <v/>
      </c>
    </row>
    <row r="412" spans="8:25">
      <c r="H412">
        <v>180</v>
      </c>
      <c r="I412" s="18">
        <v>10</v>
      </c>
      <c r="J412">
        <v>62</v>
      </c>
      <c r="K412">
        <f t="shared" si="53"/>
        <v>310</v>
      </c>
      <c r="L412" s="39">
        <f t="shared" si="54"/>
        <v>48.694686130641792</v>
      </c>
      <c r="M412">
        <f t="shared" si="55"/>
        <v>355.31337508538434</v>
      </c>
      <c r="N412">
        <f t="shared" si="56"/>
        <v>6055.6556472306274</v>
      </c>
      <c r="O412" s="39">
        <f t="shared" si="57"/>
        <v>21598.41304888796</v>
      </c>
      <c r="S412">
        <f t="shared" si="58"/>
        <v>1</v>
      </c>
      <c r="T412">
        <f t="shared" si="59"/>
        <v>0</v>
      </c>
      <c r="U412">
        <f t="shared" si="60"/>
        <v>1</v>
      </c>
      <c r="V412">
        <f t="shared" si="61"/>
        <v>0</v>
      </c>
      <c r="W412">
        <f t="shared" si="62"/>
        <v>0</v>
      </c>
      <c r="Y412" t="str">
        <f t="shared" si="63"/>
        <v/>
      </c>
    </row>
    <row r="413" spans="8:25">
      <c r="H413">
        <v>181</v>
      </c>
      <c r="I413" s="18">
        <v>25</v>
      </c>
      <c r="J413">
        <v>10</v>
      </c>
      <c r="K413">
        <f t="shared" si="53"/>
        <v>50</v>
      </c>
      <c r="L413" s="39">
        <f t="shared" si="54"/>
        <v>49.087385212340514</v>
      </c>
      <c r="M413">
        <f t="shared" si="55"/>
        <v>485.31337508538434</v>
      </c>
      <c r="N413">
        <f t="shared" si="56"/>
        <v>8337.9676070310761</v>
      </c>
      <c r="O413" s="39">
        <f t="shared" si="57"/>
        <v>23880.725008688409</v>
      </c>
      <c r="S413">
        <f t="shared" si="58"/>
        <v>1</v>
      </c>
      <c r="T413">
        <f t="shared" si="59"/>
        <v>0</v>
      </c>
      <c r="U413">
        <f t="shared" si="60"/>
        <v>1</v>
      </c>
      <c r="V413">
        <f t="shared" si="61"/>
        <v>1</v>
      </c>
      <c r="W413">
        <f t="shared" si="62"/>
        <v>1</v>
      </c>
      <c r="Y413" t="str">
        <f t="shared" si="63"/>
        <v/>
      </c>
    </row>
    <row r="414" spans="8:25">
      <c r="H414">
        <v>182</v>
      </c>
      <c r="I414" s="18">
        <v>28</v>
      </c>
      <c r="J414">
        <v>8</v>
      </c>
      <c r="K414">
        <f t="shared" si="53"/>
        <v>40</v>
      </c>
      <c r="L414" s="39">
        <f t="shared" si="54"/>
        <v>49.260172808287948</v>
      </c>
      <c r="M414">
        <f t="shared" si="55"/>
        <v>490.31337508538434</v>
      </c>
      <c r="N414">
        <f t="shared" si="56"/>
        <v>8453.5225554223289</v>
      </c>
      <c r="O414" s="39">
        <f t="shared" si="57"/>
        <v>23996.279957079663</v>
      </c>
      <c r="S414">
        <f t="shared" si="58"/>
        <v>1</v>
      </c>
      <c r="T414">
        <f t="shared" si="59"/>
        <v>0</v>
      </c>
      <c r="U414">
        <f t="shared" si="60"/>
        <v>0</v>
      </c>
      <c r="V414">
        <f t="shared" si="61"/>
        <v>1</v>
      </c>
      <c r="W414">
        <f t="shared" si="62"/>
        <v>1</v>
      </c>
      <c r="Y414" t="str">
        <f t="shared" si="63"/>
        <v/>
      </c>
    </row>
    <row r="415" spans="8:25">
      <c r="H415">
        <v>183</v>
      </c>
      <c r="I415" s="18">
        <v>14</v>
      </c>
      <c r="J415">
        <v>32</v>
      </c>
      <c r="K415">
        <f t="shared" si="53"/>
        <v>160</v>
      </c>
      <c r="L415" s="39">
        <f t="shared" si="54"/>
        <v>49.260172808287948</v>
      </c>
      <c r="M415">
        <f t="shared" si="55"/>
        <v>430.31337508538434</v>
      </c>
      <c r="N415">
        <f t="shared" si="56"/>
        <v>7419.0589264482824</v>
      </c>
      <c r="O415" s="39">
        <f t="shared" si="57"/>
        <v>22961.816328105619</v>
      </c>
      <c r="S415">
        <f t="shared" si="58"/>
        <v>1</v>
      </c>
      <c r="T415">
        <f t="shared" si="59"/>
        <v>0</v>
      </c>
      <c r="U415">
        <f t="shared" si="60"/>
        <v>1</v>
      </c>
      <c r="V415">
        <f t="shared" si="61"/>
        <v>0</v>
      </c>
      <c r="W415">
        <f t="shared" si="62"/>
        <v>1</v>
      </c>
      <c r="Y415" t="str">
        <f t="shared" si="63"/>
        <v/>
      </c>
    </row>
    <row r="416" spans="8:25">
      <c r="H416">
        <v>184</v>
      </c>
      <c r="I416" s="18">
        <v>8</v>
      </c>
      <c r="J416">
        <v>98</v>
      </c>
      <c r="K416">
        <f t="shared" si="53"/>
        <v>490</v>
      </c>
      <c r="L416" s="39">
        <f t="shared" si="54"/>
        <v>49.260172808287962</v>
      </c>
      <c r="M416">
        <f t="shared" si="55"/>
        <v>265.31337508538434</v>
      </c>
      <c r="N416">
        <f t="shared" si="56"/>
        <v>4574.283946769654</v>
      </c>
      <c r="O416" s="39">
        <f t="shared" si="57"/>
        <v>20117.041348426988</v>
      </c>
      <c r="S416">
        <f t="shared" si="58"/>
        <v>1</v>
      </c>
      <c r="T416">
        <f t="shared" si="59"/>
        <v>0</v>
      </c>
      <c r="U416">
        <f t="shared" si="60"/>
        <v>1</v>
      </c>
      <c r="V416">
        <f t="shared" si="61"/>
        <v>0</v>
      </c>
      <c r="W416">
        <f t="shared" si="62"/>
        <v>0</v>
      </c>
      <c r="Y416" t="str">
        <f t="shared" si="63"/>
        <v/>
      </c>
    </row>
    <row r="417" spans="8:25">
      <c r="H417">
        <v>185</v>
      </c>
      <c r="I417" s="18">
        <v>12</v>
      </c>
      <c r="J417">
        <v>44</v>
      </c>
      <c r="K417">
        <f t="shared" si="53"/>
        <v>220</v>
      </c>
      <c r="L417" s="39">
        <f t="shared" si="54"/>
        <v>49.762827632862319</v>
      </c>
      <c r="M417">
        <f t="shared" si="55"/>
        <v>400.31337508538434</v>
      </c>
      <c r="N417">
        <f t="shared" si="56"/>
        <v>6972.2539192261702</v>
      </c>
      <c r="O417" s="39">
        <f t="shared" si="57"/>
        <v>22515.011320883503</v>
      </c>
      <c r="S417">
        <f t="shared" si="58"/>
        <v>1</v>
      </c>
      <c r="T417">
        <f t="shared" si="59"/>
        <v>0</v>
      </c>
      <c r="U417">
        <f t="shared" si="60"/>
        <v>1</v>
      </c>
      <c r="V417">
        <f t="shared" si="61"/>
        <v>0</v>
      </c>
      <c r="W417">
        <f t="shared" si="62"/>
        <v>1</v>
      </c>
      <c r="Y417" t="str">
        <f t="shared" si="63"/>
        <v/>
      </c>
    </row>
    <row r="418" spans="8:25">
      <c r="H418">
        <v>186</v>
      </c>
      <c r="I418" s="18">
        <v>40</v>
      </c>
      <c r="J418">
        <v>4</v>
      </c>
      <c r="K418">
        <f t="shared" si="53"/>
        <v>20</v>
      </c>
      <c r="L418" s="39">
        <f t="shared" si="54"/>
        <v>50.26548245743669</v>
      </c>
      <c r="M418">
        <f t="shared" si="55"/>
        <v>500.31337508538434</v>
      </c>
      <c r="N418">
        <f t="shared" si="56"/>
        <v>8801.972612501364</v>
      </c>
      <c r="O418" s="39">
        <f t="shared" si="57"/>
        <v>24344.730014158697</v>
      </c>
      <c r="S418">
        <f t="shared" si="58"/>
        <v>1</v>
      </c>
      <c r="T418">
        <f t="shared" si="59"/>
        <v>0</v>
      </c>
      <c r="U418">
        <f t="shared" si="60"/>
        <v>0</v>
      </c>
      <c r="V418">
        <f t="shared" si="61"/>
        <v>1</v>
      </c>
      <c r="W418">
        <f t="shared" si="62"/>
        <v>1</v>
      </c>
      <c r="Y418" t="str">
        <f t="shared" si="63"/>
        <v/>
      </c>
    </row>
    <row r="419" spans="8:25">
      <c r="H419">
        <v>187</v>
      </c>
      <c r="I419" s="18">
        <v>20</v>
      </c>
      <c r="J419">
        <v>16</v>
      </c>
      <c r="K419">
        <f t="shared" si="53"/>
        <v>80</v>
      </c>
      <c r="L419" s="39">
        <f t="shared" si="54"/>
        <v>50.26548245743669</v>
      </c>
      <c r="M419">
        <f t="shared" si="55"/>
        <v>470.31337508538434</v>
      </c>
      <c r="N419">
        <f t="shared" si="56"/>
        <v>8274.1850466982796</v>
      </c>
      <c r="O419" s="39">
        <f t="shared" si="57"/>
        <v>23816.942448355614</v>
      </c>
      <c r="S419">
        <f t="shared" si="58"/>
        <v>1</v>
      </c>
      <c r="T419">
        <f t="shared" si="59"/>
        <v>0</v>
      </c>
      <c r="U419">
        <f t="shared" si="60"/>
        <v>1</v>
      </c>
      <c r="V419">
        <f t="shared" si="61"/>
        <v>1</v>
      </c>
      <c r="W419">
        <f t="shared" si="62"/>
        <v>1</v>
      </c>
      <c r="Y419" t="str">
        <f t="shared" si="63"/>
        <v/>
      </c>
    </row>
    <row r="420" spans="8:25">
      <c r="H420">
        <v>188</v>
      </c>
      <c r="I420" s="18">
        <v>10</v>
      </c>
      <c r="J420">
        <v>64</v>
      </c>
      <c r="K420">
        <f t="shared" si="53"/>
        <v>320</v>
      </c>
      <c r="L420" s="39">
        <f t="shared" si="54"/>
        <v>50.26548245743669</v>
      </c>
      <c r="M420">
        <f t="shared" si="55"/>
        <v>350.31337508538434</v>
      </c>
      <c r="N420">
        <f t="shared" si="56"/>
        <v>6163.0347834859385</v>
      </c>
      <c r="O420" s="39">
        <f t="shared" si="57"/>
        <v>21705.792185143273</v>
      </c>
      <c r="S420">
        <f t="shared" si="58"/>
        <v>1</v>
      </c>
      <c r="T420">
        <f t="shared" si="59"/>
        <v>0</v>
      </c>
      <c r="U420">
        <f t="shared" si="60"/>
        <v>1</v>
      </c>
      <c r="V420">
        <f t="shared" si="61"/>
        <v>0</v>
      </c>
      <c r="W420">
        <f t="shared" si="62"/>
        <v>0</v>
      </c>
      <c r="Y420" t="str">
        <f t="shared" si="63"/>
        <v/>
      </c>
    </row>
    <row r="421" spans="8:25">
      <c r="H421">
        <v>189</v>
      </c>
      <c r="I421" s="18">
        <v>8</v>
      </c>
      <c r="J421">
        <v>100</v>
      </c>
      <c r="K421">
        <f t="shared" si="53"/>
        <v>500</v>
      </c>
      <c r="L421" s="39">
        <f t="shared" si="54"/>
        <v>50.265482457436704</v>
      </c>
      <c r="M421">
        <f t="shared" si="55"/>
        <v>260.31337508538434</v>
      </c>
      <c r="N421">
        <f t="shared" si="56"/>
        <v>4579.6720860766845</v>
      </c>
      <c r="O421" s="39">
        <f t="shared" si="57"/>
        <v>20122.429487734018</v>
      </c>
      <c r="S421">
        <f t="shared" si="58"/>
        <v>1</v>
      </c>
      <c r="T421">
        <f t="shared" si="59"/>
        <v>0</v>
      </c>
      <c r="U421">
        <f t="shared" si="60"/>
        <v>1</v>
      </c>
      <c r="V421">
        <f t="shared" si="61"/>
        <v>0</v>
      </c>
      <c r="W421">
        <f t="shared" si="62"/>
        <v>0</v>
      </c>
      <c r="Y421" t="str">
        <f t="shared" si="63"/>
        <v/>
      </c>
    </row>
    <row r="422" spans="8:25">
      <c r="H422">
        <v>190</v>
      </c>
      <c r="I422" s="18">
        <v>18</v>
      </c>
      <c r="J422">
        <v>20</v>
      </c>
      <c r="K422">
        <f t="shared" si="53"/>
        <v>100</v>
      </c>
      <c r="L422" s="39">
        <f t="shared" si="54"/>
        <v>50.893800988154652</v>
      </c>
      <c r="M422">
        <f t="shared" si="55"/>
        <v>460.31337508538434</v>
      </c>
      <c r="N422">
        <f t="shared" si="56"/>
        <v>8199.4840563234666</v>
      </c>
      <c r="O422" s="39">
        <f t="shared" si="57"/>
        <v>23742.241457980803</v>
      </c>
      <c r="S422">
        <f t="shared" si="58"/>
        <v>1</v>
      </c>
      <c r="T422">
        <f t="shared" si="59"/>
        <v>0</v>
      </c>
      <c r="U422">
        <f t="shared" si="60"/>
        <v>1</v>
      </c>
      <c r="V422">
        <f t="shared" si="61"/>
        <v>1</v>
      </c>
      <c r="W422">
        <f t="shared" si="62"/>
        <v>1</v>
      </c>
      <c r="Y422" t="str">
        <f t="shared" si="63"/>
        <v/>
      </c>
    </row>
    <row r="423" spans="8:25">
      <c r="H423">
        <v>191</v>
      </c>
      <c r="I423" s="18">
        <v>10</v>
      </c>
      <c r="J423">
        <v>66</v>
      </c>
      <c r="K423">
        <f t="shared" si="53"/>
        <v>330</v>
      </c>
      <c r="L423" s="39">
        <f t="shared" si="54"/>
        <v>51.836278784231588</v>
      </c>
      <c r="M423">
        <f t="shared" si="55"/>
        <v>345.31337508538434</v>
      </c>
      <c r="N423">
        <f t="shared" si="56"/>
        <v>6264.9161325974692</v>
      </c>
      <c r="O423" s="39">
        <f t="shared" si="57"/>
        <v>21807.673534254805</v>
      </c>
      <c r="S423">
        <f t="shared" si="58"/>
        <v>1</v>
      </c>
      <c r="T423">
        <f t="shared" si="59"/>
        <v>0</v>
      </c>
      <c r="U423">
        <f t="shared" si="60"/>
        <v>1</v>
      </c>
      <c r="V423">
        <f t="shared" si="61"/>
        <v>0</v>
      </c>
      <c r="W423">
        <f t="shared" si="62"/>
        <v>0</v>
      </c>
      <c r="Y423" t="str">
        <f t="shared" si="63"/>
        <v/>
      </c>
    </row>
    <row r="424" spans="8:25">
      <c r="H424">
        <v>192</v>
      </c>
      <c r="I424" s="18">
        <v>12</v>
      </c>
      <c r="J424">
        <v>46</v>
      </c>
      <c r="K424">
        <f t="shared" si="53"/>
        <v>230</v>
      </c>
      <c r="L424" s="39">
        <f t="shared" si="54"/>
        <v>52.024774343446971</v>
      </c>
      <c r="M424">
        <f t="shared" si="55"/>
        <v>395.31337508538434</v>
      </c>
      <c r="N424">
        <f t="shared" si="56"/>
        <v>7198.1311968172358</v>
      </c>
      <c r="O424" s="39">
        <f t="shared" si="57"/>
        <v>22740.888598474572</v>
      </c>
      <c r="S424">
        <f t="shared" si="58"/>
        <v>1</v>
      </c>
      <c r="T424">
        <f t="shared" si="59"/>
        <v>0</v>
      </c>
      <c r="U424">
        <f t="shared" si="60"/>
        <v>1</v>
      </c>
      <c r="V424">
        <f t="shared" si="61"/>
        <v>0</v>
      </c>
      <c r="W424">
        <f t="shared" si="62"/>
        <v>1</v>
      </c>
      <c r="Y424" t="str">
        <f t="shared" si="63"/>
        <v/>
      </c>
    </row>
    <row r="425" spans="8:25">
      <c r="H425">
        <v>193</v>
      </c>
      <c r="I425" s="18">
        <v>16</v>
      </c>
      <c r="J425">
        <v>26</v>
      </c>
      <c r="K425">
        <f t="shared" ref="K425:K488" si="64">$F$230+$F$231*(J425-2)/2</f>
        <v>130</v>
      </c>
      <c r="L425" s="39">
        <f t="shared" ref="L425:L488" si="65">J425*0.25*PI()*(I425/10)^2</f>
        <v>52.276101755734175</v>
      </c>
      <c r="M425">
        <f t="shared" ref="M425:M488" si="66">$F$233-(K425+$F$232)/2</f>
        <v>445.31337508538434</v>
      </c>
      <c r="N425">
        <f t="shared" ref="N425:N488" si="67">L425*$F$235*M425*0.001</f>
        <v>8147.7365582035409</v>
      </c>
      <c r="O425" s="39">
        <f t="shared" ref="O425:O488" si="68">N425+$F$237</f>
        <v>23690.493959860876</v>
      </c>
      <c r="S425">
        <f t="shared" ref="S425:S488" si="69">IF(L425&lt;$F$236,1,0)</f>
        <v>1</v>
      </c>
      <c r="T425">
        <f t="shared" ref="T425:T488" si="70">IF(O425&gt;$F$234,1,0)</f>
        <v>0</v>
      </c>
      <c r="U425">
        <f t="shared" ref="U425:U488" si="71">IF(I425&lt;=$F$238,1,0)</f>
        <v>1</v>
      </c>
      <c r="V425">
        <f t="shared" ref="V425:V488" si="72">IF(J425&lt;=$F$239,1,0)</f>
        <v>0</v>
      </c>
      <c r="W425">
        <f t="shared" ref="W425:W488" si="73">IF(K425&lt;=$F$240,1,0)</f>
        <v>1</v>
      </c>
      <c r="Y425" t="str">
        <f t="shared" ref="Y425:Y488" si="74">IF(SUM(S425:W425)=5,H425,"")</f>
        <v/>
      </c>
    </row>
    <row r="426" spans="8:25">
      <c r="H426">
        <v>194</v>
      </c>
      <c r="I426" s="18">
        <v>14</v>
      </c>
      <c r="J426">
        <v>34</v>
      </c>
      <c r="K426">
        <f t="shared" si="64"/>
        <v>170</v>
      </c>
      <c r="L426" s="39">
        <f t="shared" si="65"/>
        <v>52.338933608805952</v>
      </c>
      <c r="M426">
        <f t="shared" si="66"/>
        <v>425.31337508538434</v>
      </c>
      <c r="N426">
        <f t="shared" si="67"/>
        <v>7791.1569755358905</v>
      </c>
      <c r="O426" s="39">
        <f t="shared" si="68"/>
        <v>23333.914377193225</v>
      </c>
      <c r="S426">
        <f t="shared" si="69"/>
        <v>1</v>
      </c>
      <c r="T426">
        <f t="shared" si="70"/>
        <v>0</v>
      </c>
      <c r="U426">
        <f t="shared" si="71"/>
        <v>1</v>
      </c>
      <c r="V426">
        <f t="shared" si="72"/>
        <v>0</v>
      </c>
      <c r="W426">
        <f t="shared" si="73"/>
        <v>1</v>
      </c>
      <c r="Y426" t="str">
        <f t="shared" si="74"/>
        <v/>
      </c>
    </row>
    <row r="427" spans="8:25">
      <c r="H427">
        <v>195</v>
      </c>
      <c r="I427" s="18">
        <v>26</v>
      </c>
      <c r="J427">
        <v>10</v>
      </c>
      <c r="K427">
        <f t="shared" si="64"/>
        <v>50</v>
      </c>
      <c r="L427" s="39">
        <f t="shared" si="65"/>
        <v>53.092915845667505</v>
      </c>
      <c r="M427">
        <f t="shared" si="66"/>
        <v>485.31337508538434</v>
      </c>
      <c r="N427">
        <f t="shared" si="67"/>
        <v>9018.3457637648116</v>
      </c>
      <c r="O427" s="39">
        <f t="shared" si="68"/>
        <v>24561.103165422144</v>
      </c>
      <c r="S427">
        <f t="shared" si="69"/>
        <v>1</v>
      </c>
      <c r="T427">
        <f t="shared" si="70"/>
        <v>0</v>
      </c>
      <c r="U427">
        <f t="shared" si="71"/>
        <v>0</v>
      </c>
      <c r="V427">
        <f t="shared" si="72"/>
        <v>1</v>
      </c>
      <c r="W427">
        <f t="shared" si="73"/>
        <v>1</v>
      </c>
      <c r="Y427" t="str">
        <f t="shared" si="74"/>
        <v/>
      </c>
    </row>
    <row r="428" spans="8:25">
      <c r="H428">
        <v>196</v>
      </c>
      <c r="I428" s="18">
        <v>22</v>
      </c>
      <c r="J428">
        <v>14</v>
      </c>
      <c r="K428">
        <f t="shared" si="64"/>
        <v>70</v>
      </c>
      <c r="L428" s="39">
        <f t="shared" si="65"/>
        <v>53.218579551811104</v>
      </c>
      <c r="M428">
        <f t="shared" si="66"/>
        <v>475.31337508538434</v>
      </c>
      <c r="N428">
        <f t="shared" si="67"/>
        <v>8853.4259324074737</v>
      </c>
      <c r="O428" s="39">
        <f t="shared" si="68"/>
        <v>24396.183334064808</v>
      </c>
      <c r="S428">
        <f t="shared" si="69"/>
        <v>1</v>
      </c>
      <c r="T428">
        <f t="shared" si="70"/>
        <v>0</v>
      </c>
      <c r="U428">
        <f t="shared" si="71"/>
        <v>1</v>
      </c>
      <c r="V428">
        <f t="shared" si="72"/>
        <v>1</v>
      </c>
      <c r="W428">
        <f t="shared" si="73"/>
        <v>1</v>
      </c>
      <c r="Y428" t="str">
        <f t="shared" si="74"/>
        <v/>
      </c>
    </row>
    <row r="429" spans="8:25">
      <c r="H429">
        <v>197</v>
      </c>
      <c r="I429" s="18">
        <v>10</v>
      </c>
      <c r="J429">
        <v>68</v>
      </c>
      <c r="K429">
        <f t="shared" si="64"/>
        <v>340</v>
      </c>
      <c r="L429" s="39">
        <f t="shared" si="65"/>
        <v>53.407075111026487</v>
      </c>
      <c r="M429">
        <f t="shared" si="66"/>
        <v>340.31337508538434</v>
      </c>
      <c r="N429">
        <f t="shared" si="67"/>
        <v>6361.2996945652185</v>
      </c>
      <c r="O429" s="39">
        <f t="shared" si="68"/>
        <v>21904.057096222554</v>
      </c>
      <c r="S429">
        <f t="shared" si="69"/>
        <v>1</v>
      </c>
      <c r="T429">
        <f t="shared" si="70"/>
        <v>0</v>
      </c>
      <c r="U429">
        <f t="shared" si="71"/>
        <v>1</v>
      </c>
      <c r="V429">
        <f t="shared" si="72"/>
        <v>0</v>
      </c>
      <c r="W429">
        <f t="shared" si="73"/>
        <v>0</v>
      </c>
      <c r="Y429" t="str">
        <f t="shared" si="74"/>
        <v/>
      </c>
    </row>
    <row r="430" spans="8:25">
      <c r="H430">
        <v>198</v>
      </c>
      <c r="I430" s="18">
        <v>24</v>
      </c>
      <c r="J430">
        <v>12</v>
      </c>
      <c r="K430">
        <f t="shared" si="64"/>
        <v>60</v>
      </c>
      <c r="L430" s="39">
        <f t="shared" si="65"/>
        <v>54.286721054031624</v>
      </c>
      <c r="M430">
        <f t="shared" si="66"/>
        <v>480.31337508538434</v>
      </c>
      <c r="N430">
        <f t="shared" si="67"/>
        <v>9126.1233741232536</v>
      </c>
      <c r="O430" s="39">
        <f t="shared" si="68"/>
        <v>24668.880775780588</v>
      </c>
      <c r="S430">
        <f t="shared" si="69"/>
        <v>1</v>
      </c>
      <c r="T430">
        <f t="shared" si="70"/>
        <v>0</v>
      </c>
      <c r="U430">
        <f t="shared" si="71"/>
        <v>1</v>
      </c>
      <c r="V430">
        <f t="shared" si="72"/>
        <v>1</v>
      </c>
      <c r="W430">
        <f t="shared" si="73"/>
        <v>1</v>
      </c>
      <c r="Y430" t="str">
        <f t="shared" si="74"/>
        <v/>
      </c>
    </row>
    <row r="431" spans="8:25">
      <c r="H431">
        <v>199</v>
      </c>
      <c r="I431" s="18">
        <v>12</v>
      </c>
      <c r="J431">
        <v>48</v>
      </c>
      <c r="K431">
        <f t="shared" si="64"/>
        <v>240</v>
      </c>
      <c r="L431" s="39">
        <f t="shared" si="65"/>
        <v>54.286721054031624</v>
      </c>
      <c r="M431">
        <f t="shared" si="66"/>
        <v>390.31337508538434</v>
      </c>
      <c r="N431">
        <f t="shared" si="67"/>
        <v>7416.0916609212572</v>
      </c>
      <c r="O431" s="39">
        <f t="shared" si="68"/>
        <v>22958.849062578593</v>
      </c>
      <c r="S431">
        <f t="shared" si="69"/>
        <v>1</v>
      </c>
      <c r="T431">
        <f t="shared" si="70"/>
        <v>0</v>
      </c>
      <c r="U431">
        <f t="shared" si="71"/>
        <v>1</v>
      </c>
      <c r="V431">
        <f t="shared" si="72"/>
        <v>0</v>
      </c>
      <c r="W431">
        <f t="shared" si="73"/>
        <v>1</v>
      </c>
      <c r="Y431" t="str">
        <f t="shared" si="74"/>
        <v/>
      </c>
    </row>
    <row r="432" spans="8:25">
      <c r="H432">
        <v>200</v>
      </c>
      <c r="I432" s="18">
        <v>34</v>
      </c>
      <c r="J432">
        <v>6</v>
      </c>
      <c r="K432">
        <f t="shared" si="64"/>
        <v>30</v>
      </c>
      <c r="L432" s="39">
        <f t="shared" si="65"/>
        <v>54.475216613247007</v>
      </c>
      <c r="M432">
        <f t="shared" si="66"/>
        <v>495.31337508538434</v>
      </c>
      <c r="N432">
        <f t="shared" si="67"/>
        <v>9443.8061897251719</v>
      </c>
      <c r="O432" s="39">
        <f t="shared" si="68"/>
        <v>24986.563591382506</v>
      </c>
      <c r="S432">
        <f t="shared" si="69"/>
        <v>1</v>
      </c>
      <c r="T432">
        <f t="shared" si="70"/>
        <v>0</v>
      </c>
      <c r="U432">
        <f t="shared" si="71"/>
        <v>0</v>
      </c>
      <c r="V432">
        <f t="shared" si="72"/>
        <v>1</v>
      </c>
      <c r="W432">
        <f t="shared" si="73"/>
        <v>1</v>
      </c>
      <c r="Y432" t="str">
        <f t="shared" si="74"/>
        <v/>
      </c>
    </row>
    <row r="433" spans="8:25">
      <c r="H433">
        <v>201</v>
      </c>
      <c r="I433" s="18">
        <v>10</v>
      </c>
      <c r="J433">
        <v>70</v>
      </c>
      <c r="K433">
        <f t="shared" si="64"/>
        <v>350</v>
      </c>
      <c r="L433" s="39">
        <f t="shared" si="65"/>
        <v>54.977871437821378</v>
      </c>
      <c r="M433">
        <f t="shared" si="66"/>
        <v>335.31337508538434</v>
      </c>
      <c r="N433">
        <f t="shared" si="67"/>
        <v>6452.1854693891837</v>
      </c>
      <c r="O433" s="39">
        <f t="shared" si="68"/>
        <v>21994.942871046518</v>
      </c>
      <c r="S433">
        <f t="shared" si="69"/>
        <v>1</v>
      </c>
      <c r="T433">
        <f t="shared" si="70"/>
        <v>0</v>
      </c>
      <c r="U433">
        <f t="shared" si="71"/>
        <v>1</v>
      </c>
      <c r="V433">
        <f t="shared" si="72"/>
        <v>0</v>
      </c>
      <c r="W433">
        <f t="shared" si="73"/>
        <v>0</v>
      </c>
      <c r="Y433" t="str">
        <f t="shared" si="74"/>
        <v/>
      </c>
    </row>
    <row r="434" spans="8:25">
      <c r="H434">
        <v>202</v>
      </c>
      <c r="I434" s="18">
        <v>14</v>
      </c>
      <c r="J434">
        <v>36</v>
      </c>
      <c r="K434">
        <f t="shared" si="64"/>
        <v>180</v>
      </c>
      <c r="L434" s="39">
        <f t="shared" si="65"/>
        <v>55.417694409323943</v>
      </c>
      <c r="M434">
        <f t="shared" si="66"/>
        <v>420.31337508538434</v>
      </c>
      <c r="N434">
        <f t="shared" si="67"/>
        <v>8152.4793618216845</v>
      </c>
      <c r="O434" s="39">
        <f t="shared" si="68"/>
        <v>23695.236763479021</v>
      </c>
      <c r="S434">
        <f t="shared" si="69"/>
        <v>1</v>
      </c>
      <c r="T434">
        <f t="shared" si="70"/>
        <v>0</v>
      </c>
      <c r="U434">
        <f t="shared" si="71"/>
        <v>1</v>
      </c>
      <c r="V434">
        <f t="shared" si="72"/>
        <v>0</v>
      </c>
      <c r="W434">
        <f t="shared" si="73"/>
        <v>1</v>
      </c>
      <c r="Y434" t="str">
        <f t="shared" si="74"/>
        <v/>
      </c>
    </row>
    <row r="435" spans="8:25">
      <c r="H435">
        <v>203</v>
      </c>
      <c r="I435" s="18">
        <v>18</v>
      </c>
      <c r="J435">
        <v>22</v>
      </c>
      <c r="K435">
        <f t="shared" si="64"/>
        <v>110</v>
      </c>
      <c r="L435" s="39">
        <f t="shared" si="65"/>
        <v>55.983181086970113</v>
      </c>
      <c r="M435">
        <f t="shared" si="66"/>
        <v>455.31337508538434</v>
      </c>
      <c r="N435">
        <f t="shared" si="67"/>
        <v>8921.4618950536151</v>
      </c>
      <c r="O435" s="39">
        <f t="shared" si="68"/>
        <v>24464.219296710951</v>
      </c>
      <c r="S435">
        <f t="shared" si="69"/>
        <v>1</v>
      </c>
      <c r="T435">
        <f t="shared" si="70"/>
        <v>0</v>
      </c>
      <c r="U435">
        <f t="shared" si="71"/>
        <v>1</v>
      </c>
      <c r="V435">
        <f t="shared" si="72"/>
        <v>0</v>
      </c>
      <c r="W435">
        <f t="shared" si="73"/>
        <v>1</v>
      </c>
      <c r="Y435" t="str">
        <f t="shared" si="74"/>
        <v/>
      </c>
    </row>
    <row r="436" spans="8:25">
      <c r="H436">
        <v>204</v>
      </c>
      <c r="I436" s="18">
        <v>16</v>
      </c>
      <c r="J436">
        <v>28</v>
      </c>
      <c r="K436">
        <f t="shared" si="64"/>
        <v>140</v>
      </c>
      <c r="L436" s="39">
        <f t="shared" si="65"/>
        <v>56.297340352329101</v>
      </c>
      <c r="M436">
        <f t="shared" si="66"/>
        <v>440.31337508538434</v>
      </c>
      <c r="N436">
        <f t="shared" si="67"/>
        <v>8675.9651786026188</v>
      </c>
      <c r="O436" s="39">
        <f t="shared" si="68"/>
        <v>24218.722580259953</v>
      </c>
      <c r="S436">
        <f t="shared" si="69"/>
        <v>1</v>
      </c>
      <c r="T436">
        <f t="shared" si="70"/>
        <v>0</v>
      </c>
      <c r="U436">
        <f t="shared" si="71"/>
        <v>1</v>
      </c>
      <c r="V436">
        <f t="shared" si="72"/>
        <v>0</v>
      </c>
      <c r="W436">
        <f t="shared" si="73"/>
        <v>1</v>
      </c>
      <c r="Y436" t="str">
        <f t="shared" si="74"/>
        <v/>
      </c>
    </row>
    <row r="437" spans="8:25">
      <c r="H437">
        <v>205</v>
      </c>
      <c r="I437" s="18">
        <v>30</v>
      </c>
      <c r="J437">
        <v>8</v>
      </c>
      <c r="K437">
        <f t="shared" si="64"/>
        <v>40</v>
      </c>
      <c r="L437" s="39">
        <f t="shared" si="65"/>
        <v>56.548667764616276</v>
      </c>
      <c r="M437">
        <f t="shared" si="66"/>
        <v>490.31337508538434</v>
      </c>
      <c r="N437">
        <f t="shared" si="67"/>
        <v>9704.2988518878792</v>
      </c>
      <c r="O437" s="39">
        <f t="shared" si="68"/>
        <v>25247.056253545212</v>
      </c>
      <c r="S437">
        <f t="shared" si="69"/>
        <v>1</v>
      </c>
      <c r="T437">
        <f t="shared" si="70"/>
        <v>0</v>
      </c>
      <c r="U437">
        <f t="shared" si="71"/>
        <v>0</v>
      </c>
      <c r="V437">
        <f t="shared" si="72"/>
        <v>1</v>
      </c>
      <c r="W437">
        <f t="shared" si="73"/>
        <v>1</v>
      </c>
      <c r="Y437" t="str">
        <f t="shared" si="74"/>
        <v/>
      </c>
    </row>
    <row r="438" spans="8:25">
      <c r="H438">
        <v>206</v>
      </c>
      <c r="I438" s="18">
        <v>20</v>
      </c>
      <c r="J438">
        <v>18</v>
      </c>
      <c r="K438">
        <f t="shared" si="64"/>
        <v>90</v>
      </c>
      <c r="L438" s="39">
        <f t="shared" si="65"/>
        <v>56.548667764616276</v>
      </c>
      <c r="M438">
        <f t="shared" si="66"/>
        <v>465.31337508538434</v>
      </c>
      <c r="N438">
        <f t="shared" si="67"/>
        <v>9209.4980089474866</v>
      </c>
      <c r="O438" s="39">
        <f t="shared" si="68"/>
        <v>24752.255410604819</v>
      </c>
      <c r="S438">
        <f t="shared" si="69"/>
        <v>1</v>
      </c>
      <c r="T438">
        <f t="shared" si="70"/>
        <v>0</v>
      </c>
      <c r="U438">
        <f t="shared" si="71"/>
        <v>1</v>
      </c>
      <c r="V438">
        <f t="shared" si="72"/>
        <v>1</v>
      </c>
      <c r="W438">
        <f t="shared" si="73"/>
        <v>1</v>
      </c>
      <c r="Y438" t="str">
        <f t="shared" si="74"/>
        <v/>
      </c>
    </row>
    <row r="439" spans="8:25">
      <c r="H439">
        <v>207</v>
      </c>
      <c r="I439" s="18">
        <v>12</v>
      </c>
      <c r="J439">
        <v>50</v>
      </c>
      <c r="K439">
        <f t="shared" si="64"/>
        <v>250</v>
      </c>
      <c r="L439" s="39">
        <f t="shared" si="65"/>
        <v>56.548667764616276</v>
      </c>
      <c r="M439">
        <f t="shared" si="66"/>
        <v>385.31337508538434</v>
      </c>
      <c r="N439">
        <f t="shared" si="67"/>
        <v>7626.1353115382308</v>
      </c>
      <c r="O439" s="39">
        <f t="shared" si="68"/>
        <v>23168.892713195564</v>
      </c>
      <c r="S439">
        <f t="shared" si="69"/>
        <v>1</v>
      </c>
      <c r="T439">
        <f t="shared" si="70"/>
        <v>0</v>
      </c>
      <c r="U439">
        <f t="shared" si="71"/>
        <v>1</v>
      </c>
      <c r="V439">
        <f t="shared" si="72"/>
        <v>0</v>
      </c>
      <c r="W439">
        <f t="shared" si="73"/>
        <v>1</v>
      </c>
      <c r="Y439" t="str">
        <f t="shared" si="74"/>
        <v/>
      </c>
    </row>
    <row r="440" spans="8:25">
      <c r="H440">
        <v>208</v>
      </c>
      <c r="I440" s="18">
        <v>10</v>
      </c>
      <c r="J440">
        <v>72</v>
      </c>
      <c r="K440">
        <f t="shared" si="64"/>
        <v>360</v>
      </c>
      <c r="L440" s="39">
        <f t="shared" si="65"/>
        <v>56.548667764616276</v>
      </c>
      <c r="M440">
        <f t="shared" si="66"/>
        <v>330.31337508538434</v>
      </c>
      <c r="N440">
        <f t="shared" si="67"/>
        <v>6537.5734570693676</v>
      </c>
      <c r="O440" s="39">
        <f t="shared" si="68"/>
        <v>22080.330858726702</v>
      </c>
      <c r="S440">
        <f t="shared" si="69"/>
        <v>1</v>
      </c>
      <c r="T440">
        <f t="shared" si="70"/>
        <v>0</v>
      </c>
      <c r="U440">
        <f t="shared" si="71"/>
        <v>1</v>
      </c>
      <c r="V440">
        <f t="shared" si="72"/>
        <v>0</v>
      </c>
      <c r="W440">
        <f t="shared" si="73"/>
        <v>0</v>
      </c>
      <c r="Y440" t="str">
        <f t="shared" si="74"/>
        <v/>
      </c>
    </row>
    <row r="441" spans="8:25">
      <c r="H441">
        <v>209</v>
      </c>
      <c r="I441" s="18">
        <v>10</v>
      </c>
      <c r="J441">
        <v>74</v>
      </c>
      <c r="K441">
        <f t="shared" si="64"/>
        <v>370</v>
      </c>
      <c r="L441" s="39">
        <f t="shared" si="65"/>
        <v>58.119464091411174</v>
      </c>
      <c r="M441">
        <f t="shared" si="66"/>
        <v>325.31337508538434</v>
      </c>
      <c r="N441">
        <f t="shared" si="67"/>
        <v>6617.4636576057701</v>
      </c>
      <c r="O441" s="39">
        <f t="shared" si="68"/>
        <v>22160.221059263105</v>
      </c>
      <c r="S441">
        <f t="shared" si="69"/>
        <v>1</v>
      </c>
      <c r="T441">
        <f t="shared" si="70"/>
        <v>0</v>
      </c>
      <c r="U441">
        <f t="shared" si="71"/>
        <v>1</v>
      </c>
      <c r="V441">
        <f t="shared" si="72"/>
        <v>0</v>
      </c>
      <c r="W441">
        <f t="shared" si="73"/>
        <v>0</v>
      </c>
      <c r="Y441" t="str">
        <f t="shared" si="74"/>
        <v/>
      </c>
    </row>
    <row r="442" spans="8:25">
      <c r="H442">
        <v>210</v>
      </c>
      <c r="I442" s="18">
        <v>14</v>
      </c>
      <c r="J442">
        <v>38</v>
      </c>
      <c r="K442">
        <f t="shared" si="64"/>
        <v>190</v>
      </c>
      <c r="L442" s="39">
        <f t="shared" si="65"/>
        <v>58.496455209841933</v>
      </c>
      <c r="M442">
        <f t="shared" si="66"/>
        <v>415.31337508538434</v>
      </c>
      <c r="N442">
        <f t="shared" si="67"/>
        <v>8503.0260853056625</v>
      </c>
      <c r="O442" s="39">
        <f t="shared" si="68"/>
        <v>24045.783486962995</v>
      </c>
      <c r="S442">
        <f t="shared" si="69"/>
        <v>1</v>
      </c>
      <c r="T442">
        <f t="shared" si="70"/>
        <v>0</v>
      </c>
      <c r="U442">
        <f t="shared" si="71"/>
        <v>1</v>
      </c>
      <c r="V442">
        <f t="shared" si="72"/>
        <v>0</v>
      </c>
      <c r="W442">
        <f t="shared" si="73"/>
        <v>1</v>
      </c>
      <c r="Y442" t="str">
        <f t="shared" si="74"/>
        <v/>
      </c>
    </row>
    <row r="443" spans="8:25">
      <c r="H443">
        <v>211</v>
      </c>
      <c r="I443" s="18">
        <v>12</v>
      </c>
      <c r="J443">
        <v>52</v>
      </c>
      <c r="K443">
        <f t="shared" si="64"/>
        <v>260</v>
      </c>
      <c r="L443" s="39">
        <f t="shared" si="65"/>
        <v>58.810614475200929</v>
      </c>
      <c r="M443">
        <f t="shared" si="66"/>
        <v>380.31337508538434</v>
      </c>
      <c r="N443">
        <f t="shared" si="67"/>
        <v>7828.2621486681592</v>
      </c>
      <c r="O443" s="39">
        <f t="shared" si="68"/>
        <v>23371.019550325494</v>
      </c>
      <c r="S443">
        <f t="shared" si="69"/>
        <v>1</v>
      </c>
      <c r="T443">
        <f t="shared" si="70"/>
        <v>0</v>
      </c>
      <c r="U443">
        <f t="shared" si="71"/>
        <v>1</v>
      </c>
      <c r="V443">
        <f t="shared" si="72"/>
        <v>0</v>
      </c>
      <c r="W443">
        <f t="shared" si="73"/>
        <v>1</v>
      </c>
      <c r="Y443" t="str">
        <f t="shared" si="74"/>
        <v/>
      </c>
    </row>
    <row r="444" spans="8:25">
      <c r="H444">
        <v>212</v>
      </c>
      <c r="I444" s="18">
        <v>25</v>
      </c>
      <c r="J444">
        <v>12</v>
      </c>
      <c r="K444">
        <f t="shared" si="64"/>
        <v>60</v>
      </c>
      <c r="L444" s="39">
        <f t="shared" si="65"/>
        <v>58.90486225480862</v>
      </c>
      <c r="M444">
        <f t="shared" si="66"/>
        <v>480.31337508538434</v>
      </c>
      <c r="N444">
        <f t="shared" si="67"/>
        <v>9902.4776194913775</v>
      </c>
      <c r="O444" s="39">
        <f t="shared" si="68"/>
        <v>25445.235021148714</v>
      </c>
      <c r="S444">
        <f t="shared" si="69"/>
        <v>1</v>
      </c>
      <c r="T444">
        <f t="shared" si="70"/>
        <v>0</v>
      </c>
      <c r="U444">
        <f t="shared" si="71"/>
        <v>1</v>
      </c>
      <c r="V444">
        <f t="shared" si="72"/>
        <v>1</v>
      </c>
      <c r="W444">
        <f t="shared" si="73"/>
        <v>1</v>
      </c>
      <c r="Y444" t="str">
        <f t="shared" si="74"/>
        <v/>
      </c>
    </row>
    <row r="445" spans="8:25">
      <c r="H445">
        <v>213</v>
      </c>
      <c r="I445" s="18">
        <v>10</v>
      </c>
      <c r="J445">
        <v>76</v>
      </c>
      <c r="K445">
        <f t="shared" si="64"/>
        <v>380</v>
      </c>
      <c r="L445" s="39">
        <f t="shared" si="65"/>
        <v>59.690260418206066</v>
      </c>
      <c r="M445">
        <f t="shared" si="66"/>
        <v>320.31337508538434</v>
      </c>
      <c r="N445">
        <f t="shared" si="67"/>
        <v>6691.8560709983885</v>
      </c>
      <c r="O445" s="39">
        <f t="shared" si="68"/>
        <v>22234.613472655721</v>
      </c>
      <c r="S445">
        <f t="shared" si="69"/>
        <v>1</v>
      </c>
      <c r="T445">
        <f t="shared" si="70"/>
        <v>0</v>
      </c>
      <c r="U445">
        <f t="shared" si="71"/>
        <v>1</v>
      </c>
      <c r="V445">
        <f t="shared" si="72"/>
        <v>0</v>
      </c>
      <c r="W445">
        <f t="shared" si="73"/>
        <v>0</v>
      </c>
      <c r="Y445" t="str">
        <f t="shared" si="74"/>
        <v/>
      </c>
    </row>
    <row r="446" spans="8:25">
      <c r="H446">
        <v>214</v>
      </c>
      <c r="I446" s="18">
        <v>16</v>
      </c>
      <c r="J446">
        <v>30</v>
      </c>
      <c r="K446">
        <f t="shared" si="64"/>
        <v>150</v>
      </c>
      <c r="L446" s="39">
        <f t="shared" si="65"/>
        <v>60.318578948924035</v>
      </c>
      <c r="M446">
        <f t="shared" si="66"/>
        <v>435.31337508538434</v>
      </c>
      <c r="N446">
        <f t="shared" si="67"/>
        <v>9190.1194639136174</v>
      </c>
      <c r="O446" s="39">
        <f t="shared" si="68"/>
        <v>24732.87686557095</v>
      </c>
      <c r="S446">
        <f t="shared" si="69"/>
        <v>1</v>
      </c>
      <c r="T446">
        <f t="shared" si="70"/>
        <v>0</v>
      </c>
      <c r="U446">
        <f t="shared" si="71"/>
        <v>1</v>
      </c>
      <c r="V446">
        <f t="shared" si="72"/>
        <v>0</v>
      </c>
      <c r="W446">
        <f t="shared" si="73"/>
        <v>1</v>
      </c>
      <c r="Y446" t="str">
        <f t="shared" si="74"/>
        <v/>
      </c>
    </row>
    <row r="447" spans="8:25">
      <c r="H447">
        <v>215</v>
      </c>
      <c r="I447" s="18">
        <v>22</v>
      </c>
      <c r="J447">
        <v>16</v>
      </c>
      <c r="K447">
        <f t="shared" si="64"/>
        <v>80</v>
      </c>
      <c r="L447" s="39">
        <f t="shared" si="65"/>
        <v>60.821233773498406</v>
      </c>
      <c r="M447">
        <f t="shared" si="66"/>
        <v>470.31337508538434</v>
      </c>
      <c r="N447">
        <f t="shared" si="67"/>
        <v>10011.763906504922</v>
      </c>
      <c r="O447" s="39">
        <f t="shared" si="68"/>
        <v>25554.521308162257</v>
      </c>
      <c r="S447">
        <f t="shared" si="69"/>
        <v>1</v>
      </c>
      <c r="T447">
        <f t="shared" si="70"/>
        <v>0</v>
      </c>
      <c r="U447">
        <f t="shared" si="71"/>
        <v>1</v>
      </c>
      <c r="V447">
        <f t="shared" si="72"/>
        <v>1</v>
      </c>
      <c r="W447">
        <f t="shared" si="73"/>
        <v>1</v>
      </c>
      <c r="Y447" t="str">
        <f t="shared" si="74"/>
        <v/>
      </c>
    </row>
    <row r="448" spans="8:25">
      <c r="H448">
        <v>216</v>
      </c>
      <c r="I448" s="18">
        <v>12</v>
      </c>
      <c r="J448">
        <v>54</v>
      </c>
      <c r="K448">
        <f t="shared" si="64"/>
        <v>270</v>
      </c>
      <c r="L448" s="39">
        <f t="shared" si="65"/>
        <v>61.072561185785574</v>
      </c>
      <c r="M448">
        <f t="shared" si="66"/>
        <v>375.31337508538434</v>
      </c>
      <c r="N448">
        <f t="shared" si="67"/>
        <v>8022.4721723110397</v>
      </c>
      <c r="O448" s="39">
        <f t="shared" si="68"/>
        <v>23565.229573968376</v>
      </c>
      <c r="S448">
        <f t="shared" si="69"/>
        <v>1</v>
      </c>
      <c r="T448">
        <f t="shared" si="70"/>
        <v>0</v>
      </c>
      <c r="U448">
        <f t="shared" si="71"/>
        <v>1</v>
      </c>
      <c r="V448">
        <f t="shared" si="72"/>
        <v>0</v>
      </c>
      <c r="W448">
        <f t="shared" si="73"/>
        <v>1</v>
      </c>
      <c r="Y448" t="str">
        <f t="shared" si="74"/>
        <v/>
      </c>
    </row>
    <row r="449" spans="8:25">
      <c r="H449">
        <v>217</v>
      </c>
      <c r="I449" s="18">
        <v>36</v>
      </c>
      <c r="J449">
        <v>6</v>
      </c>
      <c r="K449">
        <f t="shared" si="64"/>
        <v>30</v>
      </c>
      <c r="L449" s="39">
        <f t="shared" si="65"/>
        <v>61.072561185785581</v>
      </c>
      <c r="M449">
        <f t="shared" si="66"/>
        <v>495.31337508538434</v>
      </c>
      <c r="N449">
        <f t="shared" si="67"/>
        <v>10587.519742114035</v>
      </c>
      <c r="O449" s="39">
        <f t="shared" si="68"/>
        <v>26130.277143771367</v>
      </c>
      <c r="S449">
        <f t="shared" si="69"/>
        <v>1</v>
      </c>
      <c r="T449">
        <f t="shared" si="70"/>
        <v>0</v>
      </c>
      <c r="U449">
        <f t="shared" si="71"/>
        <v>0</v>
      </c>
      <c r="V449">
        <f t="shared" si="72"/>
        <v>1</v>
      </c>
      <c r="W449">
        <f t="shared" si="73"/>
        <v>1</v>
      </c>
      <c r="Y449" t="str">
        <f t="shared" si="74"/>
        <v/>
      </c>
    </row>
    <row r="450" spans="8:25">
      <c r="H450">
        <v>218</v>
      </c>
      <c r="I450" s="18">
        <v>18</v>
      </c>
      <c r="J450">
        <v>24</v>
      </c>
      <c r="K450">
        <f t="shared" si="64"/>
        <v>120</v>
      </c>
      <c r="L450" s="39">
        <f t="shared" si="65"/>
        <v>61.072561185785581</v>
      </c>
      <c r="M450">
        <f t="shared" si="66"/>
        <v>450.31337508538434</v>
      </c>
      <c r="N450">
        <f t="shared" si="67"/>
        <v>9625.6269034379111</v>
      </c>
      <c r="O450" s="39">
        <f t="shared" si="68"/>
        <v>25168.384305095246</v>
      </c>
      <c r="S450">
        <f t="shared" si="69"/>
        <v>1</v>
      </c>
      <c r="T450">
        <f t="shared" si="70"/>
        <v>0</v>
      </c>
      <c r="U450">
        <f t="shared" si="71"/>
        <v>1</v>
      </c>
      <c r="V450">
        <f t="shared" si="72"/>
        <v>0</v>
      </c>
      <c r="W450">
        <f t="shared" si="73"/>
        <v>1</v>
      </c>
      <c r="Y450" t="str">
        <f t="shared" si="74"/>
        <v/>
      </c>
    </row>
    <row r="451" spans="8:25">
      <c r="H451">
        <v>219</v>
      </c>
      <c r="I451" s="18">
        <v>10</v>
      </c>
      <c r="J451">
        <v>78</v>
      </c>
      <c r="K451">
        <f t="shared" si="64"/>
        <v>390</v>
      </c>
      <c r="L451" s="39">
        <f t="shared" si="65"/>
        <v>61.261056745000964</v>
      </c>
      <c r="M451">
        <f t="shared" si="66"/>
        <v>315.31337508538434</v>
      </c>
      <c r="N451">
        <f t="shared" si="67"/>
        <v>6760.7506972472256</v>
      </c>
      <c r="O451" s="39">
        <f t="shared" si="68"/>
        <v>22303.50809890456</v>
      </c>
      <c r="S451">
        <f t="shared" si="69"/>
        <v>1</v>
      </c>
      <c r="T451">
        <f t="shared" si="70"/>
        <v>0</v>
      </c>
      <c r="U451">
        <f t="shared" si="71"/>
        <v>1</v>
      </c>
      <c r="V451">
        <f t="shared" si="72"/>
        <v>0</v>
      </c>
      <c r="W451">
        <f t="shared" si="73"/>
        <v>0</v>
      </c>
      <c r="Y451" t="str">
        <f t="shared" si="74"/>
        <v/>
      </c>
    </row>
    <row r="452" spans="8:25">
      <c r="H452">
        <v>220</v>
      </c>
      <c r="I452" s="18">
        <v>28</v>
      </c>
      <c r="J452">
        <v>10</v>
      </c>
      <c r="K452">
        <f t="shared" si="64"/>
        <v>50</v>
      </c>
      <c r="L452" s="39">
        <f t="shared" si="65"/>
        <v>61.575216010359938</v>
      </c>
      <c r="M452">
        <f t="shared" si="66"/>
        <v>485.31337508538434</v>
      </c>
      <c r="N452">
        <f t="shared" si="67"/>
        <v>10459.14656625978</v>
      </c>
      <c r="O452" s="39">
        <f t="shared" si="68"/>
        <v>26001.903967917115</v>
      </c>
      <c r="S452">
        <f t="shared" si="69"/>
        <v>1</v>
      </c>
      <c r="T452">
        <f t="shared" si="70"/>
        <v>0</v>
      </c>
      <c r="U452">
        <f t="shared" si="71"/>
        <v>0</v>
      </c>
      <c r="V452">
        <f t="shared" si="72"/>
        <v>1</v>
      </c>
      <c r="W452">
        <f t="shared" si="73"/>
        <v>1</v>
      </c>
      <c r="Y452" t="str">
        <f t="shared" si="74"/>
        <v/>
      </c>
    </row>
    <row r="453" spans="8:25">
      <c r="H453">
        <v>221</v>
      </c>
      <c r="I453" s="18">
        <v>14</v>
      </c>
      <c r="J453">
        <v>40</v>
      </c>
      <c r="K453">
        <f t="shared" si="64"/>
        <v>200</v>
      </c>
      <c r="L453" s="39">
        <f t="shared" si="65"/>
        <v>61.575216010359938</v>
      </c>
      <c r="M453">
        <f t="shared" si="66"/>
        <v>410.31337508538434</v>
      </c>
      <c r="N453">
        <f t="shared" si="67"/>
        <v>8842.7971459878336</v>
      </c>
      <c r="O453" s="39">
        <f t="shared" si="68"/>
        <v>24385.554547645166</v>
      </c>
      <c r="S453">
        <f t="shared" si="69"/>
        <v>1</v>
      </c>
      <c r="T453">
        <f t="shared" si="70"/>
        <v>0</v>
      </c>
      <c r="U453">
        <f t="shared" si="71"/>
        <v>1</v>
      </c>
      <c r="V453">
        <f t="shared" si="72"/>
        <v>0</v>
      </c>
      <c r="W453">
        <f t="shared" si="73"/>
        <v>1</v>
      </c>
      <c r="Y453" t="str">
        <f t="shared" si="74"/>
        <v/>
      </c>
    </row>
    <row r="454" spans="8:25">
      <c r="H454">
        <v>222</v>
      </c>
      <c r="I454" s="18">
        <v>20</v>
      </c>
      <c r="J454">
        <v>20</v>
      </c>
      <c r="K454">
        <f t="shared" si="64"/>
        <v>100</v>
      </c>
      <c r="L454" s="39">
        <f t="shared" si="65"/>
        <v>62.831853071795862</v>
      </c>
      <c r="M454">
        <f t="shared" si="66"/>
        <v>460.31337508538434</v>
      </c>
      <c r="N454">
        <f t="shared" si="67"/>
        <v>10122.819822621565</v>
      </c>
      <c r="O454" s="39">
        <f t="shared" si="68"/>
        <v>25665.577224278899</v>
      </c>
      <c r="S454">
        <f t="shared" si="69"/>
        <v>1</v>
      </c>
      <c r="T454">
        <f t="shared" si="70"/>
        <v>0</v>
      </c>
      <c r="U454">
        <f t="shared" si="71"/>
        <v>1</v>
      </c>
      <c r="V454">
        <f t="shared" si="72"/>
        <v>1</v>
      </c>
      <c r="W454">
        <f t="shared" si="73"/>
        <v>1</v>
      </c>
      <c r="Y454" t="str">
        <f t="shared" si="74"/>
        <v/>
      </c>
    </row>
    <row r="455" spans="8:25">
      <c r="H455">
        <v>223</v>
      </c>
      <c r="I455" s="18">
        <v>10</v>
      </c>
      <c r="J455">
        <v>80</v>
      </c>
      <c r="K455">
        <f t="shared" si="64"/>
        <v>400</v>
      </c>
      <c r="L455" s="39">
        <f t="shared" si="65"/>
        <v>62.831853071795862</v>
      </c>
      <c r="M455">
        <f t="shared" si="66"/>
        <v>310.31337508538434</v>
      </c>
      <c r="N455">
        <f t="shared" si="67"/>
        <v>6824.1475363522813</v>
      </c>
      <c r="O455" s="39">
        <f t="shared" si="68"/>
        <v>22366.904938009615</v>
      </c>
      <c r="S455">
        <f t="shared" si="69"/>
        <v>1</v>
      </c>
      <c r="T455">
        <f t="shared" si="70"/>
        <v>0</v>
      </c>
      <c r="U455">
        <f t="shared" si="71"/>
        <v>1</v>
      </c>
      <c r="V455">
        <f t="shared" si="72"/>
        <v>0</v>
      </c>
      <c r="W455">
        <f t="shared" si="73"/>
        <v>0</v>
      </c>
      <c r="Y455" t="str">
        <f t="shared" si="74"/>
        <v/>
      </c>
    </row>
    <row r="456" spans="8:25">
      <c r="H456">
        <v>224</v>
      </c>
      <c r="I456" s="18">
        <v>24</v>
      </c>
      <c r="J456">
        <v>14</v>
      </c>
      <c r="K456">
        <f t="shared" si="64"/>
        <v>70</v>
      </c>
      <c r="L456" s="39">
        <f t="shared" si="65"/>
        <v>63.334507896370226</v>
      </c>
      <c r="M456">
        <f t="shared" si="66"/>
        <v>475.31337508538434</v>
      </c>
      <c r="N456">
        <f t="shared" si="67"/>
        <v>10536.30854765848</v>
      </c>
      <c r="O456" s="39">
        <f t="shared" si="68"/>
        <v>26079.065949315816</v>
      </c>
      <c r="S456">
        <f t="shared" si="69"/>
        <v>1</v>
      </c>
      <c r="T456">
        <f t="shared" si="70"/>
        <v>0</v>
      </c>
      <c r="U456">
        <f t="shared" si="71"/>
        <v>1</v>
      </c>
      <c r="V456">
        <f t="shared" si="72"/>
        <v>1</v>
      </c>
      <c r="W456">
        <f t="shared" si="73"/>
        <v>1</v>
      </c>
      <c r="Y456" t="str">
        <f t="shared" si="74"/>
        <v/>
      </c>
    </row>
    <row r="457" spans="8:25">
      <c r="H457">
        <v>225</v>
      </c>
      <c r="I457" s="18">
        <v>12</v>
      </c>
      <c r="J457">
        <v>56</v>
      </c>
      <c r="K457">
        <f t="shared" si="64"/>
        <v>280</v>
      </c>
      <c r="L457" s="39">
        <f t="shared" si="65"/>
        <v>63.334507896370226</v>
      </c>
      <c r="M457">
        <f t="shared" si="66"/>
        <v>370.31337508538434</v>
      </c>
      <c r="N457">
        <f t="shared" si="67"/>
        <v>8208.7653824668741</v>
      </c>
      <c r="O457" s="39">
        <f t="shared" si="68"/>
        <v>23751.522784124209</v>
      </c>
      <c r="S457">
        <f t="shared" si="69"/>
        <v>1</v>
      </c>
      <c r="T457">
        <f t="shared" si="70"/>
        <v>0</v>
      </c>
      <c r="U457">
        <f t="shared" si="71"/>
        <v>1</v>
      </c>
      <c r="V457">
        <f t="shared" si="72"/>
        <v>0</v>
      </c>
      <c r="W457">
        <f t="shared" si="73"/>
        <v>1</v>
      </c>
      <c r="Y457" t="str">
        <f t="shared" si="74"/>
        <v/>
      </c>
    </row>
    <row r="458" spans="8:25">
      <c r="H458">
        <v>226</v>
      </c>
      <c r="I458" s="18">
        <v>45</v>
      </c>
      <c r="J458">
        <v>4</v>
      </c>
      <c r="K458">
        <f t="shared" si="64"/>
        <v>20</v>
      </c>
      <c r="L458" s="39">
        <f t="shared" si="65"/>
        <v>63.617251235193308</v>
      </c>
      <c r="M458">
        <f t="shared" si="66"/>
        <v>500.31337508538434</v>
      </c>
      <c r="N458">
        <f t="shared" si="67"/>
        <v>11139.996587697038</v>
      </c>
      <c r="O458" s="39">
        <f t="shared" si="68"/>
        <v>26682.753989354373</v>
      </c>
      <c r="S458">
        <f t="shared" si="69"/>
        <v>1</v>
      </c>
      <c r="T458">
        <f t="shared" si="70"/>
        <v>0</v>
      </c>
      <c r="U458">
        <f t="shared" si="71"/>
        <v>0</v>
      </c>
      <c r="V458">
        <f t="shared" si="72"/>
        <v>1</v>
      </c>
      <c r="W458">
        <f t="shared" si="73"/>
        <v>1</v>
      </c>
      <c r="Y458" t="str">
        <f t="shared" si="74"/>
        <v/>
      </c>
    </row>
    <row r="459" spans="8:25">
      <c r="H459">
        <v>227</v>
      </c>
      <c r="I459" s="18">
        <v>26</v>
      </c>
      <c r="J459">
        <v>12</v>
      </c>
      <c r="K459">
        <f t="shared" si="64"/>
        <v>60</v>
      </c>
      <c r="L459" s="39">
        <f t="shared" si="65"/>
        <v>63.711499014801014</v>
      </c>
      <c r="M459">
        <f t="shared" si="66"/>
        <v>480.31337508538434</v>
      </c>
      <c r="N459">
        <f t="shared" si="67"/>
        <v>10710.519793241876</v>
      </c>
      <c r="O459" s="39">
        <f t="shared" si="68"/>
        <v>26253.277194899209</v>
      </c>
      <c r="S459">
        <f t="shared" si="69"/>
        <v>1</v>
      </c>
      <c r="T459">
        <f t="shared" si="70"/>
        <v>0</v>
      </c>
      <c r="U459">
        <f t="shared" si="71"/>
        <v>0</v>
      </c>
      <c r="V459">
        <f t="shared" si="72"/>
        <v>1</v>
      </c>
      <c r="W459">
        <f t="shared" si="73"/>
        <v>1</v>
      </c>
      <c r="Y459" t="str">
        <f t="shared" si="74"/>
        <v/>
      </c>
    </row>
    <row r="460" spans="8:25">
      <c r="H460">
        <v>228</v>
      </c>
      <c r="I460" s="18">
        <v>32</v>
      </c>
      <c r="J460">
        <v>8</v>
      </c>
      <c r="K460">
        <f t="shared" si="64"/>
        <v>40</v>
      </c>
      <c r="L460" s="39">
        <f t="shared" si="65"/>
        <v>64.339817545518969</v>
      </c>
      <c r="M460">
        <f t="shared" si="66"/>
        <v>490.31337508538434</v>
      </c>
      <c r="N460">
        <f t="shared" si="67"/>
        <v>11041.335582592434</v>
      </c>
      <c r="O460" s="39">
        <f t="shared" si="68"/>
        <v>26584.092984249768</v>
      </c>
      <c r="S460">
        <f t="shared" si="69"/>
        <v>1</v>
      </c>
      <c r="T460">
        <f t="shared" si="70"/>
        <v>0</v>
      </c>
      <c r="U460">
        <f t="shared" si="71"/>
        <v>0</v>
      </c>
      <c r="V460">
        <f t="shared" si="72"/>
        <v>1</v>
      </c>
      <c r="W460">
        <f t="shared" si="73"/>
        <v>1</v>
      </c>
      <c r="Y460" t="str">
        <f t="shared" si="74"/>
        <v/>
      </c>
    </row>
    <row r="461" spans="8:25">
      <c r="H461">
        <v>229</v>
      </c>
      <c r="I461" s="18">
        <v>16</v>
      </c>
      <c r="J461">
        <v>32</v>
      </c>
      <c r="K461">
        <f t="shared" si="64"/>
        <v>160</v>
      </c>
      <c r="L461" s="39">
        <f t="shared" si="65"/>
        <v>64.339817545518969</v>
      </c>
      <c r="M461">
        <f t="shared" si="66"/>
        <v>430.31337508538434</v>
      </c>
      <c r="N461">
        <f t="shared" si="67"/>
        <v>9690.199414136534</v>
      </c>
      <c r="O461" s="39">
        <f t="shared" si="68"/>
        <v>25232.95681579387</v>
      </c>
      <c r="S461">
        <f t="shared" si="69"/>
        <v>1</v>
      </c>
      <c r="T461">
        <f t="shared" si="70"/>
        <v>0</v>
      </c>
      <c r="U461">
        <f t="shared" si="71"/>
        <v>1</v>
      </c>
      <c r="V461">
        <f t="shared" si="72"/>
        <v>0</v>
      </c>
      <c r="W461">
        <f t="shared" si="73"/>
        <v>1</v>
      </c>
      <c r="Y461" t="str">
        <f t="shared" si="74"/>
        <v/>
      </c>
    </row>
    <row r="462" spans="8:25">
      <c r="H462">
        <v>230</v>
      </c>
      <c r="I462" s="18">
        <v>10</v>
      </c>
      <c r="J462">
        <v>82</v>
      </c>
      <c r="K462">
        <f t="shared" si="64"/>
        <v>410</v>
      </c>
      <c r="L462" s="39">
        <f t="shared" si="65"/>
        <v>64.402649398590754</v>
      </c>
      <c r="M462">
        <f t="shared" si="66"/>
        <v>305.31337508538434</v>
      </c>
      <c r="N462">
        <f t="shared" si="67"/>
        <v>6882.0465883135539</v>
      </c>
      <c r="O462" s="39">
        <f t="shared" si="68"/>
        <v>22424.803989970889</v>
      </c>
      <c r="S462">
        <f t="shared" si="69"/>
        <v>1</v>
      </c>
      <c r="T462">
        <f t="shared" si="70"/>
        <v>0</v>
      </c>
      <c r="U462">
        <f t="shared" si="71"/>
        <v>1</v>
      </c>
      <c r="V462">
        <f t="shared" si="72"/>
        <v>0</v>
      </c>
      <c r="W462">
        <f t="shared" si="73"/>
        <v>0</v>
      </c>
      <c r="Y462" t="str">
        <f t="shared" si="74"/>
        <v/>
      </c>
    </row>
    <row r="463" spans="8:25">
      <c r="H463">
        <v>231</v>
      </c>
      <c r="I463" s="18">
        <v>14</v>
      </c>
      <c r="J463">
        <v>42</v>
      </c>
      <c r="K463">
        <f t="shared" si="64"/>
        <v>210</v>
      </c>
      <c r="L463" s="39">
        <f t="shared" si="65"/>
        <v>64.653976810877936</v>
      </c>
      <c r="M463">
        <f t="shared" si="66"/>
        <v>405.31337508538434</v>
      </c>
      <c r="N463">
        <f t="shared" si="67"/>
        <v>9171.7925438681905</v>
      </c>
      <c r="O463" s="39">
        <f t="shared" si="68"/>
        <v>24714.549945525527</v>
      </c>
      <c r="S463">
        <f t="shared" si="69"/>
        <v>1</v>
      </c>
      <c r="T463">
        <f t="shared" si="70"/>
        <v>0</v>
      </c>
      <c r="U463">
        <f t="shared" si="71"/>
        <v>1</v>
      </c>
      <c r="V463">
        <f t="shared" si="72"/>
        <v>0</v>
      </c>
      <c r="W463">
        <f t="shared" si="73"/>
        <v>1</v>
      </c>
      <c r="Y463" t="str">
        <f t="shared" si="74"/>
        <v/>
      </c>
    </row>
    <row r="464" spans="8:25">
      <c r="H464">
        <v>232</v>
      </c>
      <c r="I464" s="18">
        <v>12</v>
      </c>
      <c r="J464">
        <v>58</v>
      </c>
      <c r="K464">
        <f t="shared" si="64"/>
        <v>290</v>
      </c>
      <c r="L464" s="39">
        <f t="shared" si="65"/>
        <v>65.596454606954879</v>
      </c>
      <c r="M464">
        <f t="shared" si="66"/>
        <v>365.31337508538434</v>
      </c>
      <c r="N464">
        <f t="shared" si="67"/>
        <v>8387.1417791356635</v>
      </c>
      <c r="O464" s="39">
        <f t="shared" si="68"/>
        <v>23929.899180793</v>
      </c>
      <c r="S464">
        <f t="shared" si="69"/>
        <v>1</v>
      </c>
      <c r="T464">
        <f t="shared" si="70"/>
        <v>0</v>
      </c>
      <c r="U464">
        <f t="shared" si="71"/>
        <v>1</v>
      </c>
      <c r="V464">
        <f t="shared" si="72"/>
        <v>0</v>
      </c>
      <c r="W464">
        <f t="shared" si="73"/>
        <v>1</v>
      </c>
      <c r="Y464" t="str">
        <f t="shared" si="74"/>
        <v/>
      </c>
    </row>
    <row r="465" spans="8:25">
      <c r="H465">
        <v>233</v>
      </c>
      <c r="I465" s="18">
        <v>10</v>
      </c>
      <c r="J465">
        <v>84</v>
      </c>
      <c r="K465">
        <f t="shared" si="64"/>
        <v>420</v>
      </c>
      <c r="L465" s="39">
        <f t="shared" si="65"/>
        <v>65.973445725385659</v>
      </c>
      <c r="M465">
        <f t="shared" si="66"/>
        <v>300.31337508538434</v>
      </c>
      <c r="N465">
        <f t="shared" si="67"/>
        <v>6934.4478531310469</v>
      </c>
      <c r="O465" s="39">
        <f t="shared" si="68"/>
        <v>22477.20525478838</v>
      </c>
      <c r="S465">
        <f t="shared" si="69"/>
        <v>1</v>
      </c>
      <c r="T465">
        <f t="shared" si="70"/>
        <v>0</v>
      </c>
      <c r="U465">
        <f t="shared" si="71"/>
        <v>1</v>
      </c>
      <c r="V465">
        <f t="shared" si="72"/>
        <v>0</v>
      </c>
      <c r="W465">
        <f t="shared" si="73"/>
        <v>0</v>
      </c>
      <c r="Y465" t="str">
        <f t="shared" si="74"/>
        <v/>
      </c>
    </row>
    <row r="466" spans="8:25">
      <c r="H466">
        <v>234</v>
      </c>
      <c r="I466" s="18">
        <v>18</v>
      </c>
      <c r="J466">
        <v>26</v>
      </c>
      <c r="K466">
        <f t="shared" si="64"/>
        <v>130</v>
      </c>
      <c r="L466" s="39">
        <f t="shared" si="65"/>
        <v>66.161941284601056</v>
      </c>
      <c r="M466">
        <f t="shared" si="66"/>
        <v>445.31337508538434</v>
      </c>
      <c r="N466">
        <f t="shared" si="67"/>
        <v>10311.979081476353</v>
      </c>
      <c r="O466" s="39">
        <f t="shared" si="68"/>
        <v>25854.736483133689</v>
      </c>
      <c r="S466">
        <f t="shared" si="69"/>
        <v>1</v>
      </c>
      <c r="T466">
        <f t="shared" si="70"/>
        <v>0</v>
      </c>
      <c r="U466">
        <f t="shared" si="71"/>
        <v>1</v>
      </c>
      <c r="V466">
        <f t="shared" si="72"/>
        <v>0</v>
      </c>
      <c r="W466">
        <f t="shared" si="73"/>
        <v>1</v>
      </c>
      <c r="Y466" t="str">
        <f t="shared" si="74"/>
        <v/>
      </c>
    </row>
    <row r="467" spans="8:25">
      <c r="H467">
        <v>235</v>
      </c>
      <c r="I467" s="18">
        <v>10</v>
      </c>
      <c r="J467">
        <v>86</v>
      </c>
      <c r="K467">
        <f t="shared" si="64"/>
        <v>430</v>
      </c>
      <c r="L467" s="39">
        <f t="shared" si="65"/>
        <v>67.54424205218055</v>
      </c>
      <c r="M467">
        <f t="shared" si="66"/>
        <v>295.31337508538434</v>
      </c>
      <c r="N467">
        <f t="shared" si="67"/>
        <v>6981.351330804755</v>
      </c>
      <c r="O467" s="39">
        <f t="shared" si="68"/>
        <v>22524.108732462089</v>
      </c>
      <c r="S467">
        <f t="shared" si="69"/>
        <v>1</v>
      </c>
      <c r="T467">
        <f t="shared" si="70"/>
        <v>0</v>
      </c>
      <c r="U467">
        <f t="shared" si="71"/>
        <v>1</v>
      </c>
      <c r="V467">
        <f t="shared" si="72"/>
        <v>0</v>
      </c>
      <c r="W467">
        <f t="shared" si="73"/>
        <v>0</v>
      </c>
      <c r="Y467" t="str">
        <f t="shared" si="74"/>
        <v/>
      </c>
    </row>
    <row r="468" spans="8:25">
      <c r="H468">
        <v>236</v>
      </c>
      <c r="I468" s="18">
        <v>14</v>
      </c>
      <c r="J468">
        <v>44</v>
      </c>
      <c r="K468">
        <f t="shared" si="64"/>
        <v>220</v>
      </c>
      <c r="L468" s="39">
        <f t="shared" si="65"/>
        <v>67.732737611395919</v>
      </c>
      <c r="M468">
        <f t="shared" si="66"/>
        <v>400.31337508538434</v>
      </c>
      <c r="N468">
        <f t="shared" si="67"/>
        <v>9490.0122789467296</v>
      </c>
      <c r="O468" s="39">
        <f t="shared" si="68"/>
        <v>25032.769680604062</v>
      </c>
      <c r="S468">
        <f t="shared" si="69"/>
        <v>1</v>
      </c>
      <c r="T468">
        <f t="shared" si="70"/>
        <v>0</v>
      </c>
      <c r="U468">
        <f t="shared" si="71"/>
        <v>1</v>
      </c>
      <c r="V468">
        <f t="shared" si="72"/>
        <v>0</v>
      </c>
      <c r="W468">
        <f t="shared" si="73"/>
        <v>1</v>
      </c>
      <c r="Y468" t="str">
        <f t="shared" si="74"/>
        <v/>
      </c>
    </row>
    <row r="469" spans="8:25">
      <c r="H469">
        <v>237</v>
      </c>
      <c r="I469" s="18">
        <v>12</v>
      </c>
      <c r="J469">
        <v>60</v>
      </c>
      <c r="K469">
        <f t="shared" si="64"/>
        <v>300</v>
      </c>
      <c r="L469" s="39">
        <f t="shared" si="65"/>
        <v>67.858401317539517</v>
      </c>
      <c r="M469">
        <f t="shared" si="66"/>
        <v>360.31337508538434</v>
      </c>
      <c r="N469">
        <f t="shared" si="67"/>
        <v>8557.601362317404</v>
      </c>
      <c r="O469" s="39">
        <f t="shared" si="68"/>
        <v>24100.358763974738</v>
      </c>
      <c r="S469">
        <f t="shared" si="69"/>
        <v>1</v>
      </c>
      <c r="T469">
        <f t="shared" si="70"/>
        <v>0</v>
      </c>
      <c r="U469">
        <f t="shared" si="71"/>
        <v>1</v>
      </c>
      <c r="V469">
        <f t="shared" si="72"/>
        <v>0</v>
      </c>
      <c r="W469">
        <f t="shared" si="73"/>
        <v>1</v>
      </c>
      <c r="Y469" t="str">
        <f t="shared" si="74"/>
        <v/>
      </c>
    </row>
    <row r="470" spans="8:25">
      <c r="H470">
        <v>238</v>
      </c>
      <c r="I470" s="18">
        <v>38</v>
      </c>
      <c r="J470">
        <v>6</v>
      </c>
      <c r="K470">
        <f t="shared" si="64"/>
        <v>30</v>
      </c>
      <c r="L470" s="39">
        <f t="shared" si="65"/>
        <v>68.046896876754914</v>
      </c>
      <c r="M470">
        <f t="shared" si="66"/>
        <v>495.31337508538434</v>
      </c>
      <c r="N470">
        <f t="shared" si="67"/>
        <v>11796.588354639402</v>
      </c>
      <c r="O470" s="39">
        <f t="shared" si="68"/>
        <v>27339.345756296738</v>
      </c>
      <c r="S470">
        <f t="shared" si="69"/>
        <v>1</v>
      </c>
      <c r="T470">
        <f t="shared" si="70"/>
        <v>0</v>
      </c>
      <c r="U470">
        <f t="shared" si="71"/>
        <v>0</v>
      </c>
      <c r="V470">
        <f t="shared" si="72"/>
        <v>1</v>
      </c>
      <c r="W470">
        <f t="shared" si="73"/>
        <v>1</v>
      </c>
      <c r="Y470" t="str">
        <f t="shared" si="74"/>
        <v/>
      </c>
    </row>
    <row r="471" spans="8:25">
      <c r="H471">
        <v>239</v>
      </c>
      <c r="I471" s="18">
        <v>16</v>
      </c>
      <c r="J471">
        <v>34</v>
      </c>
      <c r="K471">
        <f t="shared" si="64"/>
        <v>170</v>
      </c>
      <c r="L471" s="39">
        <f t="shared" si="65"/>
        <v>68.36105614211391</v>
      </c>
      <c r="M471">
        <f t="shared" si="66"/>
        <v>425.31337508538434</v>
      </c>
      <c r="N471">
        <f t="shared" si="67"/>
        <v>10176.205029271368</v>
      </c>
      <c r="O471" s="39">
        <f t="shared" si="68"/>
        <v>25718.962430928703</v>
      </c>
      <c r="S471">
        <f t="shared" si="69"/>
        <v>1</v>
      </c>
      <c r="T471">
        <f t="shared" si="70"/>
        <v>0</v>
      </c>
      <c r="U471">
        <f t="shared" si="71"/>
        <v>1</v>
      </c>
      <c r="V471">
        <f t="shared" si="72"/>
        <v>0</v>
      </c>
      <c r="W471">
        <f t="shared" si="73"/>
        <v>1</v>
      </c>
      <c r="Y471" t="str">
        <f t="shared" si="74"/>
        <v/>
      </c>
    </row>
    <row r="472" spans="8:25">
      <c r="H472">
        <v>240</v>
      </c>
      <c r="I472" s="18">
        <v>22</v>
      </c>
      <c r="J472">
        <v>18</v>
      </c>
      <c r="K472">
        <f t="shared" si="64"/>
        <v>90</v>
      </c>
      <c r="L472" s="39">
        <f t="shared" si="65"/>
        <v>68.423887995185709</v>
      </c>
      <c r="M472">
        <f t="shared" si="66"/>
        <v>465.31337508538434</v>
      </c>
      <c r="N472">
        <f t="shared" si="67"/>
        <v>11143.492590826461</v>
      </c>
      <c r="O472" s="39">
        <f t="shared" si="68"/>
        <v>26686.249992483798</v>
      </c>
      <c r="S472">
        <f t="shared" si="69"/>
        <v>1</v>
      </c>
      <c r="T472">
        <f t="shared" si="70"/>
        <v>0</v>
      </c>
      <c r="U472">
        <f t="shared" si="71"/>
        <v>1</v>
      </c>
      <c r="V472">
        <f t="shared" si="72"/>
        <v>1</v>
      </c>
      <c r="W472">
        <f t="shared" si="73"/>
        <v>1</v>
      </c>
      <c r="Y472" t="str">
        <f t="shared" si="74"/>
        <v/>
      </c>
    </row>
    <row r="473" spans="8:25">
      <c r="H473">
        <v>241</v>
      </c>
      <c r="I473" s="18">
        <v>25</v>
      </c>
      <c r="J473">
        <v>14</v>
      </c>
      <c r="K473">
        <f t="shared" si="64"/>
        <v>70</v>
      </c>
      <c r="L473" s="39">
        <f t="shared" si="65"/>
        <v>68.722339297276719</v>
      </c>
      <c r="M473">
        <f t="shared" si="66"/>
        <v>475.31337508538434</v>
      </c>
      <c r="N473">
        <f t="shared" si="67"/>
        <v>11432.626462303037</v>
      </c>
      <c r="O473" s="39">
        <f t="shared" si="68"/>
        <v>26975.383863960371</v>
      </c>
      <c r="S473">
        <f t="shared" si="69"/>
        <v>1</v>
      </c>
      <c r="T473">
        <f t="shared" si="70"/>
        <v>0</v>
      </c>
      <c r="U473">
        <f t="shared" si="71"/>
        <v>1</v>
      </c>
      <c r="V473">
        <f t="shared" si="72"/>
        <v>1</v>
      </c>
      <c r="W473">
        <f t="shared" si="73"/>
        <v>1</v>
      </c>
      <c r="Y473" t="str">
        <f t="shared" si="74"/>
        <v/>
      </c>
    </row>
    <row r="474" spans="8:25">
      <c r="H474">
        <v>242</v>
      </c>
      <c r="I474" s="18">
        <v>20</v>
      </c>
      <c r="J474">
        <v>22</v>
      </c>
      <c r="K474">
        <f t="shared" si="64"/>
        <v>110</v>
      </c>
      <c r="L474" s="39">
        <f t="shared" si="65"/>
        <v>69.115038378975441</v>
      </c>
      <c r="M474">
        <f t="shared" si="66"/>
        <v>455.31337508538434</v>
      </c>
      <c r="N474">
        <f t="shared" si="67"/>
        <v>11014.150487720512</v>
      </c>
      <c r="O474" s="39">
        <f t="shared" si="68"/>
        <v>26556.907889377846</v>
      </c>
      <c r="S474">
        <f t="shared" si="69"/>
        <v>1</v>
      </c>
      <c r="T474">
        <f t="shared" si="70"/>
        <v>0</v>
      </c>
      <c r="U474">
        <f t="shared" si="71"/>
        <v>1</v>
      </c>
      <c r="V474">
        <f t="shared" si="72"/>
        <v>0</v>
      </c>
      <c r="W474">
        <f t="shared" si="73"/>
        <v>1</v>
      </c>
      <c r="Y474" t="str">
        <f t="shared" si="74"/>
        <v/>
      </c>
    </row>
    <row r="475" spans="8:25">
      <c r="H475">
        <v>243</v>
      </c>
      <c r="I475" s="18">
        <v>10</v>
      </c>
      <c r="J475">
        <v>88</v>
      </c>
      <c r="K475">
        <f t="shared" si="64"/>
        <v>440</v>
      </c>
      <c r="L475" s="39">
        <f t="shared" si="65"/>
        <v>69.115038378975441</v>
      </c>
      <c r="M475">
        <f t="shared" si="66"/>
        <v>290.31337508538434</v>
      </c>
      <c r="N475">
        <f t="shared" si="67"/>
        <v>7022.7570213346808</v>
      </c>
      <c r="O475" s="39">
        <f t="shared" si="68"/>
        <v>22565.514422992015</v>
      </c>
      <c r="S475">
        <f t="shared" si="69"/>
        <v>1</v>
      </c>
      <c r="T475">
        <f t="shared" si="70"/>
        <v>0</v>
      </c>
      <c r="U475">
        <f t="shared" si="71"/>
        <v>1</v>
      </c>
      <c r="V475">
        <f t="shared" si="72"/>
        <v>0</v>
      </c>
      <c r="W475">
        <f t="shared" si="73"/>
        <v>0</v>
      </c>
      <c r="Y475" t="str">
        <f t="shared" si="74"/>
        <v/>
      </c>
    </row>
    <row r="476" spans="8:25">
      <c r="H476">
        <v>244</v>
      </c>
      <c r="I476" s="18">
        <v>12</v>
      </c>
      <c r="J476">
        <v>62</v>
      </c>
      <c r="K476">
        <f t="shared" si="64"/>
        <v>310</v>
      </c>
      <c r="L476" s="39">
        <f t="shared" si="65"/>
        <v>70.120348028124184</v>
      </c>
      <c r="M476">
        <f t="shared" si="66"/>
        <v>355.31337508538434</v>
      </c>
      <c r="N476">
        <f t="shared" si="67"/>
        <v>8720.144132012103</v>
      </c>
      <c r="O476" s="39">
        <f t="shared" si="68"/>
        <v>24262.901533669436</v>
      </c>
      <c r="S476">
        <f t="shared" si="69"/>
        <v>1</v>
      </c>
      <c r="T476">
        <f t="shared" si="70"/>
        <v>0</v>
      </c>
      <c r="U476">
        <f t="shared" si="71"/>
        <v>1</v>
      </c>
      <c r="V476">
        <f t="shared" si="72"/>
        <v>0</v>
      </c>
      <c r="W476">
        <f t="shared" si="73"/>
        <v>0</v>
      </c>
      <c r="Y476" t="str">
        <f t="shared" si="74"/>
        <v/>
      </c>
    </row>
    <row r="477" spans="8:25">
      <c r="H477">
        <v>245</v>
      </c>
      <c r="I477" s="18">
        <v>30</v>
      </c>
      <c r="J477">
        <v>10</v>
      </c>
      <c r="K477">
        <f t="shared" si="64"/>
        <v>50</v>
      </c>
      <c r="L477" s="39">
        <f t="shared" si="65"/>
        <v>70.685834705770347</v>
      </c>
      <c r="M477">
        <f t="shared" si="66"/>
        <v>485.31337508538434</v>
      </c>
      <c r="N477">
        <f t="shared" si="67"/>
        <v>12006.673354124749</v>
      </c>
      <c r="O477" s="39">
        <f t="shared" si="68"/>
        <v>27549.430755782083</v>
      </c>
      <c r="S477">
        <f t="shared" si="69"/>
        <v>1</v>
      </c>
      <c r="T477">
        <f t="shared" si="70"/>
        <v>0</v>
      </c>
      <c r="U477">
        <f t="shared" si="71"/>
        <v>0</v>
      </c>
      <c r="V477">
        <f t="shared" si="72"/>
        <v>1</v>
      </c>
      <c r="W477">
        <f t="shared" si="73"/>
        <v>1</v>
      </c>
      <c r="Y477" t="str">
        <f t="shared" si="74"/>
        <v/>
      </c>
    </row>
    <row r="478" spans="8:25">
      <c r="H478">
        <v>246</v>
      </c>
      <c r="I478" s="18">
        <v>10</v>
      </c>
      <c r="J478">
        <v>90</v>
      </c>
      <c r="K478">
        <f t="shared" si="64"/>
        <v>450</v>
      </c>
      <c r="L478" s="39">
        <f t="shared" si="65"/>
        <v>70.685834705770347</v>
      </c>
      <c r="M478">
        <f t="shared" si="66"/>
        <v>285.31337508538434</v>
      </c>
      <c r="N478">
        <f t="shared" si="67"/>
        <v>7058.6649247208261</v>
      </c>
      <c r="O478" s="39">
        <f t="shared" si="68"/>
        <v>22601.422326378161</v>
      </c>
      <c r="S478">
        <f t="shared" si="69"/>
        <v>1</v>
      </c>
      <c r="T478">
        <f t="shared" si="70"/>
        <v>0</v>
      </c>
      <c r="U478">
        <f t="shared" si="71"/>
        <v>1</v>
      </c>
      <c r="V478">
        <f t="shared" si="72"/>
        <v>0</v>
      </c>
      <c r="W478">
        <f t="shared" si="73"/>
        <v>0</v>
      </c>
      <c r="Y478" t="str">
        <f t="shared" si="74"/>
        <v/>
      </c>
    </row>
    <row r="479" spans="8:25">
      <c r="H479">
        <v>247</v>
      </c>
      <c r="I479" s="18">
        <v>14</v>
      </c>
      <c r="J479">
        <v>46</v>
      </c>
      <c r="K479">
        <f t="shared" si="64"/>
        <v>230</v>
      </c>
      <c r="L479" s="39">
        <f t="shared" si="65"/>
        <v>70.811498411913931</v>
      </c>
      <c r="M479">
        <f t="shared" si="66"/>
        <v>395.31337508538434</v>
      </c>
      <c r="N479">
        <f t="shared" si="67"/>
        <v>9797.4563512234599</v>
      </c>
      <c r="O479" s="39">
        <f t="shared" si="68"/>
        <v>25340.213752880794</v>
      </c>
      <c r="S479">
        <f t="shared" si="69"/>
        <v>1</v>
      </c>
      <c r="T479">
        <f t="shared" si="70"/>
        <v>0</v>
      </c>
      <c r="U479">
        <f t="shared" si="71"/>
        <v>1</v>
      </c>
      <c r="V479">
        <f t="shared" si="72"/>
        <v>0</v>
      </c>
      <c r="W479">
        <f t="shared" si="73"/>
        <v>1</v>
      </c>
      <c r="Y479" t="str">
        <f t="shared" si="74"/>
        <v/>
      </c>
    </row>
    <row r="480" spans="8:25">
      <c r="H480">
        <v>248</v>
      </c>
      <c r="I480" s="18">
        <v>18</v>
      </c>
      <c r="J480">
        <v>28</v>
      </c>
      <c r="K480">
        <f t="shared" si="64"/>
        <v>140</v>
      </c>
      <c r="L480" s="39">
        <f t="shared" si="65"/>
        <v>71.25132138341651</v>
      </c>
      <c r="M480">
        <f t="shared" si="66"/>
        <v>440.31337508538434</v>
      </c>
      <c r="N480">
        <f t="shared" si="67"/>
        <v>10980.518429168938</v>
      </c>
      <c r="O480" s="39">
        <f t="shared" si="68"/>
        <v>26523.275830826271</v>
      </c>
      <c r="S480">
        <f t="shared" si="69"/>
        <v>1</v>
      </c>
      <c r="T480">
        <f t="shared" si="70"/>
        <v>0</v>
      </c>
      <c r="U480">
        <f t="shared" si="71"/>
        <v>1</v>
      </c>
      <c r="V480">
        <f t="shared" si="72"/>
        <v>0</v>
      </c>
      <c r="W480">
        <f t="shared" si="73"/>
        <v>1</v>
      </c>
      <c r="Y480" t="str">
        <f t="shared" si="74"/>
        <v/>
      </c>
    </row>
    <row r="481" spans="8:25">
      <c r="H481">
        <v>249</v>
      </c>
      <c r="I481" s="18">
        <v>10</v>
      </c>
      <c r="J481">
        <v>92</v>
      </c>
      <c r="K481">
        <f t="shared" si="64"/>
        <v>460</v>
      </c>
      <c r="L481" s="39">
        <f t="shared" si="65"/>
        <v>72.256631032565238</v>
      </c>
      <c r="M481">
        <f t="shared" si="66"/>
        <v>280.31337508538434</v>
      </c>
      <c r="N481">
        <f t="shared" si="67"/>
        <v>7089.0750409631892</v>
      </c>
      <c r="O481" s="39">
        <f t="shared" si="68"/>
        <v>22631.832442620522</v>
      </c>
      <c r="S481">
        <f t="shared" si="69"/>
        <v>1</v>
      </c>
      <c r="T481">
        <f t="shared" si="70"/>
        <v>0</v>
      </c>
      <c r="U481">
        <f t="shared" si="71"/>
        <v>1</v>
      </c>
      <c r="V481">
        <f t="shared" si="72"/>
        <v>0</v>
      </c>
      <c r="W481">
        <f t="shared" si="73"/>
        <v>0</v>
      </c>
      <c r="Y481" t="str">
        <f t="shared" si="74"/>
        <v/>
      </c>
    </row>
    <row r="482" spans="8:25">
      <c r="H482">
        <v>250</v>
      </c>
      <c r="I482" s="18">
        <v>24</v>
      </c>
      <c r="J482">
        <v>16</v>
      </c>
      <c r="K482">
        <f t="shared" si="64"/>
        <v>80</v>
      </c>
      <c r="L482" s="39">
        <f t="shared" si="65"/>
        <v>72.382294738708836</v>
      </c>
      <c r="M482">
        <f t="shared" si="66"/>
        <v>470.31337508538434</v>
      </c>
      <c r="N482">
        <f t="shared" si="67"/>
        <v>11914.826467245523</v>
      </c>
      <c r="O482" s="39">
        <f t="shared" si="68"/>
        <v>27457.583868902857</v>
      </c>
      <c r="S482">
        <f t="shared" si="69"/>
        <v>1</v>
      </c>
      <c r="T482">
        <f t="shared" si="70"/>
        <v>0</v>
      </c>
      <c r="U482">
        <f t="shared" si="71"/>
        <v>1</v>
      </c>
      <c r="V482">
        <f t="shared" si="72"/>
        <v>1</v>
      </c>
      <c r="W482">
        <f t="shared" si="73"/>
        <v>1</v>
      </c>
      <c r="Y482" t="str">
        <f t="shared" si="74"/>
        <v/>
      </c>
    </row>
    <row r="483" spans="8:25">
      <c r="H483">
        <v>251</v>
      </c>
      <c r="I483" s="18">
        <v>12</v>
      </c>
      <c r="J483">
        <v>64</v>
      </c>
      <c r="K483">
        <f t="shared" si="64"/>
        <v>320</v>
      </c>
      <c r="L483" s="39">
        <f t="shared" si="65"/>
        <v>72.382294738708836</v>
      </c>
      <c r="M483">
        <f t="shared" si="66"/>
        <v>350.31337508538434</v>
      </c>
      <c r="N483">
        <f t="shared" si="67"/>
        <v>8874.7700882197532</v>
      </c>
      <c r="O483" s="39">
        <f t="shared" si="68"/>
        <v>24417.527489877088</v>
      </c>
      <c r="S483">
        <f t="shared" si="69"/>
        <v>1</v>
      </c>
      <c r="T483">
        <f t="shared" si="70"/>
        <v>0</v>
      </c>
      <c r="U483">
        <f t="shared" si="71"/>
        <v>1</v>
      </c>
      <c r="V483">
        <f t="shared" si="72"/>
        <v>0</v>
      </c>
      <c r="W483">
        <f t="shared" si="73"/>
        <v>0</v>
      </c>
      <c r="Y483" t="str">
        <f t="shared" si="74"/>
        <v/>
      </c>
    </row>
    <row r="484" spans="8:25">
      <c r="H484">
        <v>252</v>
      </c>
      <c r="I484" s="18">
        <v>16</v>
      </c>
      <c r="J484">
        <v>36</v>
      </c>
      <c r="K484">
        <f t="shared" si="64"/>
        <v>180</v>
      </c>
      <c r="L484" s="39">
        <f t="shared" si="65"/>
        <v>72.38229473870885</v>
      </c>
      <c r="M484">
        <f t="shared" si="66"/>
        <v>420.31337508538434</v>
      </c>
      <c r="N484">
        <f t="shared" si="67"/>
        <v>10648.136309318123</v>
      </c>
      <c r="O484" s="39">
        <f t="shared" si="68"/>
        <v>26190.893710975455</v>
      </c>
      <c r="S484">
        <f t="shared" si="69"/>
        <v>1</v>
      </c>
      <c r="T484">
        <f t="shared" si="70"/>
        <v>0</v>
      </c>
      <c r="U484">
        <f t="shared" si="71"/>
        <v>1</v>
      </c>
      <c r="V484">
        <f t="shared" si="72"/>
        <v>0</v>
      </c>
      <c r="W484">
        <f t="shared" si="73"/>
        <v>1</v>
      </c>
      <c r="Y484" t="str">
        <f t="shared" si="74"/>
        <v/>
      </c>
    </row>
    <row r="485" spans="8:25">
      <c r="H485">
        <v>253</v>
      </c>
      <c r="I485" s="18">
        <v>34</v>
      </c>
      <c r="J485">
        <v>8</v>
      </c>
      <c r="K485">
        <f t="shared" si="64"/>
        <v>40</v>
      </c>
      <c r="L485" s="39">
        <f t="shared" si="65"/>
        <v>72.633622150996004</v>
      </c>
      <c r="M485">
        <f t="shared" si="66"/>
        <v>490.31337508538434</v>
      </c>
      <c r="N485">
        <f t="shared" si="67"/>
        <v>12464.632747535985</v>
      </c>
      <c r="O485" s="39">
        <f t="shared" si="68"/>
        <v>28007.390149193321</v>
      </c>
      <c r="S485">
        <f t="shared" si="69"/>
        <v>1</v>
      </c>
      <c r="T485">
        <f t="shared" si="70"/>
        <v>0</v>
      </c>
      <c r="U485">
        <f t="shared" si="71"/>
        <v>0</v>
      </c>
      <c r="V485">
        <f t="shared" si="72"/>
        <v>1</v>
      </c>
      <c r="W485">
        <f t="shared" si="73"/>
        <v>1</v>
      </c>
      <c r="Y485" t="str">
        <f t="shared" si="74"/>
        <v/>
      </c>
    </row>
    <row r="486" spans="8:25">
      <c r="H486">
        <v>254</v>
      </c>
      <c r="I486" s="18">
        <v>10</v>
      </c>
      <c r="J486">
        <v>94</v>
      </c>
      <c r="K486">
        <f t="shared" si="64"/>
        <v>470</v>
      </c>
      <c r="L486" s="39">
        <f t="shared" si="65"/>
        <v>73.827427359360144</v>
      </c>
      <c r="M486">
        <f t="shared" si="66"/>
        <v>275.31337508538434</v>
      </c>
      <c r="N486">
        <f t="shared" si="67"/>
        <v>7113.98737006177</v>
      </c>
      <c r="O486" s="39">
        <f t="shared" si="68"/>
        <v>22656.744771719103</v>
      </c>
      <c r="S486">
        <f t="shared" si="69"/>
        <v>1</v>
      </c>
      <c r="T486">
        <f t="shared" si="70"/>
        <v>0</v>
      </c>
      <c r="U486">
        <f t="shared" si="71"/>
        <v>1</v>
      </c>
      <c r="V486">
        <f t="shared" si="72"/>
        <v>0</v>
      </c>
      <c r="W486">
        <f t="shared" si="73"/>
        <v>0</v>
      </c>
      <c r="Y486" t="str">
        <f t="shared" si="74"/>
        <v/>
      </c>
    </row>
    <row r="487" spans="8:25">
      <c r="H487">
        <v>255</v>
      </c>
      <c r="I487" s="18">
        <v>28</v>
      </c>
      <c r="J487">
        <v>12</v>
      </c>
      <c r="K487">
        <f t="shared" si="64"/>
        <v>60</v>
      </c>
      <c r="L487" s="39">
        <f t="shared" si="65"/>
        <v>73.890259212431928</v>
      </c>
      <c r="M487">
        <f t="shared" si="66"/>
        <v>480.31337508538434</v>
      </c>
      <c r="N487">
        <f t="shared" si="67"/>
        <v>12421.667925889982</v>
      </c>
      <c r="O487" s="39">
        <f t="shared" si="68"/>
        <v>27964.425327547317</v>
      </c>
      <c r="S487">
        <f t="shared" si="69"/>
        <v>1</v>
      </c>
      <c r="T487">
        <f t="shared" si="70"/>
        <v>0</v>
      </c>
      <c r="U487">
        <f t="shared" si="71"/>
        <v>0</v>
      </c>
      <c r="V487">
        <f t="shared" si="72"/>
        <v>1</v>
      </c>
      <c r="W487">
        <f t="shared" si="73"/>
        <v>1</v>
      </c>
      <c r="Y487" t="str">
        <f t="shared" si="74"/>
        <v/>
      </c>
    </row>
    <row r="488" spans="8:25">
      <c r="H488">
        <v>256</v>
      </c>
      <c r="I488" s="18">
        <v>14</v>
      </c>
      <c r="J488">
        <v>48</v>
      </c>
      <c r="K488">
        <f t="shared" si="64"/>
        <v>240</v>
      </c>
      <c r="L488" s="39">
        <f t="shared" si="65"/>
        <v>73.890259212431928</v>
      </c>
      <c r="M488">
        <f t="shared" si="66"/>
        <v>390.31337508538434</v>
      </c>
      <c r="N488">
        <f t="shared" si="67"/>
        <v>10094.124760698376</v>
      </c>
      <c r="O488" s="39">
        <f t="shared" si="68"/>
        <v>25636.882162355709</v>
      </c>
      <c r="S488">
        <f t="shared" si="69"/>
        <v>1</v>
      </c>
      <c r="T488">
        <f t="shared" si="70"/>
        <v>0</v>
      </c>
      <c r="U488">
        <f t="shared" si="71"/>
        <v>1</v>
      </c>
      <c r="V488">
        <f t="shared" si="72"/>
        <v>0</v>
      </c>
      <c r="W488">
        <f t="shared" si="73"/>
        <v>1</v>
      </c>
      <c r="Y488" t="str">
        <f t="shared" si="74"/>
        <v/>
      </c>
    </row>
    <row r="489" spans="8:25">
      <c r="H489">
        <v>257</v>
      </c>
      <c r="I489" s="18">
        <v>26</v>
      </c>
      <c r="J489">
        <v>14</v>
      </c>
      <c r="K489">
        <f t="shared" ref="K489:K552" si="75">$F$230+$F$231*(J489-2)/2</f>
        <v>70</v>
      </c>
      <c r="L489" s="39">
        <f t="shared" ref="L489:L552" si="76">J489*0.25*PI()*(I489/10)^2</f>
        <v>74.330082183934508</v>
      </c>
      <c r="M489">
        <f t="shared" ref="M489:M552" si="77">$F$233-(K489+$F$232)/2</f>
        <v>475.31337508538434</v>
      </c>
      <c r="N489">
        <f t="shared" ref="N489:N552" si="78">L489*$F$235*M489*0.001</f>
        <v>12365.528781626968</v>
      </c>
      <c r="O489" s="39">
        <f t="shared" ref="O489:O552" si="79">N489+$F$237</f>
        <v>27908.286183284305</v>
      </c>
      <c r="S489">
        <f t="shared" ref="S489:S552" si="80">IF(L489&lt;$F$236,1,0)</f>
        <v>1</v>
      </c>
      <c r="T489">
        <f t="shared" ref="T489:T552" si="81">IF(O489&gt;$F$234,1,0)</f>
        <v>0</v>
      </c>
      <c r="U489">
        <f t="shared" ref="U489:U552" si="82">IF(I489&lt;=$F$238,1,0)</f>
        <v>0</v>
      </c>
      <c r="V489">
        <f t="shared" ref="V489:V552" si="83">IF(J489&lt;=$F$239,1,0)</f>
        <v>1</v>
      </c>
      <c r="W489">
        <f t="shared" ref="W489:W552" si="84">IF(K489&lt;=$F$240,1,0)</f>
        <v>1</v>
      </c>
      <c r="Y489" t="str">
        <f t="shared" ref="Y489:Y552" si="85">IF(SUM(S489:W489)=5,H489,"")</f>
        <v/>
      </c>
    </row>
    <row r="490" spans="8:25">
      <c r="H490">
        <v>258</v>
      </c>
      <c r="I490" s="18">
        <v>12</v>
      </c>
      <c r="J490">
        <v>66</v>
      </c>
      <c r="K490">
        <f t="shared" si="75"/>
        <v>330</v>
      </c>
      <c r="L490" s="39">
        <f t="shared" si="76"/>
        <v>74.644241449293489</v>
      </c>
      <c r="M490">
        <f t="shared" si="77"/>
        <v>345.31337508538434</v>
      </c>
      <c r="N490">
        <f t="shared" si="78"/>
        <v>9021.4792309403565</v>
      </c>
      <c r="O490" s="39">
        <f t="shared" si="79"/>
        <v>24564.236632597691</v>
      </c>
      <c r="S490">
        <f t="shared" si="80"/>
        <v>1</v>
      </c>
      <c r="T490">
        <f t="shared" si="81"/>
        <v>0</v>
      </c>
      <c r="U490">
        <f t="shared" si="82"/>
        <v>1</v>
      </c>
      <c r="V490">
        <f t="shared" si="83"/>
        <v>0</v>
      </c>
      <c r="W490">
        <f t="shared" si="84"/>
        <v>0</v>
      </c>
      <c r="Y490" t="str">
        <f t="shared" si="85"/>
        <v/>
      </c>
    </row>
    <row r="491" spans="8:25">
      <c r="H491">
        <v>259</v>
      </c>
      <c r="I491" s="18">
        <v>40</v>
      </c>
      <c r="J491">
        <v>6</v>
      </c>
      <c r="K491">
        <f t="shared" si="75"/>
        <v>30</v>
      </c>
      <c r="L491" s="39">
        <f t="shared" si="76"/>
        <v>75.398223686155035</v>
      </c>
      <c r="M491">
        <f t="shared" si="77"/>
        <v>495.31337508538434</v>
      </c>
      <c r="N491">
        <f t="shared" si="78"/>
        <v>13071.012027301276</v>
      </c>
      <c r="O491" s="39">
        <f t="shared" si="79"/>
        <v>28613.769428958611</v>
      </c>
      <c r="S491">
        <f t="shared" si="80"/>
        <v>1</v>
      </c>
      <c r="T491">
        <f t="shared" si="81"/>
        <v>0</v>
      </c>
      <c r="U491">
        <f t="shared" si="82"/>
        <v>0</v>
      </c>
      <c r="V491">
        <f t="shared" si="83"/>
        <v>1</v>
      </c>
      <c r="W491">
        <f t="shared" si="84"/>
        <v>1</v>
      </c>
      <c r="Y491" t="str">
        <f t="shared" si="85"/>
        <v/>
      </c>
    </row>
    <row r="492" spans="8:25">
      <c r="H492">
        <v>260</v>
      </c>
      <c r="I492" s="18">
        <v>20</v>
      </c>
      <c r="J492">
        <v>24</v>
      </c>
      <c r="K492">
        <f t="shared" si="75"/>
        <v>120</v>
      </c>
      <c r="L492" s="39">
        <f t="shared" si="76"/>
        <v>75.398223686155035</v>
      </c>
      <c r="M492">
        <f t="shared" si="77"/>
        <v>450.31337508538434</v>
      </c>
      <c r="N492">
        <f t="shared" si="78"/>
        <v>11883.490004244335</v>
      </c>
      <c r="O492" s="39">
        <f t="shared" si="79"/>
        <v>27426.247405901668</v>
      </c>
      <c r="S492">
        <f t="shared" si="80"/>
        <v>1</v>
      </c>
      <c r="T492">
        <f t="shared" si="81"/>
        <v>0</v>
      </c>
      <c r="U492">
        <f t="shared" si="82"/>
        <v>1</v>
      </c>
      <c r="V492">
        <f t="shared" si="83"/>
        <v>0</v>
      </c>
      <c r="W492">
        <f t="shared" si="84"/>
        <v>1</v>
      </c>
      <c r="Y492" t="str">
        <f t="shared" si="85"/>
        <v/>
      </c>
    </row>
    <row r="493" spans="8:25">
      <c r="H493">
        <v>261</v>
      </c>
      <c r="I493" s="18">
        <v>10</v>
      </c>
      <c r="J493">
        <v>96</v>
      </c>
      <c r="K493">
        <f t="shared" si="75"/>
        <v>480</v>
      </c>
      <c r="L493" s="39">
        <f t="shared" si="76"/>
        <v>75.398223686155035</v>
      </c>
      <c r="M493">
        <f t="shared" si="77"/>
        <v>270.31337508538434</v>
      </c>
      <c r="N493">
        <f t="shared" si="78"/>
        <v>7133.4019120165676</v>
      </c>
      <c r="O493" s="39">
        <f t="shared" si="79"/>
        <v>22676.159313673903</v>
      </c>
      <c r="S493">
        <f t="shared" si="80"/>
        <v>1</v>
      </c>
      <c r="T493">
        <f t="shared" si="81"/>
        <v>0</v>
      </c>
      <c r="U493">
        <f t="shared" si="82"/>
        <v>1</v>
      </c>
      <c r="V493">
        <f t="shared" si="83"/>
        <v>0</v>
      </c>
      <c r="W493">
        <f t="shared" si="84"/>
        <v>0</v>
      </c>
      <c r="Y493" t="str">
        <f t="shared" si="85"/>
        <v/>
      </c>
    </row>
    <row r="494" spans="8:25">
      <c r="H494">
        <v>262</v>
      </c>
      <c r="I494" s="18">
        <v>22</v>
      </c>
      <c r="J494">
        <v>20</v>
      </c>
      <c r="K494">
        <f t="shared" si="75"/>
        <v>100</v>
      </c>
      <c r="L494" s="39">
        <f t="shared" si="76"/>
        <v>76.026542216873011</v>
      </c>
      <c r="M494">
        <f t="shared" si="77"/>
        <v>460.31337508538434</v>
      </c>
      <c r="N494">
        <f t="shared" si="78"/>
        <v>12248.611985372094</v>
      </c>
      <c r="O494" s="39">
        <f t="shared" si="79"/>
        <v>27791.36938702943</v>
      </c>
      <c r="S494">
        <f t="shared" si="80"/>
        <v>1</v>
      </c>
      <c r="T494">
        <f t="shared" si="81"/>
        <v>0</v>
      </c>
      <c r="U494">
        <f t="shared" si="82"/>
        <v>1</v>
      </c>
      <c r="V494">
        <f t="shared" si="83"/>
        <v>1</v>
      </c>
      <c r="W494">
        <f t="shared" si="84"/>
        <v>1</v>
      </c>
      <c r="Y494" t="str">
        <f t="shared" si="85"/>
        <v/>
      </c>
    </row>
    <row r="495" spans="8:25">
      <c r="H495">
        <v>263</v>
      </c>
      <c r="I495" s="18">
        <v>18</v>
      </c>
      <c r="J495">
        <v>30</v>
      </c>
      <c r="K495">
        <f t="shared" si="75"/>
        <v>150</v>
      </c>
      <c r="L495" s="39">
        <f t="shared" si="76"/>
        <v>76.340701482231978</v>
      </c>
      <c r="M495">
        <f t="shared" si="77"/>
        <v>435.31337508538434</v>
      </c>
      <c r="N495">
        <f t="shared" si="78"/>
        <v>11631.244946515671</v>
      </c>
      <c r="O495" s="39">
        <f t="shared" si="79"/>
        <v>27174.002348173006</v>
      </c>
      <c r="S495">
        <f t="shared" si="80"/>
        <v>1</v>
      </c>
      <c r="T495">
        <f t="shared" si="81"/>
        <v>0</v>
      </c>
      <c r="U495">
        <f t="shared" si="82"/>
        <v>1</v>
      </c>
      <c r="V495">
        <f t="shared" si="83"/>
        <v>0</v>
      </c>
      <c r="W495">
        <f t="shared" si="84"/>
        <v>1</v>
      </c>
      <c r="Y495" t="str">
        <f t="shared" si="85"/>
        <v/>
      </c>
    </row>
    <row r="496" spans="8:25">
      <c r="H496">
        <v>264</v>
      </c>
      <c r="I496" s="18">
        <v>16</v>
      </c>
      <c r="J496">
        <v>38</v>
      </c>
      <c r="K496">
        <f t="shared" si="75"/>
        <v>190</v>
      </c>
      <c r="L496" s="39">
        <f t="shared" si="76"/>
        <v>76.403533335303777</v>
      </c>
      <c r="M496">
        <f t="shared" si="77"/>
        <v>415.31337508538434</v>
      </c>
      <c r="N496">
        <f t="shared" si="78"/>
        <v>11105.993254276789</v>
      </c>
      <c r="O496" s="39">
        <f t="shared" si="79"/>
        <v>26648.750655934124</v>
      </c>
      <c r="S496">
        <f t="shared" si="80"/>
        <v>1</v>
      </c>
      <c r="T496">
        <f t="shared" si="81"/>
        <v>0</v>
      </c>
      <c r="U496">
        <f t="shared" si="82"/>
        <v>1</v>
      </c>
      <c r="V496">
        <f t="shared" si="83"/>
        <v>0</v>
      </c>
      <c r="W496">
        <f t="shared" si="84"/>
        <v>1</v>
      </c>
      <c r="Y496" t="str">
        <f t="shared" si="85"/>
        <v/>
      </c>
    </row>
    <row r="497" spans="8:25">
      <c r="H497">
        <v>265</v>
      </c>
      <c r="I497" s="18">
        <v>12</v>
      </c>
      <c r="J497">
        <v>68</v>
      </c>
      <c r="K497">
        <f t="shared" si="75"/>
        <v>340</v>
      </c>
      <c r="L497" s="39">
        <f t="shared" si="76"/>
        <v>76.906188159878141</v>
      </c>
      <c r="M497">
        <f t="shared" si="77"/>
        <v>340.31337508538434</v>
      </c>
      <c r="N497">
        <f t="shared" si="78"/>
        <v>9160.2715601739146</v>
      </c>
      <c r="O497" s="39">
        <f t="shared" si="79"/>
        <v>24703.028961831249</v>
      </c>
      <c r="S497">
        <f t="shared" si="80"/>
        <v>1</v>
      </c>
      <c r="T497">
        <f t="shared" si="81"/>
        <v>0</v>
      </c>
      <c r="U497">
        <f t="shared" si="82"/>
        <v>1</v>
      </c>
      <c r="V497">
        <f t="shared" si="83"/>
        <v>0</v>
      </c>
      <c r="W497">
        <f t="shared" si="84"/>
        <v>0</v>
      </c>
      <c r="Y497" t="str">
        <f t="shared" si="85"/>
        <v/>
      </c>
    </row>
    <row r="498" spans="8:25">
      <c r="H498">
        <v>266</v>
      </c>
      <c r="I498" s="18">
        <v>14</v>
      </c>
      <c r="J498">
        <v>50</v>
      </c>
      <c r="K498">
        <f t="shared" si="75"/>
        <v>250</v>
      </c>
      <c r="L498" s="39">
        <f t="shared" si="76"/>
        <v>76.969020012949926</v>
      </c>
      <c r="M498">
        <f t="shared" si="77"/>
        <v>385.31337508538434</v>
      </c>
      <c r="N498">
        <f t="shared" si="78"/>
        <v>10380.01750737148</v>
      </c>
      <c r="O498" s="39">
        <f t="shared" si="79"/>
        <v>25922.774909028813</v>
      </c>
      <c r="S498">
        <f t="shared" si="80"/>
        <v>1</v>
      </c>
      <c r="T498">
        <f t="shared" si="81"/>
        <v>0</v>
      </c>
      <c r="U498">
        <f t="shared" si="82"/>
        <v>1</v>
      </c>
      <c r="V498">
        <f t="shared" si="83"/>
        <v>0</v>
      </c>
      <c r="W498">
        <f t="shared" si="84"/>
        <v>1</v>
      </c>
      <c r="Y498" t="str">
        <f t="shared" si="85"/>
        <v/>
      </c>
    </row>
    <row r="499" spans="8:25">
      <c r="H499">
        <v>267</v>
      </c>
      <c r="I499" s="18">
        <v>10</v>
      </c>
      <c r="J499">
        <v>98</v>
      </c>
      <c r="K499">
        <f t="shared" si="75"/>
        <v>490</v>
      </c>
      <c r="L499" s="39">
        <f t="shared" si="76"/>
        <v>76.969020012949926</v>
      </c>
      <c r="M499">
        <f t="shared" si="77"/>
        <v>265.31337508538434</v>
      </c>
      <c r="N499">
        <f t="shared" si="78"/>
        <v>7147.318666827583</v>
      </c>
      <c r="O499" s="39">
        <f t="shared" si="79"/>
        <v>22690.076068484916</v>
      </c>
      <c r="S499">
        <f t="shared" si="80"/>
        <v>1</v>
      </c>
      <c r="T499">
        <f t="shared" si="81"/>
        <v>0</v>
      </c>
      <c r="U499">
        <f t="shared" si="82"/>
        <v>1</v>
      </c>
      <c r="V499">
        <f t="shared" si="83"/>
        <v>0</v>
      </c>
      <c r="W499">
        <f t="shared" si="84"/>
        <v>0</v>
      </c>
      <c r="Y499" t="str">
        <f t="shared" si="85"/>
        <v/>
      </c>
    </row>
    <row r="500" spans="8:25">
      <c r="H500">
        <v>268</v>
      </c>
      <c r="I500" s="18">
        <v>50</v>
      </c>
      <c r="J500">
        <v>4</v>
      </c>
      <c r="K500">
        <f t="shared" si="75"/>
        <v>20</v>
      </c>
      <c r="L500" s="39">
        <f t="shared" si="76"/>
        <v>78.539816339744831</v>
      </c>
      <c r="M500">
        <f t="shared" si="77"/>
        <v>500.31337508538434</v>
      </c>
      <c r="N500">
        <f t="shared" si="78"/>
        <v>13753.082207033385</v>
      </c>
      <c r="O500" s="39">
        <f t="shared" si="79"/>
        <v>29295.83960869072</v>
      </c>
      <c r="S500">
        <f t="shared" si="80"/>
        <v>1</v>
      </c>
      <c r="T500">
        <f t="shared" si="81"/>
        <v>0</v>
      </c>
      <c r="U500">
        <f t="shared" si="82"/>
        <v>0</v>
      </c>
      <c r="V500">
        <f t="shared" si="83"/>
        <v>1</v>
      </c>
      <c r="W500">
        <f t="shared" si="84"/>
        <v>1</v>
      </c>
      <c r="Y500" t="str">
        <f t="shared" si="85"/>
        <v/>
      </c>
    </row>
    <row r="501" spans="8:25">
      <c r="H501">
        <v>269</v>
      </c>
      <c r="I501" s="18">
        <v>25</v>
      </c>
      <c r="J501">
        <v>16</v>
      </c>
      <c r="K501">
        <f t="shared" si="75"/>
        <v>80</v>
      </c>
      <c r="L501" s="39">
        <f t="shared" si="76"/>
        <v>78.539816339744831</v>
      </c>
      <c r="M501">
        <f t="shared" si="77"/>
        <v>470.31337508538434</v>
      </c>
      <c r="N501">
        <f t="shared" si="78"/>
        <v>12928.414135466064</v>
      </c>
      <c r="O501" s="39">
        <f t="shared" si="79"/>
        <v>28471.171537123399</v>
      </c>
      <c r="S501">
        <f t="shared" si="80"/>
        <v>1</v>
      </c>
      <c r="T501">
        <f t="shared" si="81"/>
        <v>0</v>
      </c>
      <c r="U501">
        <f t="shared" si="82"/>
        <v>1</v>
      </c>
      <c r="V501">
        <f t="shared" si="83"/>
        <v>1</v>
      </c>
      <c r="W501">
        <f t="shared" si="84"/>
        <v>1</v>
      </c>
      <c r="Y501" t="str">
        <f t="shared" si="85"/>
        <v/>
      </c>
    </row>
    <row r="502" spans="8:25">
      <c r="H502">
        <v>270</v>
      </c>
      <c r="I502" s="18">
        <v>10</v>
      </c>
      <c r="J502">
        <v>100</v>
      </c>
      <c r="K502">
        <f t="shared" si="75"/>
        <v>500</v>
      </c>
      <c r="L502" s="39">
        <f t="shared" si="76"/>
        <v>78.539816339744831</v>
      </c>
      <c r="M502">
        <f t="shared" si="77"/>
        <v>260.31337508538434</v>
      </c>
      <c r="N502">
        <f t="shared" si="78"/>
        <v>7155.7376344948179</v>
      </c>
      <c r="O502" s="39">
        <f t="shared" si="79"/>
        <v>22698.495036152151</v>
      </c>
      <c r="S502">
        <f t="shared" si="80"/>
        <v>1</v>
      </c>
      <c r="T502">
        <f t="shared" si="81"/>
        <v>0</v>
      </c>
      <c r="U502">
        <f t="shared" si="82"/>
        <v>1</v>
      </c>
      <c r="V502">
        <f t="shared" si="83"/>
        <v>0</v>
      </c>
      <c r="W502">
        <f t="shared" si="84"/>
        <v>0</v>
      </c>
      <c r="Y502" t="str">
        <f t="shared" si="85"/>
        <v/>
      </c>
    </row>
    <row r="503" spans="8:25">
      <c r="H503">
        <v>271</v>
      </c>
      <c r="I503" s="18">
        <v>12</v>
      </c>
      <c r="J503">
        <v>70</v>
      </c>
      <c r="K503">
        <f t="shared" si="75"/>
        <v>350</v>
      </c>
      <c r="L503" s="39">
        <f t="shared" si="76"/>
        <v>79.168134870462779</v>
      </c>
      <c r="M503">
        <f t="shared" si="77"/>
        <v>335.31337508538434</v>
      </c>
      <c r="N503">
        <f t="shared" si="78"/>
        <v>9291.147075920424</v>
      </c>
      <c r="O503" s="39">
        <f t="shared" si="79"/>
        <v>24833.904477577758</v>
      </c>
      <c r="S503">
        <f t="shared" si="80"/>
        <v>1</v>
      </c>
      <c r="T503">
        <f t="shared" si="81"/>
        <v>0</v>
      </c>
      <c r="U503">
        <f t="shared" si="82"/>
        <v>1</v>
      </c>
      <c r="V503">
        <f t="shared" si="83"/>
        <v>0</v>
      </c>
      <c r="W503">
        <f t="shared" si="84"/>
        <v>0</v>
      </c>
      <c r="Y503" t="str">
        <f t="shared" si="85"/>
        <v/>
      </c>
    </row>
    <row r="504" spans="8:25">
      <c r="H504">
        <v>272</v>
      </c>
      <c r="I504" s="18">
        <v>14</v>
      </c>
      <c r="J504">
        <v>52</v>
      </c>
      <c r="K504">
        <f t="shared" si="75"/>
        <v>260</v>
      </c>
      <c r="L504" s="39">
        <f t="shared" si="76"/>
        <v>80.047780813467924</v>
      </c>
      <c r="M504">
        <f t="shared" si="77"/>
        <v>380.31337508538434</v>
      </c>
      <c r="N504">
        <f t="shared" si="78"/>
        <v>10655.134591242771</v>
      </c>
      <c r="O504" s="39">
        <f t="shared" si="79"/>
        <v>26197.891992900106</v>
      </c>
      <c r="S504">
        <f t="shared" si="80"/>
        <v>1</v>
      </c>
      <c r="T504">
        <f t="shared" si="81"/>
        <v>0</v>
      </c>
      <c r="U504">
        <f t="shared" si="82"/>
        <v>1</v>
      </c>
      <c r="V504">
        <f t="shared" si="83"/>
        <v>0</v>
      </c>
      <c r="W504">
        <f t="shared" si="84"/>
        <v>1</v>
      </c>
      <c r="Y504" t="str">
        <f t="shared" si="85"/>
        <v/>
      </c>
    </row>
    <row r="505" spans="8:25">
      <c r="H505">
        <v>273</v>
      </c>
      <c r="I505" s="18">
        <v>32</v>
      </c>
      <c r="J505">
        <v>10</v>
      </c>
      <c r="K505">
        <f t="shared" si="75"/>
        <v>50</v>
      </c>
      <c r="L505" s="39">
        <f t="shared" si="76"/>
        <v>80.424771931898718</v>
      </c>
      <c r="M505">
        <f t="shared" si="77"/>
        <v>485.31337508538434</v>
      </c>
      <c r="N505">
        <f t="shared" si="78"/>
        <v>13660.92612735972</v>
      </c>
      <c r="O505" s="39">
        <f t="shared" si="79"/>
        <v>29203.683529017057</v>
      </c>
      <c r="S505">
        <f t="shared" si="80"/>
        <v>1</v>
      </c>
      <c r="T505">
        <f t="shared" si="81"/>
        <v>0</v>
      </c>
      <c r="U505">
        <f t="shared" si="82"/>
        <v>0</v>
      </c>
      <c r="V505">
        <f t="shared" si="83"/>
        <v>1</v>
      </c>
      <c r="W505">
        <f t="shared" si="84"/>
        <v>1</v>
      </c>
      <c r="Y505" t="str">
        <f t="shared" si="85"/>
        <v/>
      </c>
    </row>
    <row r="506" spans="8:25">
      <c r="H506">
        <v>274</v>
      </c>
      <c r="I506" s="18">
        <v>16</v>
      </c>
      <c r="J506">
        <v>40</v>
      </c>
      <c r="K506">
        <f t="shared" si="75"/>
        <v>200</v>
      </c>
      <c r="L506" s="39">
        <f t="shared" si="76"/>
        <v>80.424771931898718</v>
      </c>
      <c r="M506">
        <f t="shared" si="77"/>
        <v>410.31337508538434</v>
      </c>
      <c r="N506">
        <f t="shared" si="78"/>
        <v>11549.775864147379</v>
      </c>
      <c r="O506" s="39">
        <f t="shared" si="79"/>
        <v>27092.533265804712</v>
      </c>
      <c r="S506">
        <f t="shared" si="80"/>
        <v>1</v>
      </c>
      <c r="T506">
        <f t="shared" si="81"/>
        <v>0</v>
      </c>
      <c r="U506">
        <f t="shared" si="82"/>
        <v>1</v>
      </c>
      <c r="V506">
        <f t="shared" si="83"/>
        <v>0</v>
      </c>
      <c r="W506">
        <f t="shared" si="84"/>
        <v>1</v>
      </c>
      <c r="Y506" t="str">
        <f t="shared" si="85"/>
        <v/>
      </c>
    </row>
    <row r="507" spans="8:25">
      <c r="H507">
        <v>275</v>
      </c>
      <c r="I507" s="18">
        <v>24</v>
      </c>
      <c r="J507">
        <v>18</v>
      </c>
      <c r="K507">
        <f t="shared" si="75"/>
        <v>90</v>
      </c>
      <c r="L507" s="39">
        <f t="shared" si="76"/>
        <v>81.430081581047432</v>
      </c>
      <c r="M507">
        <f t="shared" si="77"/>
        <v>465.31337508538434</v>
      </c>
      <c r="N507">
        <f t="shared" si="78"/>
        <v>13261.677132884381</v>
      </c>
      <c r="O507" s="39">
        <f t="shared" si="79"/>
        <v>28804.434534541717</v>
      </c>
      <c r="S507">
        <f t="shared" si="80"/>
        <v>1</v>
      </c>
      <c r="T507">
        <f t="shared" si="81"/>
        <v>0</v>
      </c>
      <c r="U507">
        <f t="shared" si="82"/>
        <v>1</v>
      </c>
      <c r="V507">
        <f t="shared" si="83"/>
        <v>1</v>
      </c>
      <c r="W507">
        <f t="shared" si="84"/>
        <v>1</v>
      </c>
      <c r="Y507" t="str">
        <f t="shared" si="85"/>
        <v/>
      </c>
    </row>
    <row r="508" spans="8:25">
      <c r="H508">
        <v>276</v>
      </c>
      <c r="I508" s="18">
        <v>12</v>
      </c>
      <c r="J508">
        <v>72</v>
      </c>
      <c r="K508">
        <f t="shared" si="75"/>
        <v>360</v>
      </c>
      <c r="L508" s="39">
        <f t="shared" si="76"/>
        <v>81.430081581047432</v>
      </c>
      <c r="M508">
        <f t="shared" si="77"/>
        <v>330.31337508538434</v>
      </c>
      <c r="N508">
        <f t="shared" si="78"/>
        <v>9414.10577817989</v>
      </c>
      <c r="O508" s="39">
        <f t="shared" si="79"/>
        <v>24956.863179837223</v>
      </c>
      <c r="S508">
        <f t="shared" si="80"/>
        <v>1</v>
      </c>
      <c r="T508">
        <f t="shared" si="81"/>
        <v>0</v>
      </c>
      <c r="U508">
        <f t="shared" si="82"/>
        <v>1</v>
      </c>
      <c r="V508">
        <f t="shared" si="83"/>
        <v>0</v>
      </c>
      <c r="W508">
        <f t="shared" si="84"/>
        <v>0</v>
      </c>
      <c r="Y508" t="str">
        <f t="shared" si="85"/>
        <v/>
      </c>
    </row>
    <row r="509" spans="8:25">
      <c r="H509">
        <v>277</v>
      </c>
      <c r="I509" s="18">
        <v>36</v>
      </c>
      <c r="J509">
        <v>8</v>
      </c>
      <c r="K509">
        <f t="shared" si="75"/>
        <v>40</v>
      </c>
      <c r="L509" s="39">
        <f t="shared" si="76"/>
        <v>81.430081581047446</v>
      </c>
      <c r="M509">
        <f t="shared" si="77"/>
        <v>490.31337508538434</v>
      </c>
      <c r="N509">
        <f t="shared" si="78"/>
        <v>13974.190346718548</v>
      </c>
      <c r="O509" s="39">
        <f t="shared" si="79"/>
        <v>29516.947748375882</v>
      </c>
      <c r="S509">
        <f t="shared" si="80"/>
        <v>1</v>
      </c>
      <c r="T509">
        <f t="shared" si="81"/>
        <v>0</v>
      </c>
      <c r="U509">
        <f t="shared" si="82"/>
        <v>0</v>
      </c>
      <c r="V509">
        <f t="shared" si="83"/>
        <v>1</v>
      </c>
      <c r="W509">
        <f t="shared" si="84"/>
        <v>1</v>
      </c>
      <c r="Y509" t="str">
        <f t="shared" si="85"/>
        <v/>
      </c>
    </row>
    <row r="510" spans="8:25">
      <c r="H510">
        <v>278</v>
      </c>
      <c r="I510" s="18">
        <v>18</v>
      </c>
      <c r="J510">
        <v>32</v>
      </c>
      <c r="K510">
        <f t="shared" si="75"/>
        <v>160</v>
      </c>
      <c r="L510" s="39">
        <f t="shared" si="76"/>
        <v>81.430081581047446</v>
      </c>
      <c r="M510">
        <f t="shared" si="77"/>
        <v>430.31337508538434</v>
      </c>
      <c r="N510">
        <f t="shared" si="78"/>
        <v>12264.15863351655</v>
      </c>
      <c r="O510" s="39">
        <f t="shared" si="79"/>
        <v>27806.916035173883</v>
      </c>
      <c r="S510">
        <f t="shared" si="80"/>
        <v>1</v>
      </c>
      <c r="T510">
        <f t="shared" si="81"/>
        <v>0</v>
      </c>
      <c r="U510">
        <f t="shared" si="82"/>
        <v>1</v>
      </c>
      <c r="V510">
        <f t="shared" si="83"/>
        <v>0</v>
      </c>
      <c r="W510">
        <f t="shared" si="84"/>
        <v>1</v>
      </c>
      <c r="Y510" t="str">
        <f t="shared" si="85"/>
        <v/>
      </c>
    </row>
    <row r="511" spans="8:25">
      <c r="H511">
        <v>279</v>
      </c>
      <c r="I511" s="18">
        <v>20</v>
      </c>
      <c r="J511">
        <v>26</v>
      </c>
      <c r="K511">
        <f t="shared" si="75"/>
        <v>130</v>
      </c>
      <c r="L511" s="39">
        <f t="shared" si="76"/>
        <v>81.681408993334628</v>
      </c>
      <c r="M511">
        <f t="shared" si="77"/>
        <v>445.31337508538434</v>
      </c>
      <c r="N511">
        <f t="shared" si="78"/>
        <v>12730.838372193028</v>
      </c>
      <c r="O511" s="39">
        <f t="shared" si="79"/>
        <v>28273.595773850364</v>
      </c>
      <c r="S511">
        <f t="shared" si="80"/>
        <v>1</v>
      </c>
      <c r="T511">
        <f t="shared" si="81"/>
        <v>0</v>
      </c>
      <c r="U511">
        <f t="shared" si="82"/>
        <v>1</v>
      </c>
      <c r="V511">
        <f t="shared" si="83"/>
        <v>0</v>
      </c>
      <c r="W511">
        <f t="shared" si="84"/>
        <v>1</v>
      </c>
      <c r="Y511" t="str">
        <f t="shared" si="85"/>
        <v/>
      </c>
    </row>
    <row r="512" spans="8:25">
      <c r="H512">
        <v>280</v>
      </c>
      <c r="I512" s="18">
        <v>14</v>
      </c>
      <c r="J512">
        <v>54</v>
      </c>
      <c r="K512">
        <f t="shared" si="75"/>
        <v>270</v>
      </c>
      <c r="L512" s="39">
        <f t="shared" si="76"/>
        <v>83.126541613985907</v>
      </c>
      <c r="M512">
        <f t="shared" si="77"/>
        <v>375.31337508538434</v>
      </c>
      <c r="N512">
        <f t="shared" si="78"/>
        <v>10919.476012312247</v>
      </c>
      <c r="O512" s="39">
        <f t="shared" si="79"/>
        <v>26462.233413969581</v>
      </c>
      <c r="S512">
        <f t="shared" si="80"/>
        <v>1</v>
      </c>
      <c r="T512">
        <f t="shared" si="81"/>
        <v>0</v>
      </c>
      <c r="U512">
        <f t="shared" si="82"/>
        <v>1</v>
      </c>
      <c r="V512">
        <f t="shared" si="83"/>
        <v>0</v>
      </c>
      <c r="W512">
        <f t="shared" si="84"/>
        <v>1</v>
      </c>
      <c r="Y512" t="str">
        <f t="shared" si="85"/>
        <v/>
      </c>
    </row>
    <row r="513" spans="8:25">
      <c r="H513">
        <v>281</v>
      </c>
      <c r="I513" s="18">
        <v>22</v>
      </c>
      <c r="J513">
        <v>22</v>
      </c>
      <c r="K513">
        <f t="shared" si="75"/>
        <v>110</v>
      </c>
      <c r="L513" s="39">
        <f t="shared" si="76"/>
        <v>83.629196438560299</v>
      </c>
      <c r="M513">
        <f t="shared" si="77"/>
        <v>455.31337508538434</v>
      </c>
      <c r="N513">
        <f t="shared" si="78"/>
        <v>13327.122090141824</v>
      </c>
      <c r="O513" s="39">
        <f t="shared" si="79"/>
        <v>28869.879491799158</v>
      </c>
      <c r="S513">
        <f t="shared" si="80"/>
        <v>1</v>
      </c>
      <c r="T513">
        <f t="shared" si="81"/>
        <v>0</v>
      </c>
      <c r="U513">
        <f t="shared" si="82"/>
        <v>1</v>
      </c>
      <c r="V513">
        <f t="shared" si="83"/>
        <v>0</v>
      </c>
      <c r="W513">
        <f t="shared" si="84"/>
        <v>1</v>
      </c>
      <c r="Y513" t="str">
        <f t="shared" si="85"/>
        <v/>
      </c>
    </row>
    <row r="514" spans="8:25">
      <c r="H514">
        <v>282</v>
      </c>
      <c r="I514" s="18">
        <v>12</v>
      </c>
      <c r="J514">
        <v>74</v>
      </c>
      <c r="K514">
        <f t="shared" si="75"/>
        <v>370</v>
      </c>
      <c r="L514" s="39">
        <f t="shared" si="76"/>
        <v>83.692028291632084</v>
      </c>
      <c r="M514">
        <f t="shared" si="77"/>
        <v>325.31337508538434</v>
      </c>
      <c r="N514">
        <f t="shared" si="78"/>
        <v>9529.147666952309</v>
      </c>
      <c r="O514" s="39">
        <f t="shared" si="79"/>
        <v>25071.905068609645</v>
      </c>
      <c r="S514">
        <f t="shared" si="80"/>
        <v>1</v>
      </c>
      <c r="T514">
        <f t="shared" si="81"/>
        <v>0</v>
      </c>
      <c r="U514">
        <f t="shared" si="82"/>
        <v>1</v>
      </c>
      <c r="V514">
        <f t="shared" si="83"/>
        <v>0</v>
      </c>
      <c r="W514">
        <f t="shared" si="84"/>
        <v>0</v>
      </c>
      <c r="Y514" t="str">
        <f t="shared" si="85"/>
        <v/>
      </c>
    </row>
    <row r="515" spans="8:25">
      <c r="H515">
        <v>283</v>
      </c>
      <c r="I515" s="18">
        <v>16</v>
      </c>
      <c r="J515">
        <v>42</v>
      </c>
      <c r="K515">
        <f t="shared" si="75"/>
        <v>210</v>
      </c>
      <c r="L515" s="39">
        <f t="shared" si="76"/>
        <v>84.446010528493659</v>
      </c>
      <c r="M515">
        <f t="shared" si="77"/>
        <v>405.31337508538434</v>
      </c>
      <c r="N515">
        <f t="shared" si="78"/>
        <v>11979.484138929884</v>
      </c>
      <c r="O515" s="39">
        <f t="shared" si="79"/>
        <v>27522.241540587216</v>
      </c>
      <c r="S515">
        <f t="shared" si="80"/>
        <v>1</v>
      </c>
      <c r="T515">
        <f t="shared" si="81"/>
        <v>0</v>
      </c>
      <c r="U515">
        <f t="shared" si="82"/>
        <v>1</v>
      </c>
      <c r="V515">
        <f t="shared" si="83"/>
        <v>0</v>
      </c>
      <c r="W515">
        <f t="shared" si="84"/>
        <v>1</v>
      </c>
      <c r="Y515" t="str">
        <f t="shared" si="85"/>
        <v/>
      </c>
    </row>
    <row r="516" spans="8:25">
      <c r="H516">
        <v>284</v>
      </c>
      <c r="I516" s="18">
        <v>30</v>
      </c>
      <c r="J516">
        <v>12</v>
      </c>
      <c r="K516">
        <f t="shared" si="75"/>
        <v>60</v>
      </c>
      <c r="L516" s="39">
        <f t="shared" si="76"/>
        <v>84.823001646924411</v>
      </c>
      <c r="M516">
        <f t="shared" si="77"/>
        <v>480.31337508538434</v>
      </c>
      <c r="N516">
        <f t="shared" si="78"/>
        <v>14259.567772067583</v>
      </c>
      <c r="O516" s="39">
        <f t="shared" si="79"/>
        <v>29802.325173724916</v>
      </c>
      <c r="S516">
        <f t="shared" si="80"/>
        <v>1</v>
      </c>
      <c r="T516">
        <f t="shared" si="81"/>
        <v>0</v>
      </c>
      <c r="U516">
        <f t="shared" si="82"/>
        <v>0</v>
      </c>
      <c r="V516">
        <f t="shared" si="83"/>
        <v>1</v>
      </c>
      <c r="W516">
        <f t="shared" si="84"/>
        <v>1</v>
      </c>
      <c r="Y516" t="str">
        <f t="shared" si="85"/>
        <v/>
      </c>
    </row>
    <row r="517" spans="8:25">
      <c r="H517">
        <v>285</v>
      </c>
      <c r="I517" s="18">
        <v>26</v>
      </c>
      <c r="J517">
        <v>16</v>
      </c>
      <c r="K517">
        <f t="shared" si="75"/>
        <v>80</v>
      </c>
      <c r="L517" s="39">
        <f t="shared" si="76"/>
        <v>84.948665353068009</v>
      </c>
      <c r="M517">
        <f t="shared" si="77"/>
        <v>470.31337508538434</v>
      </c>
      <c r="N517">
        <f t="shared" si="78"/>
        <v>13983.372728920094</v>
      </c>
      <c r="O517" s="39">
        <f t="shared" si="79"/>
        <v>29526.130130577429</v>
      </c>
      <c r="S517">
        <f t="shared" si="80"/>
        <v>1</v>
      </c>
      <c r="T517">
        <f t="shared" si="81"/>
        <v>0</v>
      </c>
      <c r="U517">
        <f t="shared" si="82"/>
        <v>0</v>
      </c>
      <c r="V517">
        <f t="shared" si="83"/>
        <v>1</v>
      </c>
      <c r="W517">
        <f t="shared" si="84"/>
        <v>1</v>
      </c>
      <c r="Y517" t="str">
        <f t="shared" si="85"/>
        <v/>
      </c>
    </row>
    <row r="518" spans="8:25">
      <c r="H518">
        <v>286</v>
      </c>
      <c r="I518" s="18">
        <v>12</v>
      </c>
      <c r="J518">
        <v>76</v>
      </c>
      <c r="K518">
        <f t="shared" si="75"/>
        <v>380</v>
      </c>
      <c r="L518" s="39">
        <f t="shared" si="76"/>
        <v>85.953975002216737</v>
      </c>
      <c r="M518">
        <f t="shared" si="77"/>
        <v>320.31337508538434</v>
      </c>
      <c r="N518">
        <f t="shared" si="78"/>
        <v>9636.2727422376793</v>
      </c>
      <c r="O518" s="39">
        <f t="shared" si="79"/>
        <v>25179.030143895012</v>
      </c>
      <c r="S518">
        <f t="shared" si="80"/>
        <v>1</v>
      </c>
      <c r="T518">
        <f t="shared" si="81"/>
        <v>0</v>
      </c>
      <c r="U518">
        <f t="shared" si="82"/>
        <v>1</v>
      </c>
      <c r="V518">
        <f t="shared" si="83"/>
        <v>0</v>
      </c>
      <c r="W518">
        <f t="shared" si="84"/>
        <v>0</v>
      </c>
      <c r="Y518" t="str">
        <f t="shared" si="85"/>
        <v/>
      </c>
    </row>
    <row r="519" spans="8:25">
      <c r="H519">
        <v>287</v>
      </c>
      <c r="I519" s="18">
        <v>28</v>
      </c>
      <c r="J519">
        <v>14</v>
      </c>
      <c r="K519">
        <f t="shared" si="75"/>
        <v>70</v>
      </c>
      <c r="L519" s="39">
        <f t="shared" si="76"/>
        <v>86.205302414503919</v>
      </c>
      <c r="M519">
        <f t="shared" si="77"/>
        <v>475.31337508538434</v>
      </c>
      <c r="N519">
        <f t="shared" si="78"/>
        <v>14341.086634312931</v>
      </c>
      <c r="O519" s="39">
        <f t="shared" si="79"/>
        <v>29883.844035970265</v>
      </c>
      <c r="S519">
        <f t="shared" si="80"/>
        <v>1</v>
      </c>
      <c r="T519">
        <f t="shared" si="81"/>
        <v>0</v>
      </c>
      <c r="U519">
        <f t="shared" si="82"/>
        <v>0</v>
      </c>
      <c r="V519">
        <f t="shared" si="83"/>
        <v>1</v>
      </c>
      <c r="W519">
        <f t="shared" si="84"/>
        <v>1</v>
      </c>
      <c r="Y519" t="str">
        <f t="shared" si="85"/>
        <v/>
      </c>
    </row>
    <row r="520" spans="8:25">
      <c r="H520">
        <v>288</v>
      </c>
      <c r="I520" s="18">
        <v>14</v>
      </c>
      <c r="J520">
        <v>56</v>
      </c>
      <c r="K520">
        <f t="shared" si="75"/>
        <v>280</v>
      </c>
      <c r="L520" s="39">
        <f t="shared" si="76"/>
        <v>86.205302414503919</v>
      </c>
      <c r="M520">
        <f t="shared" si="77"/>
        <v>370.31337508538434</v>
      </c>
      <c r="N520">
        <f t="shared" si="78"/>
        <v>11173.041770579912</v>
      </c>
      <c r="O520" s="39">
        <f t="shared" si="79"/>
        <v>26715.799172237246</v>
      </c>
      <c r="S520">
        <f t="shared" si="80"/>
        <v>1</v>
      </c>
      <c r="T520">
        <f t="shared" si="81"/>
        <v>0</v>
      </c>
      <c r="U520">
        <f t="shared" si="82"/>
        <v>1</v>
      </c>
      <c r="V520">
        <f t="shared" si="83"/>
        <v>0</v>
      </c>
      <c r="W520">
        <f t="shared" si="84"/>
        <v>1</v>
      </c>
      <c r="Y520" t="str">
        <f t="shared" si="85"/>
        <v/>
      </c>
    </row>
    <row r="521" spans="8:25">
      <c r="H521">
        <v>289</v>
      </c>
      <c r="I521" s="18">
        <v>18</v>
      </c>
      <c r="J521">
        <v>34</v>
      </c>
      <c r="K521">
        <f t="shared" si="75"/>
        <v>170</v>
      </c>
      <c r="L521" s="39">
        <f t="shared" si="76"/>
        <v>86.519461679862914</v>
      </c>
      <c r="M521">
        <f t="shared" si="77"/>
        <v>425.31337508538434</v>
      </c>
      <c r="N521">
        <f t="shared" si="78"/>
        <v>12879.259490171577</v>
      </c>
      <c r="O521" s="39">
        <f t="shared" si="79"/>
        <v>28422.016891828913</v>
      </c>
      <c r="S521">
        <f t="shared" si="80"/>
        <v>1</v>
      </c>
      <c r="T521">
        <f t="shared" si="81"/>
        <v>0</v>
      </c>
      <c r="U521">
        <f t="shared" si="82"/>
        <v>1</v>
      </c>
      <c r="V521">
        <f t="shared" si="83"/>
        <v>0</v>
      </c>
      <c r="W521">
        <f t="shared" si="84"/>
        <v>1</v>
      </c>
      <c r="Y521" t="str">
        <f t="shared" si="85"/>
        <v/>
      </c>
    </row>
    <row r="522" spans="8:25">
      <c r="H522">
        <v>290</v>
      </c>
      <c r="I522" s="18">
        <v>20</v>
      </c>
      <c r="J522">
        <v>28</v>
      </c>
      <c r="K522">
        <f t="shared" si="75"/>
        <v>140</v>
      </c>
      <c r="L522" s="39">
        <f t="shared" si="76"/>
        <v>87.964594300514207</v>
      </c>
      <c r="M522">
        <f t="shared" si="77"/>
        <v>440.31337508538434</v>
      </c>
      <c r="N522">
        <f t="shared" si="78"/>
        <v>13556.195591566591</v>
      </c>
      <c r="O522" s="39">
        <f t="shared" si="79"/>
        <v>29098.952993223924</v>
      </c>
      <c r="S522">
        <f t="shared" si="80"/>
        <v>1</v>
      </c>
      <c r="T522">
        <f t="shared" si="81"/>
        <v>0</v>
      </c>
      <c r="U522">
        <f t="shared" si="82"/>
        <v>1</v>
      </c>
      <c r="V522">
        <f t="shared" si="83"/>
        <v>0</v>
      </c>
      <c r="W522">
        <f t="shared" si="84"/>
        <v>1</v>
      </c>
      <c r="Y522" t="str">
        <f t="shared" si="85"/>
        <v/>
      </c>
    </row>
    <row r="523" spans="8:25">
      <c r="H523">
        <v>291</v>
      </c>
      <c r="I523" s="18">
        <v>12</v>
      </c>
      <c r="J523">
        <v>78</v>
      </c>
      <c r="K523">
        <f t="shared" si="75"/>
        <v>390</v>
      </c>
      <c r="L523" s="39">
        <f t="shared" si="76"/>
        <v>88.215921712801389</v>
      </c>
      <c r="M523">
        <f t="shared" si="77"/>
        <v>315.31337508538434</v>
      </c>
      <c r="N523">
        <f t="shared" si="78"/>
        <v>9735.4810040360062</v>
      </c>
      <c r="O523" s="39">
        <f t="shared" si="79"/>
        <v>25278.238405693341</v>
      </c>
      <c r="S523">
        <f t="shared" si="80"/>
        <v>1</v>
      </c>
      <c r="T523">
        <f t="shared" si="81"/>
        <v>0</v>
      </c>
      <c r="U523">
        <f t="shared" si="82"/>
        <v>1</v>
      </c>
      <c r="V523">
        <f t="shared" si="83"/>
        <v>0</v>
      </c>
      <c r="W523">
        <f t="shared" si="84"/>
        <v>0</v>
      </c>
      <c r="Y523" t="str">
        <f t="shared" si="85"/>
        <v/>
      </c>
    </row>
    <row r="524" spans="8:25">
      <c r="H524">
        <v>292</v>
      </c>
      <c r="I524" s="18">
        <v>25</v>
      </c>
      <c r="J524">
        <v>18</v>
      </c>
      <c r="K524">
        <f t="shared" si="75"/>
        <v>90</v>
      </c>
      <c r="L524" s="39">
        <f t="shared" si="76"/>
        <v>88.35729338221293</v>
      </c>
      <c r="M524">
        <f t="shared" si="77"/>
        <v>465.31337508538434</v>
      </c>
      <c r="N524">
        <f t="shared" si="78"/>
        <v>14389.840638980446</v>
      </c>
      <c r="O524" s="39">
        <f t="shared" si="79"/>
        <v>29932.598040637778</v>
      </c>
      <c r="S524">
        <f t="shared" si="80"/>
        <v>1</v>
      </c>
      <c r="T524">
        <f t="shared" si="81"/>
        <v>0</v>
      </c>
      <c r="U524">
        <f t="shared" si="82"/>
        <v>1</v>
      </c>
      <c r="V524">
        <f t="shared" si="83"/>
        <v>1</v>
      </c>
      <c r="W524">
        <f t="shared" si="84"/>
        <v>1</v>
      </c>
      <c r="Y524" t="str">
        <f t="shared" si="85"/>
        <v/>
      </c>
    </row>
    <row r="525" spans="8:25">
      <c r="H525">
        <v>293</v>
      </c>
      <c r="I525" s="18">
        <v>16</v>
      </c>
      <c r="J525">
        <v>44</v>
      </c>
      <c r="K525">
        <f t="shared" si="75"/>
        <v>220</v>
      </c>
      <c r="L525" s="39">
        <f t="shared" si="76"/>
        <v>88.467249125088586</v>
      </c>
      <c r="M525">
        <f t="shared" si="77"/>
        <v>400.31337508538434</v>
      </c>
      <c r="N525">
        <f t="shared" si="78"/>
        <v>12395.118078624304</v>
      </c>
      <c r="O525" s="39">
        <f t="shared" si="79"/>
        <v>27937.87548028164</v>
      </c>
      <c r="S525">
        <f t="shared" si="80"/>
        <v>1</v>
      </c>
      <c r="T525">
        <f t="shared" si="81"/>
        <v>0</v>
      </c>
      <c r="U525">
        <f t="shared" si="82"/>
        <v>1</v>
      </c>
      <c r="V525">
        <f t="shared" si="83"/>
        <v>0</v>
      </c>
      <c r="W525">
        <f t="shared" si="84"/>
        <v>1</v>
      </c>
      <c r="Y525" t="str">
        <f t="shared" si="85"/>
        <v/>
      </c>
    </row>
    <row r="526" spans="8:25">
      <c r="H526">
        <v>294</v>
      </c>
      <c r="I526" s="18">
        <v>14</v>
      </c>
      <c r="J526">
        <v>58</v>
      </c>
      <c r="K526">
        <f t="shared" si="75"/>
        <v>290</v>
      </c>
      <c r="L526" s="39">
        <f t="shared" si="76"/>
        <v>89.284063215021916</v>
      </c>
      <c r="M526">
        <f t="shared" si="77"/>
        <v>365.31337508538434</v>
      </c>
      <c r="N526">
        <f t="shared" si="78"/>
        <v>11415.831866045764</v>
      </c>
      <c r="O526" s="39">
        <f t="shared" si="79"/>
        <v>26958.589267703101</v>
      </c>
      <c r="S526">
        <f t="shared" si="80"/>
        <v>1</v>
      </c>
      <c r="T526">
        <f t="shared" si="81"/>
        <v>0</v>
      </c>
      <c r="U526">
        <f t="shared" si="82"/>
        <v>1</v>
      </c>
      <c r="V526">
        <f t="shared" si="83"/>
        <v>0</v>
      </c>
      <c r="W526">
        <f t="shared" si="84"/>
        <v>1</v>
      </c>
      <c r="Y526" t="str">
        <f t="shared" si="85"/>
        <v/>
      </c>
    </row>
    <row r="527" spans="8:25">
      <c r="H527">
        <v>295</v>
      </c>
      <c r="I527" s="18">
        <v>24</v>
      </c>
      <c r="J527">
        <v>20</v>
      </c>
      <c r="K527">
        <f t="shared" si="75"/>
        <v>100</v>
      </c>
      <c r="L527" s="39">
        <f t="shared" si="76"/>
        <v>90.477868423386042</v>
      </c>
      <c r="M527">
        <f t="shared" si="77"/>
        <v>460.31337508538434</v>
      </c>
      <c r="N527">
        <f t="shared" si="78"/>
        <v>14576.860544575055</v>
      </c>
      <c r="O527" s="39">
        <f t="shared" si="79"/>
        <v>30119.617946232389</v>
      </c>
      <c r="S527">
        <f t="shared" si="80"/>
        <v>1</v>
      </c>
      <c r="T527">
        <f t="shared" si="81"/>
        <v>0</v>
      </c>
      <c r="U527">
        <f t="shared" si="82"/>
        <v>1</v>
      </c>
      <c r="V527">
        <f t="shared" si="83"/>
        <v>1</v>
      </c>
      <c r="W527">
        <f t="shared" si="84"/>
        <v>1</v>
      </c>
      <c r="Y527" t="str">
        <f t="shared" si="85"/>
        <v/>
      </c>
    </row>
    <row r="528" spans="8:25">
      <c r="H528">
        <v>296</v>
      </c>
      <c r="I528" s="18">
        <v>12</v>
      </c>
      <c r="J528">
        <v>80</v>
      </c>
      <c r="K528">
        <f t="shared" si="75"/>
        <v>400</v>
      </c>
      <c r="L528" s="39">
        <f t="shared" si="76"/>
        <v>90.477868423386042</v>
      </c>
      <c r="M528">
        <f t="shared" si="77"/>
        <v>310.31337508538434</v>
      </c>
      <c r="N528">
        <f t="shared" si="78"/>
        <v>9826.7724523472862</v>
      </c>
      <c r="O528" s="39">
        <f t="shared" si="79"/>
        <v>25369.529854004621</v>
      </c>
      <c r="S528">
        <f t="shared" si="80"/>
        <v>1</v>
      </c>
      <c r="T528">
        <f t="shared" si="81"/>
        <v>0</v>
      </c>
      <c r="U528">
        <f t="shared" si="82"/>
        <v>1</v>
      </c>
      <c r="V528">
        <f t="shared" si="83"/>
        <v>0</v>
      </c>
      <c r="W528">
        <f t="shared" si="84"/>
        <v>0</v>
      </c>
      <c r="Y528" t="str">
        <f t="shared" si="85"/>
        <v/>
      </c>
    </row>
    <row r="529" spans="8:25">
      <c r="H529">
        <v>297</v>
      </c>
      <c r="I529" s="18">
        <v>38</v>
      </c>
      <c r="J529">
        <v>8</v>
      </c>
      <c r="K529">
        <f t="shared" si="75"/>
        <v>40</v>
      </c>
      <c r="L529" s="39">
        <f t="shared" si="76"/>
        <v>90.729195835673224</v>
      </c>
      <c r="M529">
        <f t="shared" si="77"/>
        <v>490.31337508538434</v>
      </c>
      <c r="N529">
        <f t="shared" si="78"/>
        <v>15570.008380140107</v>
      </c>
      <c r="O529" s="39">
        <f t="shared" si="79"/>
        <v>31112.76578179744</v>
      </c>
      <c r="S529">
        <f t="shared" si="80"/>
        <v>1</v>
      </c>
      <c r="T529">
        <f t="shared" si="81"/>
        <v>1</v>
      </c>
      <c r="U529">
        <f t="shared" si="82"/>
        <v>0</v>
      </c>
      <c r="V529">
        <f t="shared" si="83"/>
        <v>1</v>
      </c>
      <c r="W529">
        <f t="shared" si="84"/>
        <v>1</v>
      </c>
      <c r="Y529" t="str">
        <f t="shared" si="85"/>
        <v/>
      </c>
    </row>
    <row r="530" spans="8:25">
      <c r="H530">
        <v>298</v>
      </c>
      <c r="I530" s="18">
        <v>34</v>
      </c>
      <c r="J530">
        <v>10</v>
      </c>
      <c r="K530">
        <f t="shared" si="75"/>
        <v>50</v>
      </c>
      <c r="L530" s="39">
        <f t="shared" si="76"/>
        <v>90.792027688745009</v>
      </c>
      <c r="M530">
        <f t="shared" si="77"/>
        <v>485.31337508538434</v>
      </c>
      <c r="N530">
        <f t="shared" si="78"/>
        <v>15421.904885964679</v>
      </c>
      <c r="O530" s="39">
        <f t="shared" si="79"/>
        <v>30964.662287622014</v>
      </c>
      <c r="S530">
        <f t="shared" si="80"/>
        <v>1</v>
      </c>
      <c r="T530">
        <f t="shared" si="81"/>
        <v>1</v>
      </c>
      <c r="U530">
        <f t="shared" si="82"/>
        <v>0</v>
      </c>
      <c r="V530">
        <f t="shared" si="83"/>
        <v>1</v>
      </c>
      <c r="W530">
        <f t="shared" si="84"/>
        <v>1</v>
      </c>
      <c r="Y530" t="str">
        <f t="shared" si="85"/>
        <v/>
      </c>
    </row>
    <row r="531" spans="8:25">
      <c r="H531">
        <v>299</v>
      </c>
      <c r="I531" s="18">
        <v>22</v>
      </c>
      <c r="J531">
        <v>24</v>
      </c>
      <c r="K531">
        <f t="shared" si="75"/>
        <v>120</v>
      </c>
      <c r="L531" s="39">
        <f t="shared" si="76"/>
        <v>91.231850660247602</v>
      </c>
      <c r="M531">
        <f t="shared" si="77"/>
        <v>450.31337508538434</v>
      </c>
      <c r="N531">
        <f t="shared" si="78"/>
        <v>14379.022905135647</v>
      </c>
      <c r="O531" s="39">
        <f t="shared" si="79"/>
        <v>29921.780306792982</v>
      </c>
      <c r="S531">
        <f t="shared" si="80"/>
        <v>1</v>
      </c>
      <c r="T531">
        <f t="shared" si="81"/>
        <v>0</v>
      </c>
      <c r="U531">
        <f t="shared" si="82"/>
        <v>1</v>
      </c>
      <c r="V531">
        <f t="shared" si="83"/>
        <v>0</v>
      </c>
      <c r="W531">
        <f t="shared" si="84"/>
        <v>1</v>
      </c>
      <c r="Y531" t="str">
        <f t="shared" si="85"/>
        <v/>
      </c>
    </row>
    <row r="532" spans="8:25">
      <c r="H532">
        <v>300</v>
      </c>
      <c r="I532" s="18">
        <v>18</v>
      </c>
      <c r="J532">
        <v>36</v>
      </c>
      <c r="K532">
        <f t="shared" si="75"/>
        <v>180</v>
      </c>
      <c r="L532" s="39">
        <f t="shared" si="76"/>
        <v>91.608841778678368</v>
      </c>
      <c r="M532">
        <f t="shared" si="77"/>
        <v>420.31337508538434</v>
      </c>
      <c r="N532">
        <f t="shared" si="78"/>
        <v>13476.547516480745</v>
      </c>
      <c r="O532" s="39">
        <f t="shared" si="79"/>
        <v>29019.304918138077</v>
      </c>
      <c r="S532">
        <f t="shared" si="80"/>
        <v>1</v>
      </c>
      <c r="T532">
        <f t="shared" si="81"/>
        <v>0</v>
      </c>
      <c r="U532">
        <f t="shared" si="82"/>
        <v>1</v>
      </c>
      <c r="V532">
        <f t="shared" si="83"/>
        <v>0</v>
      </c>
      <c r="W532">
        <f t="shared" si="84"/>
        <v>1</v>
      </c>
      <c r="Y532" t="str">
        <f t="shared" si="85"/>
        <v/>
      </c>
    </row>
    <row r="533" spans="8:25">
      <c r="H533">
        <v>301</v>
      </c>
      <c r="I533" s="18">
        <v>14</v>
      </c>
      <c r="J533">
        <v>60</v>
      </c>
      <c r="K533">
        <f t="shared" si="75"/>
        <v>300</v>
      </c>
      <c r="L533" s="39">
        <f t="shared" si="76"/>
        <v>92.3628240155399</v>
      </c>
      <c r="M533">
        <f t="shared" si="77"/>
        <v>360.31337508538434</v>
      </c>
      <c r="N533">
        <f t="shared" si="78"/>
        <v>11647.846298709801</v>
      </c>
      <c r="O533" s="39">
        <f t="shared" si="79"/>
        <v>27190.603700367137</v>
      </c>
      <c r="S533">
        <f t="shared" si="80"/>
        <v>1</v>
      </c>
      <c r="T533">
        <f t="shared" si="81"/>
        <v>0</v>
      </c>
      <c r="U533">
        <f t="shared" si="82"/>
        <v>1</v>
      </c>
      <c r="V533">
        <f t="shared" si="83"/>
        <v>0</v>
      </c>
      <c r="W533">
        <f t="shared" si="84"/>
        <v>1</v>
      </c>
      <c r="Y533" t="str">
        <f t="shared" si="85"/>
        <v/>
      </c>
    </row>
    <row r="534" spans="8:25">
      <c r="H534">
        <v>302</v>
      </c>
      <c r="I534" s="18">
        <v>16</v>
      </c>
      <c r="J534">
        <v>46</v>
      </c>
      <c r="K534">
        <f t="shared" si="75"/>
        <v>230</v>
      </c>
      <c r="L534" s="39">
        <f t="shared" si="76"/>
        <v>92.488487721683526</v>
      </c>
      <c r="M534">
        <f t="shared" si="77"/>
        <v>395.31337508538434</v>
      </c>
      <c r="N534">
        <f t="shared" si="78"/>
        <v>12796.677683230646</v>
      </c>
      <c r="O534" s="39">
        <f t="shared" si="79"/>
        <v>28339.43508488798</v>
      </c>
      <c r="S534">
        <f t="shared" si="80"/>
        <v>1</v>
      </c>
      <c r="T534">
        <f t="shared" si="81"/>
        <v>0</v>
      </c>
      <c r="U534">
        <f t="shared" si="82"/>
        <v>1</v>
      </c>
      <c r="V534">
        <f t="shared" si="83"/>
        <v>0</v>
      </c>
      <c r="W534">
        <f t="shared" si="84"/>
        <v>1</v>
      </c>
      <c r="Y534" t="str">
        <f t="shared" si="85"/>
        <v/>
      </c>
    </row>
    <row r="535" spans="8:25">
      <c r="H535">
        <v>303</v>
      </c>
      <c r="I535" s="18">
        <v>12</v>
      </c>
      <c r="J535">
        <v>82</v>
      </c>
      <c r="K535">
        <f t="shared" si="75"/>
        <v>410</v>
      </c>
      <c r="L535" s="39">
        <f t="shared" si="76"/>
        <v>92.73981513397068</v>
      </c>
      <c r="M535">
        <f t="shared" si="77"/>
        <v>305.31337508538434</v>
      </c>
      <c r="N535">
        <f t="shared" si="78"/>
        <v>9910.1470871715173</v>
      </c>
      <c r="O535" s="39">
        <f t="shared" si="79"/>
        <v>25452.904488828852</v>
      </c>
      <c r="S535">
        <f t="shared" si="80"/>
        <v>1</v>
      </c>
      <c r="T535">
        <f t="shared" si="81"/>
        <v>0</v>
      </c>
      <c r="U535">
        <f t="shared" si="82"/>
        <v>1</v>
      </c>
      <c r="V535">
        <f t="shared" si="83"/>
        <v>0</v>
      </c>
      <c r="W535">
        <f t="shared" si="84"/>
        <v>0</v>
      </c>
      <c r="Y535" t="str">
        <f t="shared" si="85"/>
        <v/>
      </c>
    </row>
    <row r="536" spans="8:25">
      <c r="H536">
        <v>304</v>
      </c>
      <c r="I536" s="18">
        <v>20</v>
      </c>
      <c r="J536">
        <v>30</v>
      </c>
      <c r="K536">
        <f t="shared" si="75"/>
        <v>150</v>
      </c>
      <c r="L536" s="39">
        <f t="shared" si="76"/>
        <v>94.247779607693786</v>
      </c>
      <c r="M536">
        <f t="shared" si="77"/>
        <v>435.31337508538434</v>
      </c>
      <c r="N536">
        <f t="shared" si="78"/>
        <v>14359.561662365026</v>
      </c>
      <c r="O536" s="39">
        <f t="shared" si="79"/>
        <v>29902.319064022362</v>
      </c>
      <c r="S536">
        <f t="shared" si="80"/>
        <v>1</v>
      </c>
      <c r="T536">
        <f t="shared" si="81"/>
        <v>0</v>
      </c>
      <c r="U536">
        <f t="shared" si="82"/>
        <v>1</v>
      </c>
      <c r="V536">
        <f t="shared" si="83"/>
        <v>0</v>
      </c>
      <c r="W536">
        <f t="shared" si="84"/>
        <v>1</v>
      </c>
      <c r="Y536" t="str">
        <f t="shared" si="85"/>
        <v/>
      </c>
    </row>
    <row r="537" spans="8:25">
      <c r="H537">
        <v>305</v>
      </c>
      <c r="I537" s="18">
        <v>12</v>
      </c>
      <c r="J537">
        <v>84</v>
      </c>
      <c r="K537">
        <f t="shared" si="75"/>
        <v>420</v>
      </c>
      <c r="L537" s="39">
        <f t="shared" si="76"/>
        <v>95.001761844555347</v>
      </c>
      <c r="M537">
        <f t="shared" si="77"/>
        <v>300.31337508538434</v>
      </c>
      <c r="N537">
        <f t="shared" si="78"/>
        <v>9985.604908508707</v>
      </c>
      <c r="O537" s="39">
        <f t="shared" si="79"/>
        <v>25528.362310166041</v>
      </c>
      <c r="S537">
        <f t="shared" si="80"/>
        <v>1</v>
      </c>
      <c r="T537">
        <f t="shared" si="81"/>
        <v>0</v>
      </c>
      <c r="U537">
        <f t="shared" si="82"/>
        <v>1</v>
      </c>
      <c r="V537">
        <f t="shared" si="83"/>
        <v>0</v>
      </c>
      <c r="W537">
        <f t="shared" si="84"/>
        <v>0</v>
      </c>
      <c r="Y537" t="str">
        <f t="shared" si="85"/>
        <v/>
      </c>
    </row>
    <row r="538" spans="8:25">
      <c r="H538">
        <v>306</v>
      </c>
      <c r="I538" s="18">
        <v>45</v>
      </c>
      <c r="J538">
        <v>6</v>
      </c>
      <c r="K538">
        <f t="shared" si="75"/>
        <v>30</v>
      </c>
      <c r="L538" s="39">
        <f t="shared" si="76"/>
        <v>95.425876852789969</v>
      </c>
      <c r="M538">
        <f t="shared" si="77"/>
        <v>495.31337508538434</v>
      </c>
      <c r="N538">
        <f t="shared" si="78"/>
        <v>16542.999597053178</v>
      </c>
      <c r="O538" s="39">
        <f t="shared" si="79"/>
        <v>32085.756998710513</v>
      </c>
      <c r="S538">
        <f t="shared" si="80"/>
        <v>1</v>
      </c>
      <c r="T538">
        <f t="shared" si="81"/>
        <v>1</v>
      </c>
      <c r="U538">
        <f t="shared" si="82"/>
        <v>0</v>
      </c>
      <c r="V538">
        <f t="shared" si="83"/>
        <v>1</v>
      </c>
      <c r="W538">
        <f t="shared" si="84"/>
        <v>1</v>
      </c>
      <c r="Y538" t="str">
        <f t="shared" si="85"/>
        <v/>
      </c>
    </row>
    <row r="539" spans="8:25">
      <c r="H539">
        <v>307</v>
      </c>
      <c r="I539" s="18">
        <v>14</v>
      </c>
      <c r="J539">
        <v>62</v>
      </c>
      <c r="K539">
        <f t="shared" si="75"/>
        <v>310</v>
      </c>
      <c r="L539" s="39">
        <f t="shared" si="76"/>
        <v>95.441584816057897</v>
      </c>
      <c r="M539">
        <f t="shared" si="77"/>
        <v>355.31337508538434</v>
      </c>
      <c r="N539">
        <f t="shared" si="78"/>
        <v>11869.085068572025</v>
      </c>
      <c r="O539" s="39">
        <f t="shared" si="79"/>
        <v>27411.84247022936</v>
      </c>
      <c r="S539">
        <f t="shared" si="80"/>
        <v>1</v>
      </c>
      <c r="T539">
        <f t="shared" si="81"/>
        <v>0</v>
      </c>
      <c r="U539">
        <f t="shared" si="82"/>
        <v>1</v>
      </c>
      <c r="V539">
        <f t="shared" si="83"/>
        <v>0</v>
      </c>
      <c r="W539">
        <f t="shared" si="84"/>
        <v>0</v>
      </c>
      <c r="Y539" t="str">
        <f t="shared" si="85"/>
        <v/>
      </c>
    </row>
    <row r="540" spans="8:25">
      <c r="H540">
        <v>308</v>
      </c>
      <c r="I540" s="18">
        <v>26</v>
      </c>
      <c r="J540">
        <v>18</v>
      </c>
      <c r="K540">
        <f t="shared" si="75"/>
        <v>90</v>
      </c>
      <c r="L540" s="39">
        <f t="shared" si="76"/>
        <v>95.56724852220151</v>
      </c>
      <c r="M540">
        <f t="shared" si="77"/>
        <v>465.31337508538434</v>
      </c>
      <c r="N540">
        <f t="shared" si="78"/>
        <v>15564.051635121252</v>
      </c>
      <c r="O540" s="39">
        <f t="shared" si="79"/>
        <v>31106.809036778584</v>
      </c>
      <c r="S540">
        <f t="shared" si="80"/>
        <v>1</v>
      </c>
      <c r="T540">
        <f t="shared" si="81"/>
        <v>1</v>
      </c>
      <c r="U540">
        <f t="shared" si="82"/>
        <v>0</v>
      </c>
      <c r="V540">
        <f t="shared" si="83"/>
        <v>1</v>
      </c>
      <c r="W540">
        <f t="shared" si="84"/>
        <v>1</v>
      </c>
      <c r="Y540" t="str">
        <f t="shared" si="85"/>
        <v/>
      </c>
    </row>
    <row r="541" spans="8:25">
      <c r="H541">
        <v>309</v>
      </c>
      <c r="I541" s="18">
        <v>32</v>
      </c>
      <c r="J541">
        <v>12</v>
      </c>
      <c r="K541">
        <f t="shared" si="75"/>
        <v>60</v>
      </c>
      <c r="L541" s="39">
        <f t="shared" si="76"/>
        <v>96.509726318278467</v>
      </c>
      <c r="M541">
        <f t="shared" si="77"/>
        <v>480.31337508538434</v>
      </c>
      <c r="N541">
        <f t="shared" si="78"/>
        <v>16224.219331774677</v>
      </c>
      <c r="O541" s="39">
        <f t="shared" si="79"/>
        <v>31766.976733432013</v>
      </c>
      <c r="S541">
        <f t="shared" si="80"/>
        <v>1</v>
      </c>
      <c r="T541">
        <f t="shared" si="81"/>
        <v>1</v>
      </c>
      <c r="U541">
        <f t="shared" si="82"/>
        <v>0</v>
      </c>
      <c r="V541">
        <f t="shared" si="83"/>
        <v>1</v>
      </c>
      <c r="W541">
        <f t="shared" si="84"/>
        <v>1</v>
      </c>
      <c r="Y541" t="str">
        <f t="shared" si="85"/>
        <v/>
      </c>
    </row>
    <row r="542" spans="8:25">
      <c r="H542">
        <v>310</v>
      </c>
      <c r="I542" s="18">
        <v>16</v>
      </c>
      <c r="J542">
        <v>48</v>
      </c>
      <c r="K542">
        <f t="shared" si="75"/>
        <v>240</v>
      </c>
      <c r="L542" s="39">
        <f t="shared" si="76"/>
        <v>96.509726318278467</v>
      </c>
      <c r="M542">
        <f t="shared" si="77"/>
        <v>390.31337508538434</v>
      </c>
      <c r="N542">
        <f t="shared" si="78"/>
        <v>13184.162952748904</v>
      </c>
      <c r="O542" s="39">
        <f t="shared" si="79"/>
        <v>28726.92035440624</v>
      </c>
      <c r="S542">
        <f t="shared" si="80"/>
        <v>1</v>
      </c>
      <c r="T542">
        <f t="shared" si="81"/>
        <v>0</v>
      </c>
      <c r="U542">
        <f t="shared" si="82"/>
        <v>1</v>
      </c>
      <c r="V542">
        <f t="shared" si="83"/>
        <v>0</v>
      </c>
      <c r="W542">
        <f t="shared" si="84"/>
        <v>1</v>
      </c>
      <c r="Y542" t="str">
        <f t="shared" si="85"/>
        <v/>
      </c>
    </row>
    <row r="543" spans="8:25">
      <c r="H543">
        <v>311</v>
      </c>
      <c r="I543" s="18">
        <v>18</v>
      </c>
      <c r="J543">
        <v>38</v>
      </c>
      <c r="K543">
        <f t="shared" si="75"/>
        <v>190</v>
      </c>
      <c r="L543" s="39">
        <f t="shared" si="76"/>
        <v>96.698221877493836</v>
      </c>
      <c r="M543">
        <f t="shared" si="77"/>
        <v>415.31337508538434</v>
      </c>
      <c r="N543">
        <f t="shared" si="78"/>
        <v>14056.022712444063</v>
      </c>
      <c r="O543" s="39">
        <f t="shared" si="79"/>
        <v>29598.780114101399</v>
      </c>
      <c r="S543">
        <f t="shared" si="80"/>
        <v>1</v>
      </c>
      <c r="T543">
        <f t="shared" si="81"/>
        <v>0</v>
      </c>
      <c r="U543">
        <f t="shared" si="82"/>
        <v>1</v>
      </c>
      <c r="V543">
        <f t="shared" si="83"/>
        <v>0</v>
      </c>
      <c r="W543">
        <f t="shared" si="84"/>
        <v>1</v>
      </c>
      <c r="Y543" t="str">
        <f t="shared" si="85"/>
        <v/>
      </c>
    </row>
    <row r="544" spans="8:25">
      <c r="H544">
        <v>312</v>
      </c>
      <c r="I544" s="18">
        <v>12</v>
      </c>
      <c r="J544">
        <v>86</v>
      </c>
      <c r="K544">
        <f t="shared" si="75"/>
        <v>430</v>
      </c>
      <c r="L544" s="39">
        <f t="shared" si="76"/>
        <v>97.263708555139985</v>
      </c>
      <c r="M544">
        <f t="shared" si="77"/>
        <v>295.31337508538434</v>
      </c>
      <c r="N544">
        <f t="shared" si="78"/>
        <v>10053.145916358846</v>
      </c>
      <c r="O544" s="39">
        <f t="shared" si="79"/>
        <v>25595.903318016179</v>
      </c>
      <c r="S544">
        <f t="shared" si="80"/>
        <v>1</v>
      </c>
      <c r="T544">
        <f t="shared" si="81"/>
        <v>0</v>
      </c>
      <c r="U544">
        <f t="shared" si="82"/>
        <v>1</v>
      </c>
      <c r="V544">
        <f t="shared" si="83"/>
        <v>0</v>
      </c>
      <c r="W544">
        <f t="shared" si="84"/>
        <v>0</v>
      </c>
      <c r="Y544" t="str">
        <f t="shared" si="85"/>
        <v/>
      </c>
    </row>
    <row r="545" spans="8:25">
      <c r="H545">
        <v>313</v>
      </c>
      <c r="I545" s="18">
        <v>25</v>
      </c>
      <c r="J545">
        <v>20</v>
      </c>
      <c r="K545">
        <f t="shared" si="75"/>
        <v>100</v>
      </c>
      <c r="L545" s="39">
        <f t="shared" si="76"/>
        <v>98.174770424681029</v>
      </c>
      <c r="M545">
        <f t="shared" si="77"/>
        <v>460.31337508538434</v>
      </c>
      <c r="N545">
        <f t="shared" si="78"/>
        <v>15816.905972846194</v>
      </c>
      <c r="O545" s="39">
        <f t="shared" si="79"/>
        <v>31359.663374503529</v>
      </c>
      <c r="S545">
        <f t="shared" si="80"/>
        <v>1</v>
      </c>
      <c r="T545">
        <f t="shared" si="81"/>
        <v>1</v>
      </c>
      <c r="U545">
        <f t="shared" si="82"/>
        <v>1</v>
      </c>
      <c r="V545">
        <f t="shared" si="83"/>
        <v>1</v>
      </c>
      <c r="W545">
        <f t="shared" si="84"/>
        <v>1</v>
      </c>
      <c r="Y545">
        <f t="shared" si="85"/>
        <v>313</v>
      </c>
    </row>
    <row r="546" spans="8:25">
      <c r="H546">
        <v>314</v>
      </c>
      <c r="I546" s="18">
        <v>28</v>
      </c>
      <c r="J546">
        <v>16</v>
      </c>
      <c r="K546">
        <f t="shared" si="75"/>
        <v>80</v>
      </c>
      <c r="L546" s="39">
        <f t="shared" si="76"/>
        <v>98.520345616575895</v>
      </c>
      <c r="M546">
        <f t="shared" si="77"/>
        <v>470.31337508538434</v>
      </c>
      <c r="N546">
        <f t="shared" si="78"/>
        <v>16217.402691528627</v>
      </c>
      <c r="O546" s="39">
        <f t="shared" si="79"/>
        <v>31760.160093185961</v>
      </c>
      <c r="S546">
        <f t="shared" si="80"/>
        <v>1</v>
      </c>
      <c r="T546">
        <f t="shared" si="81"/>
        <v>1</v>
      </c>
      <c r="U546">
        <f t="shared" si="82"/>
        <v>0</v>
      </c>
      <c r="V546">
        <f t="shared" si="83"/>
        <v>1</v>
      </c>
      <c r="W546">
        <f t="shared" si="84"/>
        <v>1</v>
      </c>
      <c r="Y546" t="str">
        <f t="shared" si="85"/>
        <v/>
      </c>
    </row>
    <row r="547" spans="8:25">
      <c r="H547">
        <v>315</v>
      </c>
      <c r="I547" s="18">
        <v>14</v>
      </c>
      <c r="J547">
        <v>64</v>
      </c>
      <c r="K547">
        <f t="shared" si="75"/>
        <v>320</v>
      </c>
      <c r="L547" s="39">
        <f t="shared" si="76"/>
        <v>98.520345616575895</v>
      </c>
      <c r="M547">
        <f t="shared" si="77"/>
        <v>350.31337508538434</v>
      </c>
      <c r="N547">
        <f t="shared" si="78"/>
        <v>12079.548175632441</v>
      </c>
      <c r="O547" s="39">
        <f t="shared" si="79"/>
        <v>27622.305577289775</v>
      </c>
      <c r="S547">
        <f t="shared" si="80"/>
        <v>1</v>
      </c>
      <c r="T547">
        <f t="shared" si="81"/>
        <v>0</v>
      </c>
      <c r="U547">
        <f t="shared" si="82"/>
        <v>1</v>
      </c>
      <c r="V547">
        <f t="shared" si="83"/>
        <v>0</v>
      </c>
      <c r="W547">
        <f t="shared" si="84"/>
        <v>0</v>
      </c>
      <c r="Y547" t="str">
        <f t="shared" si="85"/>
        <v/>
      </c>
    </row>
    <row r="548" spans="8:25">
      <c r="H548">
        <v>316</v>
      </c>
      <c r="I548" s="18">
        <v>22</v>
      </c>
      <c r="J548">
        <v>26</v>
      </c>
      <c r="K548">
        <f t="shared" si="75"/>
        <v>130</v>
      </c>
      <c r="L548" s="39">
        <f t="shared" si="76"/>
        <v>98.834504881934919</v>
      </c>
      <c r="M548">
        <f t="shared" si="77"/>
        <v>445.31337508538434</v>
      </c>
      <c r="N548">
        <f t="shared" si="78"/>
        <v>15404.31443035357</v>
      </c>
      <c r="O548" s="39">
        <f t="shared" si="79"/>
        <v>30947.071832010904</v>
      </c>
      <c r="S548">
        <f t="shared" si="80"/>
        <v>1</v>
      </c>
      <c r="T548">
        <f t="shared" si="81"/>
        <v>1</v>
      </c>
      <c r="U548">
        <f t="shared" si="82"/>
        <v>1</v>
      </c>
      <c r="V548">
        <f t="shared" si="83"/>
        <v>0</v>
      </c>
      <c r="W548">
        <f t="shared" si="84"/>
        <v>1</v>
      </c>
      <c r="Y548" t="str">
        <f t="shared" si="85"/>
        <v/>
      </c>
    </row>
    <row r="549" spans="8:25">
      <c r="H549">
        <v>317</v>
      </c>
      <c r="I549" s="18">
        <v>30</v>
      </c>
      <c r="J549">
        <v>14</v>
      </c>
      <c r="K549">
        <f t="shared" si="75"/>
        <v>70</v>
      </c>
      <c r="L549" s="39">
        <f t="shared" si="76"/>
        <v>98.960168588078488</v>
      </c>
      <c r="M549">
        <f t="shared" si="77"/>
        <v>475.31337508538434</v>
      </c>
      <c r="N549">
        <f t="shared" si="78"/>
        <v>16462.982105716375</v>
      </c>
      <c r="O549" s="39">
        <f t="shared" si="79"/>
        <v>32005.73950737371</v>
      </c>
      <c r="S549">
        <f t="shared" si="80"/>
        <v>1</v>
      </c>
      <c r="T549">
        <f t="shared" si="81"/>
        <v>1</v>
      </c>
      <c r="U549">
        <f t="shared" si="82"/>
        <v>0</v>
      </c>
      <c r="V549">
        <f t="shared" si="83"/>
        <v>1</v>
      </c>
      <c r="W549">
        <f t="shared" si="84"/>
        <v>1</v>
      </c>
      <c r="Y549" t="str">
        <f t="shared" si="85"/>
        <v/>
      </c>
    </row>
    <row r="550" spans="8:25">
      <c r="H550">
        <v>318</v>
      </c>
      <c r="I550" s="18">
        <v>24</v>
      </c>
      <c r="J550">
        <v>22</v>
      </c>
      <c r="K550">
        <f t="shared" si="75"/>
        <v>110</v>
      </c>
      <c r="L550" s="39">
        <f t="shared" si="76"/>
        <v>99.525655265724637</v>
      </c>
      <c r="M550">
        <f t="shared" si="77"/>
        <v>455.31337508538434</v>
      </c>
      <c r="N550">
        <f t="shared" si="78"/>
        <v>15860.376702317539</v>
      </c>
      <c r="O550" s="39">
        <f t="shared" si="79"/>
        <v>31403.134103974873</v>
      </c>
      <c r="S550">
        <f t="shared" si="80"/>
        <v>1</v>
      </c>
      <c r="T550">
        <f t="shared" si="81"/>
        <v>1</v>
      </c>
      <c r="U550">
        <f t="shared" si="82"/>
        <v>1</v>
      </c>
      <c r="V550">
        <f t="shared" si="83"/>
        <v>0</v>
      </c>
      <c r="W550">
        <f t="shared" si="84"/>
        <v>1</v>
      </c>
      <c r="Y550" t="str">
        <f t="shared" si="85"/>
        <v/>
      </c>
    </row>
    <row r="551" spans="8:25">
      <c r="H551">
        <v>319</v>
      </c>
      <c r="I551" s="18">
        <v>12</v>
      </c>
      <c r="J551">
        <v>88</v>
      </c>
      <c r="K551">
        <f t="shared" si="75"/>
        <v>440</v>
      </c>
      <c r="L551" s="39">
        <f t="shared" si="76"/>
        <v>99.525655265724637</v>
      </c>
      <c r="M551">
        <f t="shared" si="77"/>
        <v>290.31337508538434</v>
      </c>
      <c r="N551">
        <f t="shared" si="78"/>
        <v>10112.77011072194</v>
      </c>
      <c r="O551" s="39">
        <f t="shared" si="79"/>
        <v>25655.527512379274</v>
      </c>
      <c r="S551">
        <f t="shared" si="80"/>
        <v>1</v>
      </c>
      <c r="T551">
        <f t="shared" si="81"/>
        <v>0</v>
      </c>
      <c r="U551">
        <f t="shared" si="82"/>
        <v>1</v>
      </c>
      <c r="V551">
        <f t="shared" si="83"/>
        <v>0</v>
      </c>
      <c r="W551">
        <f t="shared" si="84"/>
        <v>0</v>
      </c>
      <c r="Y551" t="str">
        <f t="shared" si="85"/>
        <v/>
      </c>
    </row>
    <row r="552" spans="8:25">
      <c r="H552">
        <v>320</v>
      </c>
      <c r="I552" s="18">
        <v>40</v>
      </c>
      <c r="J552">
        <v>8</v>
      </c>
      <c r="K552">
        <f t="shared" si="75"/>
        <v>40</v>
      </c>
      <c r="L552" s="39">
        <f t="shared" si="76"/>
        <v>100.53096491487338</v>
      </c>
      <c r="M552">
        <f t="shared" si="77"/>
        <v>490.31337508538434</v>
      </c>
      <c r="N552">
        <f t="shared" si="78"/>
        <v>17252.086847800674</v>
      </c>
      <c r="O552" s="39">
        <f t="shared" si="79"/>
        <v>32794.844249458009</v>
      </c>
      <c r="S552">
        <f t="shared" si="80"/>
        <v>1</v>
      </c>
      <c r="T552">
        <f t="shared" si="81"/>
        <v>1</v>
      </c>
      <c r="U552">
        <f t="shared" si="82"/>
        <v>0</v>
      </c>
      <c r="V552">
        <f t="shared" si="83"/>
        <v>1</v>
      </c>
      <c r="W552">
        <f t="shared" si="84"/>
        <v>1</v>
      </c>
      <c r="Y552" t="str">
        <f t="shared" si="85"/>
        <v/>
      </c>
    </row>
    <row r="553" spans="8:25">
      <c r="H553">
        <v>321</v>
      </c>
      <c r="I553" s="18">
        <v>20</v>
      </c>
      <c r="J553">
        <v>32</v>
      </c>
      <c r="K553">
        <f t="shared" ref="K553:K616" si="86">$F$230+$F$231*(J553-2)/2</f>
        <v>160</v>
      </c>
      <c r="L553" s="39">
        <f t="shared" ref="L553:L616" si="87">J553*0.25*PI()*(I553/10)^2</f>
        <v>100.53096491487338</v>
      </c>
      <c r="M553">
        <f t="shared" ref="M553:M616" si="88">$F$233-(K553+$F$232)/2</f>
        <v>430.31337508538434</v>
      </c>
      <c r="N553">
        <f t="shared" ref="N553:N616" si="89">L553*$F$235*M553*0.001</f>
        <v>15140.936584588333</v>
      </c>
      <c r="O553" s="39">
        <f t="shared" ref="O553:O616" si="90">N553+$F$237</f>
        <v>30683.693986245667</v>
      </c>
      <c r="S553">
        <f t="shared" ref="S553:S616" si="91">IF(L553&lt;$F$236,1,0)</f>
        <v>1</v>
      </c>
      <c r="T553">
        <f t="shared" ref="T553:T616" si="92">IF(O553&gt;$F$234,1,0)</f>
        <v>0</v>
      </c>
      <c r="U553">
        <f t="shared" ref="U553:U616" si="93">IF(I553&lt;=$F$238,1,0)</f>
        <v>1</v>
      </c>
      <c r="V553">
        <f t="shared" ref="V553:V616" si="94">IF(J553&lt;=$F$239,1,0)</f>
        <v>0</v>
      </c>
      <c r="W553">
        <f t="shared" ref="W553:W616" si="95">IF(K553&lt;=$F$240,1,0)</f>
        <v>1</v>
      </c>
      <c r="Y553" t="str">
        <f t="shared" ref="Y553:Y616" si="96">IF(SUM(S553:W553)=5,H553,"")</f>
        <v/>
      </c>
    </row>
    <row r="554" spans="8:25">
      <c r="H554">
        <v>322</v>
      </c>
      <c r="I554" s="18">
        <v>16</v>
      </c>
      <c r="J554">
        <v>50</v>
      </c>
      <c r="K554">
        <f t="shared" si="86"/>
        <v>250</v>
      </c>
      <c r="L554" s="39">
        <f t="shared" si="87"/>
        <v>100.53096491487341</v>
      </c>
      <c r="M554">
        <f t="shared" si="88"/>
        <v>385.31337508538434</v>
      </c>
      <c r="N554">
        <f t="shared" si="89"/>
        <v>13557.57388717908</v>
      </c>
      <c r="O554" s="39">
        <f t="shared" si="90"/>
        <v>29100.331288836416</v>
      </c>
      <c r="S554">
        <f t="shared" si="91"/>
        <v>1</v>
      </c>
      <c r="T554">
        <f t="shared" si="92"/>
        <v>0</v>
      </c>
      <c r="U554">
        <f t="shared" si="93"/>
        <v>1</v>
      </c>
      <c r="V554">
        <f t="shared" si="94"/>
        <v>0</v>
      </c>
      <c r="W554">
        <f t="shared" si="95"/>
        <v>1</v>
      </c>
      <c r="Y554" t="str">
        <f t="shared" si="96"/>
        <v/>
      </c>
    </row>
    <row r="555" spans="8:25">
      <c r="H555">
        <v>323</v>
      </c>
      <c r="I555" s="18">
        <v>14</v>
      </c>
      <c r="J555">
        <v>66</v>
      </c>
      <c r="K555">
        <f t="shared" si="86"/>
        <v>330</v>
      </c>
      <c r="L555" s="39">
        <f t="shared" si="87"/>
        <v>101.59910641709389</v>
      </c>
      <c r="M555">
        <f t="shared" si="88"/>
        <v>345.31337508538434</v>
      </c>
      <c r="N555">
        <f t="shared" si="89"/>
        <v>12279.235619891037</v>
      </c>
      <c r="O555" s="39">
        <f t="shared" si="90"/>
        <v>27821.993021548369</v>
      </c>
      <c r="S555">
        <f t="shared" si="91"/>
        <v>1</v>
      </c>
      <c r="T555">
        <f t="shared" si="92"/>
        <v>0</v>
      </c>
      <c r="U555">
        <f t="shared" si="93"/>
        <v>1</v>
      </c>
      <c r="V555">
        <f t="shared" si="94"/>
        <v>0</v>
      </c>
      <c r="W555">
        <f t="shared" si="95"/>
        <v>0</v>
      </c>
      <c r="Y555" t="str">
        <f t="shared" si="96"/>
        <v/>
      </c>
    </row>
    <row r="556" spans="8:25">
      <c r="H556">
        <v>324</v>
      </c>
      <c r="I556" s="18">
        <v>12</v>
      </c>
      <c r="J556">
        <v>90</v>
      </c>
      <c r="K556">
        <f t="shared" si="86"/>
        <v>450</v>
      </c>
      <c r="L556" s="39">
        <f t="shared" si="87"/>
        <v>101.78760197630929</v>
      </c>
      <c r="M556">
        <f t="shared" si="88"/>
        <v>285.31337508538434</v>
      </c>
      <c r="N556">
        <f t="shared" si="89"/>
        <v>10164.477491597991</v>
      </c>
      <c r="O556" s="39">
        <f t="shared" si="90"/>
        <v>25707.234893255325</v>
      </c>
      <c r="S556">
        <f t="shared" si="91"/>
        <v>1</v>
      </c>
      <c r="T556">
        <f t="shared" si="92"/>
        <v>0</v>
      </c>
      <c r="U556">
        <f t="shared" si="93"/>
        <v>1</v>
      </c>
      <c r="V556">
        <f t="shared" si="94"/>
        <v>0</v>
      </c>
      <c r="W556">
        <f t="shared" si="95"/>
        <v>0</v>
      </c>
      <c r="Y556" t="str">
        <f t="shared" si="96"/>
        <v/>
      </c>
    </row>
    <row r="557" spans="8:25">
      <c r="H557">
        <v>325</v>
      </c>
      <c r="I557" s="18">
        <v>36</v>
      </c>
      <c r="J557">
        <v>10</v>
      </c>
      <c r="K557">
        <f t="shared" si="86"/>
        <v>50</v>
      </c>
      <c r="L557" s="39">
        <f t="shared" si="87"/>
        <v>101.7876019763093</v>
      </c>
      <c r="M557">
        <f t="shared" si="88"/>
        <v>485.31337508538434</v>
      </c>
      <c r="N557">
        <f t="shared" si="89"/>
        <v>17289.609629939641</v>
      </c>
      <c r="O557" s="39">
        <f t="shared" si="90"/>
        <v>32832.367031596979</v>
      </c>
      <c r="S557">
        <f t="shared" si="91"/>
        <v>1</v>
      </c>
      <c r="T557">
        <f t="shared" si="92"/>
        <v>1</v>
      </c>
      <c r="U557">
        <f t="shared" si="93"/>
        <v>0</v>
      </c>
      <c r="V557">
        <f t="shared" si="94"/>
        <v>1</v>
      </c>
      <c r="W557">
        <f t="shared" si="95"/>
        <v>1</v>
      </c>
      <c r="Y557" t="str">
        <f t="shared" si="96"/>
        <v/>
      </c>
    </row>
    <row r="558" spans="8:25">
      <c r="H558">
        <v>326</v>
      </c>
      <c r="I558" s="18">
        <v>18</v>
      </c>
      <c r="J558">
        <v>40</v>
      </c>
      <c r="K558">
        <f t="shared" si="86"/>
        <v>200</v>
      </c>
      <c r="L558" s="39">
        <f t="shared" si="87"/>
        <v>101.7876019763093</v>
      </c>
      <c r="M558">
        <f t="shared" si="88"/>
        <v>410.31337508538434</v>
      </c>
      <c r="N558">
        <f t="shared" si="89"/>
        <v>14617.68507806152</v>
      </c>
      <c r="O558" s="39">
        <f t="shared" si="90"/>
        <v>30160.442479718855</v>
      </c>
      <c r="S558">
        <f t="shared" si="91"/>
        <v>1</v>
      </c>
      <c r="T558">
        <f t="shared" si="92"/>
        <v>0</v>
      </c>
      <c r="U558">
        <f t="shared" si="93"/>
        <v>1</v>
      </c>
      <c r="V558">
        <f t="shared" si="94"/>
        <v>0</v>
      </c>
      <c r="W558">
        <f t="shared" si="95"/>
        <v>1</v>
      </c>
      <c r="Y558" t="str">
        <f t="shared" si="96"/>
        <v/>
      </c>
    </row>
    <row r="559" spans="8:25">
      <c r="H559">
        <v>327</v>
      </c>
      <c r="I559" s="18">
        <v>12</v>
      </c>
      <c r="J559">
        <v>92</v>
      </c>
      <c r="K559">
        <f t="shared" si="86"/>
        <v>460</v>
      </c>
      <c r="L559" s="39">
        <f t="shared" si="87"/>
        <v>104.04954868689394</v>
      </c>
      <c r="M559">
        <f t="shared" si="88"/>
        <v>280.31337508538434</v>
      </c>
      <c r="N559">
        <f t="shared" si="89"/>
        <v>10208.268058986991</v>
      </c>
      <c r="O559" s="39">
        <f t="shared" si="90"/>
        <v>25751.025460644327</v>
      </c>
      <c r="S559">
        <f t="shared" si="91"/>
        <v>1</v>
      </c>
      <c r="T559">
        <f t="shared" si="92"/>
        <v>0</v>
      </c>
      <c r="U559">
        <f t="shared" si="93"/>
        <v>1</v>
      </c>
      <c r="V559">
        <f t="shared" si="94"/>
        <v>0</v>
      </c>
      <c r="W559">
        <f t="shared" si="95"/>
        <v>0</v>
      </c>
      <c r="Y559" t="str">
        <f t="shared" si="96"/>
        <v/>
      </c>
    </row>
    <row r="560" spans="8:25">
      <c r="H560">
        <v>328</v>
      </c>
      <c r="I560" s="18">
        <v>16</v>
      </c>
      <c r="J560">
        <v>52</v>
      </c>
      <c r="K560">
        <f t="shared" si="86"/>
        <v>260</v>
      </c>
      <c r="L560" s="39">
        <f t="shared" si="87"/>
        <v>104.55220351146835</v>
      </c>
      <c r="M560">
        <f t="shared" si="88"/>
        <v>380.31337508538434</v>
      </c>
      <c r="N560">
        <f t="shared" si="89"/>
        <v>13916.910486521176</v>
      </c>
      <c r="O560" s="39">
        <f t="shared" si="90"/>
        <v>29459.667888178512</v>
      </c>
      <c r="S560">
        <f t="shared" si="91"/>
        <v>1</v>
      </c>
      <c r="T560">
        <f t="shared" si="92"/>
        <v>0</v>
      </c>
      <c r="U560">
        <f t="shared" si="93"/>
        <v>1</v>
      </c>
      <c r="V560">
        <f t="shared" si="94"/>
        <v>0</v>
      </c>
      <c r="W560">
        <f t="shared" si="95"/>
        <v>1</v>
      </c>
      <c r="Y560" t="str">
        <f t="shared" si="96"/>
        <v/>
      </c>
    </row>
    <row r="561" spans="8:25">
      <c r="H561">
        <v>329</v>
      </c>
      <c r="I561" s="18">
        <v>14</v>
      </c>
      <c r="J561">
        <v>68</v>
      </c>
      <c r="K561">
        <f t="shared" si="86"/>
        <v>340</v>
      </c>
      <c r="L561" s="39">
        <f t="shared" si="87"/>
        <v>104.6778672176119</v>
      </c>
      <c r="M561">
        <f t="shared" si="88"/>
        <v>340.31337508538434</v>
      </c>
      <c r="N561">
        <f t="shared" si="89"/>
        <v>12468.147401347827</v>
      </c>
      <c r="O561" s="39">
        <f t="shared" si="90"/>
        <v>28010.904803005164</v>
      </c>
      <c r="S561">
        <f t="shared" si="91"/>
        <v>1</v>
      </c>
      <c r="T561">
        <f t="shared" si="92"/>
        <v>0</v>
      </c>
      <c r="U561">
        <f t="shared" si="93"/>
        <v>1</v>
      </c>
      <c r="V561">
        <f t="shared" si="94"/>
        <v>0</v>
      </c>
      <c r="W561">
        <f t="shared" si="95"/>
        <v>0</v>
      </c>
      <c r="Y561" t="str">
        <f t="shared" si="96"/>
        <v/>
      </c>
    </row>
    <row r="562" spans="8:25">
      <c r="H562">
        <v>330</v>
      </c>
      <c r="I562" s="18">
        <v>26</v>
      </c>
      <c r="J562">
        <v>20</v>
      </c>
      <c r="K562">
        <f t="shared" si="86"/>
        <v>100</v>
      </c>
      <c r="L562" s="39">
        <f t="shared" si="87"/>
        <v>106.18583169133501</v>
      </c>
      <c r="M562">
        <f t="shared" si="88"/>
        <v>460.31337508538434</v>
      </c>
      <c r="N562">
        <f t="shared" si="89"/>
        <v>17107.565500230445</v>
      </c>
      <c r="O562" s="39">
        <f t="shared" si="90"/>
        <v>32650.322901887779</v>
      </c>
      <c r="S562">
        <f t="shared" si="91"/>
        <v>1</v>
      </c>
      <c r="T562">
        <f t="shared" si="92"/>
        <v>1</v>
      </c>
      <c r="U562">
        <f t="shared" si="93"/>
        <v>0</v>
      </c>
      <c r="V562">
        <f t="shared" si="94"/>
        <v>1</v>
      </c>
      <c r="W562">
        <f t="shared" si="95"/>
        <v>1</v>
      </c>
      <c r="Y562" t="str">
        <f t="shared" si="96"/>
        <v/>
      </c>
    </row>
    <row r="563" spans="8:25">
      <c r="H563">
        <v>331</v>
      </c>
      <c r="I563" s="18">
        <v>12</v>
      </c>
      <c r="J563">
        <v>94</v>
      </c>
      <c r="K563">
        <f t="shared" si="86"/>
        <v>470</v>
      </c>
      <c r="L563" s="39">
        <f t="shared" si="87"/>
        <v>106.31149539747861</v>
      </c>
      <c r="M563">
        <f t="shared" si="88"/>
        <v>275.31337508538434</v>
      </c>
      <c r="N563">
        <f t="shared" si="89"/>
        <v>10244.141812888951</v>
      </c>
      <c r="O563" s="39">
        <f t="shared" si="90"/>
        <v>25786.899214546283</v>
      </c>
      <c r="S563">
        <f t="shared" si="91"/>
        <v>1</v>
      </c>
      <c r="T563">
        <f t="shared" si="92"/>
        <v>0</v>
      </c>
      <c r="U563">
        <f t="shared" si="93"/>
        <v>1</v>
      </c>
      <c r="V563">
        <f t="shared" si="94"/>
        <v>0</v>
      </c>
      <c r="W563">
        <f t="shared" si="95"/>
        <v>0</v>
      </c>
      <c r="Y563" t="str">
        <f t="shared" si="96"/>
        <v/>
      </c>
    </row>
    <row r="564" spans="8:25">
      <c r="H564">
        <v>332</v>
      </c>
      <c r="I564" s="18">
        <v>22</v>
      </c>
      <c r="J564">
        <v>28</v>
      </c>
      <c r="K564">
        <f t="shared" si="86"/>
        <v>140</v>
      </c>
      <c r="L564" s="39">
        <f t="shared" si="87"/>
        <v>106.43715910362221</v>
      </c>
      <c r="M564">
        <f t="shared" si="88"/>
        <v>440.31337508538434</v>
      </c>
      <c r="N564">
        <f t="shared" si="89"/>
        <v>16402.996665795577</v>
      </c>
      <c r="O564" s="39">
        <f t="shared" si="90"/>
        <v>31945.754067452912</v>
      </c>
      <c r="S564">
        <f t="shared" si="91"/>
        <v>1</v>
      </c>
      <c r="T564">
        <f t="shared" si="92"/>
        <v>1</v>
      </c>
      <c r="U564">
        <f t="shared" si="93"/>
        <v>1</v>
      </c>
      <c r="V564">
        <f t="shared" si="94"/>
        <v>0</v>
      </c>
      <c r="W564">
        <f t="shared" si="95"/>
        <v>1</v>
      </c>
      <c r="Y564" t="str">
        <f t="shared" si="96"/>
        <v/>
      </c>
    </row>
    <row r="565" spans="8:25">
      <c r="H565">
        <v>333</v>
      </c>
      <c r="I565" s="18">
        <v>20</v>
      </c>
      <c r="J565">
        <v>34</v>
      </c>
      <c r="K565">
        <f t="shared" si="86"/>
        <v>170</v>
      </c>
      <c r="L565" s="39">
        <f t="shared" si="87"/>
        <v>106.81415022205297</v>
      </c>
      <c r="M565">
        <f t="shared" si="88"/>
        <v>425.31337508538434</v>
      </c>
      <c r="N565">
        <f t="shared" si="89"/>
        <v>15900.320358236513</v>
      </c>
      <c r="O565" s="39">
        <f t="shared" si="90"/>
        <v>31443.077759893848</v>
      </c>
      <c r="S565">
        <f t="shared" si="91"/>
        <v>1</v>
      </c>
      <c r="T565">
        <f t="shared" si="92"/>
        <v>1</v>
      </c>
      <c r="U565">
        <f t="shared" si="93"/>
        <v>1</v>
      </c>
      <c r="V565">
        <f t="shared" si="94"/>
        <v>0</v>
      </c>
      <c r="W565">
        <f t="shared" si="95"/>
        <v>1</v>
      </c>
      <c r="Y565" t="str">
        <f t="shared" si="96"/>
        <v/>
      </c>
    </row>
    <row r="566" spans="8:25">
      <c r="H566">
        <v>334</v>
      </c>
      <c r="I566" s="18">
        <v>18</v>
      </c>
      <c r="J566">
        <v>42</v>
      </c>
      <c r="K566">
        <f t="shared" si="86"/>
        <v>210</v>
      </c>
      <c r="L566" s="39">
        <f t="shared" si="87"/>
        <v>106.87698207512477</v>
      </c>
      <c r="M566">
        <f t="shared" si="88"/>
        <v>405.31337508538434</v>
      </c>
      <c r="N566">
        <f t="shared" si="89"/>
        <v>15161.534613333131</v>
      </c>
      <c r="O566" s="39">
        <f t="shared" si="90"/>
        <v>30704.292014990468</v>
      </c>
      <c r="S566">
        <f t="shared" si="91"/>
        <v>1</v>
      </c>
      <c r="T566">
        <f t="shared" si="92"/>
        <v>0</v>
      </c>
      <c r="U566">
        <f t="shared" si="93"/>
        <v>1</v>
      </c>
      <c r="V566">
        <f t="shared" si="94"/>
        <v>0</v>
      </c>
      <c r="W566">
        <f t="shared" si="95"/>
        <v>1</v>
      </c>
      <c r="Y566" t="str">
        <f t="shared" si="96"/>
        <v/>
      </c>
    </row>
    <row r="567" spans="8:25">
      <c r="H567">
        <v>335</v>
      </c>
      <c r="I567" s="18">
        <v>14</v>
      </c>
      <c r="J567">
        <v>70</v>
      </c>
      <c r="K567">
        <f t="shared" si="86"/>
        <v>350</v>
      </c>
      <c r="L567" s="39">
        <f t="shared" si="87"/>
        <v>107.75662801812989</v>
      </c>
      <c r="M567">
        <f t="shared" si="88"/>
        <v>335.31337508538434</v>
      </c>
      <c r="N567">
        <f t="shared" si="89"/>
        <v>12646.283520002797</v>
      </c>
      <c r="O567" s="39">
        <f t="shared" si="90"/>
        <v>28189.040921660133</v>
      </c>
      <c r="S567">
        <f t="shared" si="91"/>
        <v>1</v>
      </c>
      <c r="T567">
        <f t="shared" si="92"/>
        <v>0</v>
      </c>
      <c r="U567">
        <f t="shared" si="93"/>
        <v>1</v>
      </c>
      <c r="V567">
        <f t="shared" si="94"/>
        <v>0</v>
      </c>
      <c r="W567">
        <f t="shared" si="95"/>
        <v>0</v>
      </c>
      <c r="Y567" t="str">
        <f t="shared" si="96"/>
        <v/>
      </c>
    </row>
    <row r="568" spans="8:25">
      <c r="H568">
        <v>336</v>
      </c>
      <c r="I568" s="18">
        <v>25</v>
      </c>
      <c r="J568">
        <v>22</v>
      </c>
      <c r="K568">
        <f t="shared" si="86"/>
        <v>110</v>
      </c>
      <c r="L568" s="39">
        <f t="shared" si="87"/>
        <v>107.99224746714913</v>
      </c>
      <c r="M568">
        <f t="shared" si="88"/>
        <v>455.31337508538434</v>
      </c>
      <c r="N568">
        <f t="shared" si="89"/>
        <v>17209.610137063304</v>
      </c>
      <c r="O568" s="39">
        <f t="shared" si="90"/>
        <v>32752.367538720639</v>
      </c>
      <c r="S568">
        <f t="shared" si="91"/>
        <v>1</v>
      </c>
      <c r="T568">
        <f t="shared" si="92"/>
        <v>1</v>
      </c>
      <c r="U568">
        <f t="shared" si="93"/>
        <v>1</v>
      </c>
      <c r="V568">
        <f t="shared" si="94"/>
        <v>0</v>
      </c>
      <c r="W568">
        <f t="shared" si="95"/>
        <v>1</v>
      </c>
      <c r="Y568" t="str">
        <f t="shared" si="96"/>
        <v/>
      </c>
    </row>
    <row r="569" spans="8:25">
      <c r="H569">
        <v>337</v>
      </c>
      <c r="I569" s="18">
        <v>24</v>
      </c>
      <c r="J569">
        <v>24</v>
      </c>
      <c r="K569">
        <f t="shared" si="86"/>
        <v>120</v>
      </c>
      <c r="L569" s="39">
        <f t="shared" si="87"/>
        <v>108.57344210806325</v>
      </c>
      <c r="M569">
        <f t="shared" si="88"/>
        <v>450.31337508538434</v>
      </c>
      <c r="N569">
        <f t="shared" si="89"/>
        <v>17112.225606111842</v>
      </c>
      <c r="O569" s="39">
        <f t="shared" si="90"/>
        <v>32654.983007769177</v>
      </c>
      <c r="S569">
        <f t="shared" si="91"/>
        <v>1</v>
      </c>
      <c r="T569">
        <f t="shared" si="92"/>
        <v>1</v>
      </c>
      <c r="U569">
        <f t="shared" si="93"/>
        <v>1</v>
      </c>
      <c r="V569">
        <f t="shared" si="94"/>
        <v>0</v>
      </c>
      <c r="W569">
        <f t="shared" si="95"/>
        <v>1</v>
      </c>
      <c r="Y569" t="str">
        <f t="shared" si="96"/>
        <v/>
      </c>
    </row>
    <row r="570" spans="8:25">
      <c r="H570">
        <v>338</v>
      </c>
      <c r="I570" s="18">
        <v>12</v>
      </c>
      <c r="J570">
        <v>96</v>
      </c>
      <c r="K570">
        <f t="shared" si="86"/>
        <v>480</v>
      </c>
      <c r="L570" s="39">
        <f t="shared" si="87"/>
        <v>108.57344210806325</v>
      </c>
      <c r="M570">
        <f t="shared" si="88"/>
        <v>270.31337508538434</v>
      </c>
      <c r="N570">
        <f t="shared" si="89"/>
        <v>10272.098753303857</v>
      </c>
      <c r="O570" s="39">
        <f t="shared" si="90"/>
        <v>25814.856154961191</v>
      </c>
      <c r="S570">
        <f t="shared" si="91"/>
        <v>1</v>
      </c>
      <c r="T570">
        <f t="shared" si="92"/>
        <v>0</v>
      </c>
      <c r="U570">
        <f t="shared" si="93"/>
        <v>1</v>
      </c>
      <c r="V570">
        <f t="shared" si="94"/>
        <v>0</v>
      </c>
      <c r="W570">
        <f t="shared" si="95"/>
        <v>0</v>
      </c>
      <c r="Y570" t="str">
        <f t="shared" si="96"/>
        <v/>
      </c>
    </row>
    <row r="571" spans="8:25">
      <c r="H571">
        <v>339</v>
      </c>
      <c r="I571" s="18">
        <v>16</v>
      </c>
      <c r="J571">
        <v>54</v>
      </c>
      <c r="K571">
        <f t="shared" si="86"/>
        <v>270</v>
      </c>
      <c r="L571" s="39">
        <f t="shared" si="87"/>
        <v>108.57344210806326</v>
      </c>
      <c r="M571">
        <f t="shared" si="88"/>
        <v>375.31337508538434</v>
      </c>
      <c r="N571">
        <f t="shared" si="89"/>
        <v>14262.172750775182</v>
      </c>
      <c r="O571" s="39">
        <f t="shared" si="90"/>
        <v>29804.930152432516</v>
      </c>
      <c r="S571">
        <f t="shared" si="91"/>
        <v>1</v>
      </c>
      <c r="T571">
        <f t="shared" si="92"/>
        <v>0</v>
      </c>
      <c r="U571">
        <f t="shared" si="93"/>
        <v>1</v>
      </c>
      <c r="V571">
        <f t="shared" si="94"/>
        <v>0</v>
      </c>
      <c r="W571">
        <f t="shared" si="95"/>
        <v>1</v>
      </c>
      <c r="Y571" t="str">
        <f t="shared" si="96"/>
        <v/>
      </c>
    </row>
    <row r="572" spans="8:25">
      <c r="H572">
        <v>340</v>
      </c>
      <c r="I572" s="18">
        <v>34</v>
      </c>
      <c r="J572">
        <v>12</v>
      </c>
      <c r="K572">
        <f t="shared" si="86"/>
        <v>60</v>
      </c>
      <c r="L572" s="39">
        <f t="shared" si="87"/>
        <v>108.95043322649401</v>
      </c>
      <c r="M572">
        <f t="shared" si="88"/>
        <v>480.31337508538434</v>
      </c>
      <c r="N572">
        <f t="shared" si="89"/>
        <v>18315.622605011253</v>
      </c>
      <c r="O572" s="39">
        <f t="shared" si="90"/>
        <v>33858.380006668587</v>
      </c>
      <c r="S572">
        <f t="shared" si="91"/>
        <v>1</v>
      </c>
      <c r="T572">
        <f t="shared" si="92"/>
        <v>1</v>
      </c>
      <c r="U572">
        <f t="shared" si="93"/>
        <v>0</v>
      </c>
      <c r="V572">
        <f t="shared" si="94"/>
        <v>1</v>
      </c>
      <c r="W572">
        <f t="shared" si="95"/>
        <v>1</v>
      </c>
      <c r="Y572" t="str">
        <f t="shared" si="96"/>
        <v/>
      </c>
    </row>
    <row r="573" spans="8:25">
      <c r="H573">
        <v>341</v>
      </c>
      <c r="I573" s="18">
        <v>28</v>
      </c>
      <c r="J573">
        <v>18</v>
      </c>
      <c r="K573">
        <f t="shared" si="86"/>
        <v>90</v>
      </c>
      <c r="L573" s="39">
        <f t="shared" si="87"/>
        <v>110.83538881864789</v>
      </c>
      <c r="M573">
        <f t="shared" si="88"/>
        <v>465.31337508538434</v>
      </c>
      <c r="N573">
        <f t="shared" si="89"/>
        <v>18050.616097537073</v>
      </c>
      <c r="O573" s="39">
        <f t="shared" si="90"/>
        <v>33593.373499194407</v>
      </c>
      <c r="S573">
        <f t="shared" si="91"/>
        <v>1</v>
      </c>
      <c r="T573">
        <f t="shared" si="92"/>
        <v>1</v>
      </c>
      <c r="U573">
        <f t="shared" si="93"/>
        <v>0</v>
      </c>
      <c r="V573">
        <f t="shared" si="94"/>
        <v>1</v>
      </c>
      <c r="W573">
        <f t="shared" si="95"/>
        <v>1</v>
      </c>
      <c r="Y573" t="str">
        <f t="shared" si="96"/>
        <v/>
      </c>
    </row>
    <row r="574" spans="8:25">
      <c r="H574">
        <v>342</v>
      </c>
      <c r="I574" s="18">
        <v>14</v>
      </c>
      <c r="J574">
        <v>72</v>
      </c>
      <c r="K574">
        <f t="shared" si="86"/>
        <v>360</v>
      </c>
      <c r="L574" s="39">
        <f t="shared" si="87"/>
        <v>110.83538881864789</v>
      </c>
      <c r="M574">
        <f t="shared" si="88"/>
        <v>330.31337508538434</v>
      </c>
      <c r="N574">
        <f t="shared" si="89"/>
        <v>12813.643975855959</v>
      </c>
      <c r="O574" s="39">
        <f t="shared" si="90"/>
        <v>28356.401377513292</v>
      </c>
      <c r="S574">
        <f t="shared" si="91"/>
        <v>1</v>
      </c>
      <c r="T574">
        <f t="shared" si="92"/>
        <v>0</v>
      </c>
      <c r="U574">
        <f t="shared" si="93"/>
        <v>1</v>
      </c>
      <c r="V574">
        <f t="shared" si="94"/>
        <v>0</v>
      </c>
      <c r="W574">
        <f t="shared" si="95"/>
        <v>0</v>
      </c>
      <c r="Y574" t="str">
        <f t="shared" si="96"/>
        <v/>
      </c>
    </row>
    <row r="575" spans="8:25">
      <c r="H575">
        <v>343</v>
      </c>
      <c r="I575" s="18">
        <v>12</v>
      </c>
      <c r="J575">
        <v>98</v>
      </c>
      <c r="K575">
        <f t="shared" si="86"/>
        <v>490</v>
      </c>
      <c r="L575" s="39">
        <f t="shared" si="87"/>
        <v>110.83538881864789</v>
      </c>
      <c r="M575">
        <f t="shared" si="88"/>
        <v>265.31337508538434</v>
      </c>
      <c r="N575">
        <f t="shared" si="89"/>
        <v>10292.13888023172</v>
      </c>
      <c r="O575" s="39">
        <f t="shared" si="90"/>
        <v>25834.896281889054</v>
      </c>
      <c r="S575">
        <f t="shared" si="91"/>
        <v>1</v>
      </c>
      <c r="T575">
        <f t="shared" si="92"/>
        <v>0</v>
      </c>
      <c r="U575">
        <f t="shared" si="93"/>
        <v>1</v>
      </c>
      <c r="V575">
        <f t="shared" si="94"/>
        <v>0</v>
      </c>
      <c r="W575">
        <f t="shared" si="95"/>
        <v>0</v>
      </c>
      <c r="Y575" t="str">
        <f t="shared" si="96"/>
        <v/>
      </c>
    </row>
    <row r="576" spans="8:25">
      <c r="H576">
        <v>344</v>
      </c>
      <c r="I576" s="18">
        <v>18</v>
      </c>
      <c r="J576">
        <v>44</v>
      </c>
      <c r="K576">
        <f t="shared" si="86"/>
        <v>220</v>
      </c>
      <c r="L576" s="39">
        <f t="shared" si="87"/>
        <v>111.96636217394023</v>
      </c>
      <c r="M576">
        <f t="shared" si="88"/>
        <v>400.31337508538434</v>
      </c>
      <c r="N576">
        <f t="shared" si="89"/>
        <v>15687.571318258884</v>
      </c>
      <c r="O576" s="39">
        <f t="shared" si="90"/>
        <v>31230.328719916219</v>
      </c>
      <c r="S576">
        <f t="shared" si="91"/>
        <v>1</v>
      </c>
      <c r="T576">
        <f t="shared" si="92"/>
        <v>1</v>
      </c>
      <c r="U576">
        <f t="shared" si="93"/>
        <v>1</v>
      </c>
      <c r="V576">
        <f t="shared" si="94"/>
        <v>0</v>
      </c>
      <c r="W576">
        <f t="shared" si="95"/>
        <v>1</v>
      </c>
      <c r="Y576" t="str">
        <f t="shared" si="96"/>
        <v/>
      </c>
    </row>
    <row r="577" spans="8:25">
      <c r="H577">
        <v>345</v>
      </c>
      <c r="I577" s="18">
        <v>32</v>
      </c>
      <c r="J577">
        <v>14</v>
      </c>
      <c r="K577">
        <f t="shared" si="86"/>
        <v>70</v>
      </c>
      <c r="L577" s="39">
        <f t="shared" si="87"/>
        <v>112.5946807046582</v>
      </c>
      <c r="M577">
        <f t="shared" si="88"/>
        <v>475.31337508538434</v>
      </c>
      <c r="N577">
        <f t="shared" si="89"/>
        <v>18731.2151958373</v>
      </c>
      <c r="O577" s="39">
        <f t="shared" si="90"/>
        <v>34273.972597494634</v>
      </c>
      <c r="S577">
        <f t="shared" si="91"/>
        <v>1</v>
      </c>
      <c r="T577">
        <f t="shared" si="92"/>
        <v>1</v>
      </c>
      <c r="U577">
        <f t="shared" si="93"/>
        <v>0</v>
      </c>
      <c r="V577">
        <f t="shared" si="94"/>
        <v>1</v>
      </c>
      <c r="W577">
        <f t="shared" si="95"/>
        <v>1</v>
      </c>
      <c r="Y577" t="str">
        <f t="shared" si="96"/>
        <v/>
      </c>
    </row>
    <row r="578" spans="8:25">
      <c r="H578">
        <v>346</v>
      </c>
      <c r="I578" s="18">
        <v>16</v>
      </c>
      <c r="J578">
        <v>56</v>
      </c>
      <c r="K578">
        <f t="shared" si="86"/>
        <v>280</v>
      </c>
      <c r="L578" s="39">
        <f t="shared" si="87"/>
        <v>112.5946807046582</v>
      </c>
      <c r="M578">
        <f t="shared" si="88"/>
        <v>370.31337508538434</v>
      </c>
      <c r="N578">
        <f t="shared" si="89"/>
        <v>14593.360679941112</v>
      </c>
      <c r="O578" s="39">
        <f t="shared" si="90"/>
        <v>30136.118081598448</v>
      </c>
      <c r="S578">
        <f t="shared" si="91"/>
        <v>1</v>
      </c>
      <c r="T578">
        <f t="shared" si="92"/>
        <v>0</v>
      </c>
      <c r="U578">
        <f t="shared" si="93"/>
        <v>1</v>
      </c>
      <c r="V578">
        <f t="shared" si="94"/>
        <v>0</v>
      </c>
      <c r="W578">
        <f t="shared" si="95"/>
        <v>1</v>
      </c>
      <c r="Y578" t="str">
        <f t="shared" si="96"/>
        <v/>
      </c>
    </row>
    <row r="579" spans="8:25">
      <c r="H579">
        <v>347</v>
      </c>
      <c r="I579" s="18">
        <v>30</v>
      </c>
      <c r="J579">
        <v>16</v>
      </c>
      <c r="K579">
        <f t="shared" si="86"/>
        <v>80</v>
      </c>
      <c r="L579" s="39">
        <f t="shared" si="87"/>
        <v>113.09733552923255</v>
      </c>
      <c r="M579">
        <f t="shared" si="88"/>
        <v>470.31337508538434</v>
      </c>
      <c r="N579">
        <f t="shared" si="89"/>
        <v>18616.916355071131</v>
      </c>
      <c r="O579" s="39">
        <f t="shared" si="90"/>
        <v>34159.673756728465</v>
      </c>
      <c r="S579">
        <f t="shared" si="91"/>
        <v>1</v>
      </c>
      <c r="T579">
        <f t="shared" si="92"/>
        <v>1</v>
      </c>
      <c r="U579">
        <f t="shared" si="93"/>
        <v>0</v>
      </c>
      <c r="V579">
        <f t="shared" si="94"/>
        <v>1</v>
      </c>
      <c r="W579">
        <f t="shared" si="95"/>
        <v>1</v>
      </c>
      <c r="Y579" t="str">
        <f t="shared" si="96"/>
        <v/>
      </c>
    </row>
    <row r="580" spans="8:25">
      <c r="H580">
        <v>348</v>
      </c>
      <c r="I580" s="18">
        <v>20</v>
      </c>
      <c r="J580">
        <v>36</v>
      </c>
      <c r="K580">
        <f t="shared" si="86"/>
        <v>180</v>
      </c>
      <c r="L580" s="39">
        <f t="shared" si="87"/>
        <v>113.09733552923255</v>
      </c>
      <c r="M580">
        <f t="shared" si="88"/>
        <v>420.31337508538434</v>
      </c>
      <c r="N580">
        <f t="shared" si="89"/>
        <v>16637.712983309561</v>
      </c>
      <c r="O580" s="39">
        <f t="shared" si="90"/>
        <v>32180.470384966895</v>
      </c>
      <c r="S580">
        <f t="shared" si="91"/>
        <v>1</v>
      </c>
      <c r="T580">
        <f t="shared" si="92"/>
        <v>1</v>
      </c>
      <c r="U580">
        <f t="shared" si="93"/>
        <v>1</v>
      </c>
      <c r="V580">
        <f t="shared" si="94"/>
        <v>0</v>
      </c>
      <c r="W580">
        <f t="shared" si="95"/>
        <v>1</v>
      </c>
      <c r="Y580" t="str">
        <f t="shared" si="96"/>
        <v/>
      </c>
    </row>
    <row r="581" spans="8:25">
      <c r="H581">
        <v>349</v>
      </c>
      <c r="I581" s="18">
        <v>12</v>
      </c>
      <c r="J581">
        <v>100</v>
      </c>
      <c r="K581">
        <f t="shared" si="86"/>
        <v>500</v>
      </c>
      <c r="L581" s="39">
        <f t="shared" si="87"/>
        <v>113.09733552923255</v>
      </c>
      <c r="M581">
        <f t="shared" si="88"/>
        <v>260.31337508538434</v>
      </c>
      <c r="N581">
        <f t="shared" si="89"/>
        <v>10304.262193672537</v>
      </c>
      <c r="O581" s="39">
        <f t="shared" si="90"/>
        <v>25847.019595329872</v>
      </c>
      <c r="S581">
        <f t="shared" si="91"/>
        <v>1</v>
      </c>
      <c r="T581">
        <f t="shared" si="92"/>
        <v>0</v>
      </c>
      <c r="U581">
        <f t="shared" si="93"/>
        <v>1</v>
      </c>
      <c r="V581">
        <f t="shared" si="94"/>
        <v>0</v>
      </c>
      <c r="W581">
        <f t="shared" si="95"/>
        <v>0</v>
      </c>
      <c r="Y581" t="str">
        <f t="shared" si="96"/>
        <v/>
      </c>
    </row>
    <row r="582" spans="8:25">
      <c r="H582">
        <v>350</v>
      </c>
      <c r="I582" s="18">
        <v>38</v>
      </c>
      <c r="J582">
        <v>10</v>
      </c>
      <c r="K582">
        <f t="shared" si="86"/>
        <v>50</v>
      </c>
      <c r="L582" s="39">
        <f t="shared" si="87"/>
        <v>113.41149479459153</v>
      </c>
      <c r="M582">
        <f t="shared" si="88"/>
        <v>485.31337508538434</v>
      </c>
      <c r="N582">
        <f t="shared" si="89"/>
        <v>19264.040359284601</v>
      </c>
      <c r="O582" s="39">
        <f t="shared" si="90"/>
        <v>34806.797760941932</v>
      </c>
      <c r="S582">
        <f t="shared" si="91"/>
        <v>1</v>
      </c>
      <c r="T582">
        <f t="shared" si="92"/>
        <v>1</v>
      </c>
      <c r="U582">
        <f t="shared" si="93"/>
        <v>0</v>
      </c>
      <c r="V582">
        <f t="shared" si="94"/>
        <v>1</v>
      </c>
      <c r="W582">
        <f t="shared" si="95"/>
        <v>1</v>
      </c>
      <c r="Y582" t="str">
        <f t="shared" si="96"/>
        <v/>
      </c>
    </row>
    <row r="583" spans="8:25">
      <c r="H583">
        <v>351</v>
      </c>
      <c r="I583" s="18">
        <v>14</v>
      </c>
      <c r="J583">
        <v>74</v>
      </c>
      <c r="K583">
        <f t="shared" si="86"/>
        <v>370</v>
      </c>
      <c r="L583" s="39">
        <f t="shared" si="87"/>
        <v>113.91414961916588</v>
      </c>
      <c r="M583">
        <f t="shared" si="88"/>
        <v>325.31337508538434</v>
      </c>
      <c r="N583">
        <f t="shared" si="89"/>
        <v>12970.228768907305</v>
      </c>
      <c r="O583" s="39">
        <f t="shared" si="90"/>
        <v>28512.98617056464</v>
      </c>
      <c r="S583">
        <f t="shared" si="91"/>
        <v>1</v>
      </c>
      <c r="T583">
        <f t="shared" si="92"/>
        <v>0</v>
      </c>
      <c r="U583">
        <f t="shared" si="93"/>
        <v>1</v>
      </c>
      <c r="V583">
        <f t="shared" si="94"/>
        <v>0</v>
      </c>
      <c r="W583">
        <f t="shared" si="95"/>
        <v>0</v>
      </c>
      <c r="Y583" t="str">
        <f t="shared" si="96"/>
        <v/>
      </c>
    </row>
    <row r="584" spans="8:25">
      <c r="H584">
        <v>352</v>
      </c>
      <c r="I584" s="18">
        <v>22</v>
      </c>
      <c r="J584">
        <v>30</v>
      </c>
      <c r="K584">
        <f t="shared" si="86"/>
        <v>150</v>
      </c>
      <c r="L584" s="39">
        <f t="shared" si="87"/>
        <v>114.0398133253095</v>
      </c>
      <c r="M584">
        <f t="shared" si="88"/>
        <v>435.31337508538434</v>
      </c>
      <c r="N584">
        <f t="shared" si="89"/>
        <v>17375.06961146168</v>
      </c>
      <c r="O584" s="39">
        <f t="shared" si="90"/>
        <v>32917.827013119015</v>
      </c>
      <c r="S584">
        <f t="shared" si="91"/>
        <v>1</v>
      </c>
      <c r="T584">
        <f t="shared" si="92"/>
        <v>1</v>
      </c>
      <c r="U584">
        <f t="shared" si="93"/>
        <v>1</v>
      </c>
      <c r="V584">
        <f t="shared" si="94"/>
        <v>0</v>
      </c>
      <c r="W584">
        <f t="shared" si="95"/>
        <v>1</v>
      </c>
      <c r="Y584" t="str">
        <f t="shared" si="96"/>
        <v/>
      </c>
    </row>
    <row r="585" spans="8:25">
      <c r="H585">
        <v>353</v>
      </c>
      <c r="I585" s="18">
        <v>16</v>
      </c>
      <c r="J585">
        <v>58</v>
      </c>
      <c r="K585">
        <f t="shared" si="86"/>
        <v>290</v>
      </c>
      <c r="L585" s="39">
        <f t="shared" si="87"/>
        <v>116.61591930125314</v>
      </c>
      <c r="M585">
        <f t="shared" si="88"/>
        <v>365.31337508538434</v>
      </c>
      <c r="N585">
        <f t="shared" si="89"/>
        <v>14910.474274018959</v>
      </c>
      <c r="O585" s="39">
        <f t="shared" si="90"/>
        <v>30453.231675676296</v>
      </c>
      <c r="S585">
        <f t="shared" si="91"/>
        <v>1</v>
      </c>
      <c r="T585">
        <f t="shared" si="92"/>
        <v>0</v>
      </c>
      <c r="U585">
        <f t="shared" si="93"/>
        <v>1</v>
      </c>
      <c r="V585">
        <f t="shared" si="94"/>
        <v>0</v>
      </c>
      <c r="W585">
        <f t="shared" si="95"/>
        <v>1</v>
      </c>
      <c r="Y585" t="str">
        <f t="shared" si="96"/>
        <v/>
      </c>
    </row>
    <row r="586" spans="8:25">
      <c r="H586">
        <v>354</v>
      </c>
      <c r="I586" s="18">
        <v>26</v>
      </c>
      <c r="J586">
        <v>22</v>
      </c>
      <c r="K586">
        <f t="shared" si="86"/>
        <v>110</v>
      </c>
      <c r="L586" s="39">
        <f t="shared" si="87"/>
        <v>116.80441486046851</v>
      </c>
      <c r="M586">
        <f t="shared" si="88"/>
        <v>455.31337508538434</v>
      </c>
      <c r="N586">
        <f t="shared" si="89"/>
        <v>18613.914324247671</v>
      </c>
      <c r="O586" s="39">
        <f t="shared" si="90"/>
        <v>34156.671725905006</v>
      </c>
      <c r="S586">
        <f t="shared" si="91"/>
        <v>1</v>
      </c>
      <c r="T586">
        <f t="shared" si="92"/>
        <v>1</v>
      </c>
      <c r="U586">
        <f t="shared" si="93"/>
        <v>0</v>
      </c>
      <c r="V586">
        <f t="shared" si="94"/>
        <v>0</v>
      </c>
      <c r="W586">
        <f t="shared" si="95"/>
        <v>1</v>
      </c>
      <c r="Y586" t="str">
        <f t="shared" si="96"/>
        <v/>
      </c>
    </row>
    <row r="587" spans="8:25">
      <c r="H587">
        <v>355</v>
      </c>
      <c r="I587" s="18">
        <v>14</v>
      </c>
      <c r="J587">
        <v>76</v>
      </c>
      <c r="K587">
        <f t="shared" si="86"/>
        <v>380</v>
      </c>
      <c r="L587" s="39">
        <f t="shared" si="87"/>
        <v>116.99291041968387</v>
      </c>
      <c r="M587">
        <f t="shared" si="88"/>
        <v>320.31337508538434</v>
      </c>
      <c r="N587">
        <f t="shared" si="89"/>
        <v>13116.03789915684</v>
      </c>
      <c r="O587" s="39">
        <f t="shared" si="90"/>
        <v>28658.795300814174</v>
      </c>
      <c r="S587">
        <f t="shared" si="91"/>
        <v>1</v>
      </c>
      <c r="T587">
        <f t="shared" si="92"/>
        <v>0</v>
      </c>
      <c r="U587">
        <f t="shared" si="93"/>
        <v>1</v>
      </c>
      <c r="V587">
        <f t="shared" si="94"/>
        <v>0</v>
      </c>
      <c r="W587">
        <f t="shared" si="95"/>
        <v>0</v>
      </c>
      <c r="Y587" t="str">
        <f t="shared" si="96"/>
        <v/>
      </c>
    </row>
    <row r="588" spans="8:25">
      <c r="H588">
        <v>356</v>
      </c>
      <c r="I588" s="18">
        <v>18</v>
      </c>
      <c r="J588">
        <v>46</v>
      </c>
      <c r="K588">
        <f t="shared" si="86"/>
        <v>230</v>
      </c>
      <c r="L588" s="39">
        <f t="shared" si="87"/>
        <v>117.05574227275569</v>
      </c>
      <c r="M588">
        <f t="shared" si="88"/>
        <v>395.31337508538434</v>
      </c>
      <c r="N588">
        <f t="shared" si="89"/>
        <v>16195.795192838785</v>
      </c>
      <c r="O588" s="39">
        <f t="shared" si="90"/>
        <v>31738.552594496119</v>
      </c>
      <c r="S588">
        <f t="shared" si="91"/>
        <v>1</v>
      </c>
      <c r="T588">
        <f t="shared" si="92"/>
        <v>1</v>
      </c>
      <c r="U588">
        <f t="shared" si="93"/>
        <v>1</v>
      </c>
      <c r="V588">
        <f t="shared" si="94"/>
        <v>0</v>
      </c>
      <c r="W588">
        <f t="shared" si="95"/>
        <v>1</v>
      </c>
      <c r="Y588" t="str">
        <f t="shared" si="96"/>
        <v/>
      </c>
    </row>
    <row r="589" spans="8:25">
      <c r="H589">
        <v>357</v>
      </c>
      <c r="I589" s="18">
        <v>24</v>
      </c>
      <c r="J589">
        <v>26</v>
      </c>
      <c r="K589">
        <f t="shared" si="86"/>
        <v>130</v>
      </c>
      <c r="L589" s="39">
        <f t="shared" si="87"/>
        <v>117.62122895040186</v>
      </c>
      <c r="M589">
        <f t="shared" si="88"/>
        <v>445.31337508538434</v>
      </c>
      <c r="N589">
        <f t="shared" si="89"/>
        <v>18332.407255957958</v>
      </c>
      <c r="O589" s="39">
        <f t="shared" si="90"/>
        <v>33875.164657615293</v>
      </c>
      <c r="S589">
        <f t="shared" si="91"/>
        <v>1</v>
      </c>
      <c r="T589">
        <f t="shared" si="92"/>
        <v>1</v>
      </c>
      <c r="U589">
        <f t="shared" si="93"/>
        <v>1</v>
      </c>
      <c r="V589">
        <f t="shared" si="94"/>
        <v>0</v>
      </c>
      <c r="W589">
        <f t="shared" si="95"/>
        <v>1</v>
      </c>
      <c r="Y589" t="str">
        <f t="shared" si="96"/>
        <v/>
      </c>
    </row>
    <row r="590" spans="8:25">
      <c r="H590">
        <v>358</v>
      </c>
      <c r="I590" s="18">
        <v>50</v>
      </c>
      <c r="J590">
        <v>6</v>
      </c>
      <c r="K590">
        <f t="shared" si="86"/>
        <v>30</v>
      </c>
      <c r="L590" s="39">
        <f t="shared" si="87"/>
        <v>117.80972450961724</v>
      </c>
      <c r="M590">
        <f t="shared" si="88"/>
        <v>495.31337508538434</v>
      </c>
      <c r="N590">
        <f t="shared" si="89"/>
        <v>20423.456292658248</v>
      </c>
      <c r="O590" s="39">
        <f t="shared" si="90"/>
        <v>35966.213694315578</v>
      </c>
      <c r="S590">
        <f t="shared" si="91"/>
        <v>1</v>
      </c>
      <c r="T590">
        <f t="shared" si="92"/>
        <v>1</v>
      </c>
      <c r="U590">
        <f t="shared" si="93"/>
        <v>0</v>
      </c>
      <c r="V590">
        <f t="shared" si="94"/>
        <v>1</v>
      </c>
      <c r="W590">
        <f t="shared" si="95"/>
        <v>1</v>
      </c>
      <c r="Y590" t="str">
        <f t="shared" si="96"/>
        <v/>
      </c>
    </row>
    <row r="591" spans="8:25">
      <c r="H591">
        <v>359</v>
      </c>
      <c r="I591" s="18">
        <v>25</v>
      </c>
      <c r="J591">
        <v>24</v>
      </c>
      <c r="K591">
        <f t="shared" si="86"/>
        <v>120</v>
      </c>
      <c r="L591" s="39">
        <f t="shared" si="87"/>
        <v>117.80972450961724</v>
      </c>
      <c r="M591">
        <f t="shared" si="88"/>
        <v>450.31337508538434</v>
      </c>
      <c r="N591">
        <f t="shared" si="89"/>
        <v>18567.953131631773</v>
      </c>
      <c r="O591" s="39">
        <f t="shared" si="90"/>
        <v>34110.710533289108</v>
      </c>
      <c r="S591">
        <f t="shared" si="91"/>
        <v>1</v>
      </c>
      <c r="T591">
        <f t="shared" si="92"/>
        <v>1</v>
      </c>
      <c r="U591">
        <f t="shared" si="93"/>
        <v>1</v>
      </c>
      <c r="V591">
        <f t="shared" si="94"/>
        <v>0</v>
      </c>
      <c r="W591">
        <f t="shared" si="95"/>
        <v>1</v>
      </c>
      <c r="Y591" t="str">
        <f t="shared" si="96"/>
        <v/>
      </c>
    </row>
    <row r="592" spans="8:25">
      <c r="H592">
        <v>360</v>
      </c>
      <c r="I592" s="18">
        <v>20</v>
      </c>
      <c r="J592">
        <v>38</v>
      </c>
      <c r="K592">
        <f t="shared" si="86"/>
        <v>190</v>
      </c>
      <c r="L592" s="39">
        <f t="shared" si="87"/>
        <v>119.38052083641213</v>
      </c>
      <c r="M592">
        <f t="shared" si="88"/>
        <v>415.31337508538434</v>
      </c>
      <c r="N592">
        <f t="shared" si="89"/>
        <v>17353.114459807482</v>
      </c>
      <c r="O592" s="39">
        <f t="shared" si="90"/>
        <v>32895.871861464817</v>
      </c>
      <c r="S592">
        <f t="shared" si="91"/>
        <v>1</v>
      </c>
      <c r="T592">
        <f t="shared" si="92"/>
        <v>1</v>
      </c>
      <c r="U592">
        <f t="shared" si="93"/>
        <v>1</v>
      </c>
      <c r="V592">
        <f t="shared" si="94"/>
        <v>0</v>
      </c>
      <c r="W592">
        <f t="shared" si="95"/>
        <v>1</v>
      </c>
      <c r="Y592" t="str">
        <f t="shared" si="96"/>
        <v/>
      </c>
    </row>
    <row r="593" spans="8:25">
      <c r="H593">
        <v>361</v>
      </c>
      <c r="I593" s="18">
        <v>14</v>
      </c>
      <c r="J593">
        <v>78</v>
      </c>
      <c r="K593">
        <f t="shared" si="86"/>
        <v>390</v>
      </c>
      <c r="L593" s="39">
        <f t="shared" si="87"/>
        <v>120.07167122020188</v>
      </c>
      <c r="M593">
        <f t="shared" si="88"/>
        <v>315.31337508538434</v>
      </c>
      <c r="N593">
        <f t="shared" si="89"/>
        <v>13251.071366604563</v>
      </c>
      <c r="O593" s="39">
        <f t="shared" si="90"/>
        <v>28793.828768261897</v>
      </c>
      <c r="S593">
        <f t="shared" si="91"/>
        <v>1</v>
      </c>
      <c r="T593">
        <f t="shared" si="92"/>
        <v>0</v>
      </c>
      <c r="U593">
        <f t="shared" si="93"/>
        <v>1</v>
      </c>
      <c r="V593">
        <f t="shared" si="94"/>
        <v>0</v>
      </c>
      <c r="W593">
        <f t="shared" si="95"/>
        <v>0</v>
      </c>
      <c r="Y593" t="str">
        <f t="shared" si="96"/>
        <v/>
      </c>
    </row>
    <row r="594" spans="8:25">
      <c r="H594">
        <v>362</v>
      </c>
      <c r="I594" s="18">
        <v>16</v>
      </c>
      <c r="J594">
        <v>60</v>
      </c>
      <c r="K594">
        <f t="shared" si="86"/>
        <v>300</v>
      </c>
      <c r="L594" s="39">
        <f t="shared" si="87"/>
        <v>120.63715789784807</v>
      </c>
      <c r="M594">
        <f t="shared" si="88"/>
        <v>360.31337508538434</v>
      </c>
      <c r="N594">
        <f t="shared" si="89"/>
        <v>15213.513533008723</v>
      </c>
      <c r="O594" s="39">
        <f t="shared" si="90"/>
        <v>30756.270934666056</v>
      </c>
      <c r="S594">
        <f t="shared" si="91"/>
        <v>1</v>
      </c>
      <c r="T594">
        <f t="shared" si="92"/>
        <v>0</v>
      </c>
      <c r="U594">
        <f t="shared" si="93"/>
        <v>1</v>
      </c>
      <c r="V594">
        <f t="shared" si="94"/>
        <v>0</v>
      </c>
      <c r="W594">
        <f t="shared" si="95"/>
        <v>1</v>
      </c>
      <c r="Y594" t="str">
        <f t="shared" si="96"/>
        <v/>
      </c>
    </row>
    <row r="595" spans="8:25">
      <c r="H595">
        <v>363</v>
      </c>
      <c r="I595" s="18">
        <v>22</v>
      </c>
      <c r="J595">
        <v>32</v>
      </c>
      <c r="K595">
        <f t="shared" si="86"/>
        <v>160</v>
      </c>
      <c r="L595" s="39">
        <f t="shared" si="87"/>
        <v>121.64246754699681</v>
      </c>
      <c r="M595">
        <f t="shared" si="88"/>
        <v>430.31337508538434</v>
      </c>
      <c r="N595">
        <f t="shared" si="89"/>
        <v>18320.53326735189</v>
      </c>
      <c r="O595" s="39">
        <f t="shared" si="90"/>
        <v>33863.29066900922</v>
      </c>
      <c r="S595">
        <f t="shared" si="91"/>
        <v>1</v>
      </c>
      <c r="T595">
        <f t="shared" si="92"/>
        <v>1</v>
      </c>
      <c r="U595">
        <f t="shared" si="93"/>
        <v>1</v>
      </c>
      <c r="V595">
        <f t="shared" si="94"/>
        <v>0</v>
      </c>
      <c r="W595">
        <f t="shared" si="95"/>
        <v>1</v>
      </c>
      <c r="Y595" t="str">
        <f t="shared" si="96"/>
        <v/>
      </c>
    </row>
    <row r="596" spans="8:25">
      <c r="H596">
        <v>364</v>
      </c>
      <c r="I596" s="18">
        <v>36</v>
      </c>
      <c r="J596">
        <v>12</v>
      </c>
      <c r="K596">
        <f t="shared" si="86"/>
        <v>60</v>
      </c>
      <c r="L596" s="39">
        <f t="shared" si="87"/>
        <v>122.14512237157116</v>
      </c>
      <c r="M596">
        <f t="shared" si="88"/>
        <v>480.31337508538434</v>
      </c>
      <c r="N596">
        <f t="shared" si="89"/>
        <v>20533.777591777318</v>
      </c>
      <c r="O596" s="39">
        <f t="shared" si="90"/>
        <v>36076.534993434652</v>
      </c>
      <c r="S596">
        <f t="shared" si="91"/>
        <v>1</v>
      </c>
      <c r="T596">
        <f t="shared" si="92"/>
        <v>1</v>
      </c>
      <c r="U596">
        <f t="shared" si="93"/>
        <v>0</v>
      </c>
      <c r="V596">
        <f t="shared" si="94"/>
        <v>1</v>
      </c>
      <c r="W596">
        <f t="shared" si="95"/>
        <v>1</v>
      </c>
      <c r="Y596" t="str">
        <f t="shared" si="96"/>
        <v/>
      </c>
    </row>
    <row r="597" spans="8:25">
      <c r="H597">
        <v>365</v>
      </c>
      <c r="I597" s="18">
        <v>18</v>
      </c>
      <c r="J597">
        <v>48</v>
      </c>
      <c r="K597">
        <f t="shared" si="86"/>
        <v>240</v>
      </c>
      <c r="L597" s="39">
        <f t="shared" si="87"/>
        <v>122.14512237157116</v>
      </c>
      <c r="M597">
        <f t="shared" si="88"/>
        <v>390.31337508538434</v>
      </c>
      <c r="N597">
        <f t="shared" si="89"/>
        <v>16686.206237072827</v>
      </c>
      <c r="O597" s="39">
        <f t="shared" si="90"/>
        <v>32228.963638730162</v>
      </c>
      <c r="S597">
        <f t="shared" si="91"/>
        <v>1</v>
      </c>
      <c r="T597">
        <f t="shared" si="92"/>
        <v>1</v>
      </c>
      <c r="U597">
        <f t="shared" si="93"/>
        <v>1</v>
      </c>
      <c r="V597">
        <f t="shared" si="94"/>
        <v>0</v>
      </c>
      <c r="W597">
        <f t="shared" si="95"/>
        <v>1</v>
      </c>
      <c r="Y597" t="str">
        <f t="shared" si="96"/>
        <v/>
      </c>
    </row>
    <row r="598" spans="8:25">
      <c r="H598">
        <v>366</v>
      </c>
      <c r="I598" s="18">
        <v>28</v>
      </c>
      <c r="J598">
        <v>20</v>
      </c>
      <c r="K598">
        <f t="shared" si="86"/>
        <v>100</v>
      </c>
      <c r="L598" s="39">
        <f t="shared" si="87"/>
        <v>123.15043202071988</v>
      </c>
      <c r="M598">
        <f t="shared" si="88"/>
        <v>460.31337508538434</v>
      </c>
      <c r="N598">
        <f t="shared" si="89"/>
        <v>19840.726852338263</v>
      </c>
      <c r="O598" s="39">
        <f t="shared" si="90"/>
        <v>35383.484253995601</v>
      </c>
      <c r="S598">
        <f t="shared" si="91"/>
        <v>1</v>
      </c>
      <c r="T598">
        <f t="shared" si="92"/>
        <v>1</v>
      </c>
      <c r="U598">
        <f t="shared" si="93"/>
        <v>0</v>
      </c>
      <c r="V598">
        <f t="shared" si="94"/>
        <v>1</v>
      </c>
      <c r="W598">
        <f t="shared" si="95"/>
        <v>1</v>
      </c>
      <c r="Y598" t="str">
        <f t="shared" si="96"/>
        <v/>
      </c>
    </row>
    <row r="599" spans="8:25">
      <c r="H599">
        <v>367</v>
      </c>
      <c r="I599" s="18">
        <v>14</v>
      </c>
      <c r="J599">
        <v>80</v>
      </c>
      <c r="K599">
        <f t="shared" si="86"/>
        <v>400</v>
      </c>
      <c r="L599" s="39">
        <f t="shared" si="87"/>
        <v>123.15043202071988</v>
      </c>
      <c r="M599">
        <f t="shared" si="88"/>
        <v>310.31337508538434</v>
      </c>
      <c r="N599">
        <f t="shared" si="89"/>
        <v>13375.329171250471</v>
      </c>
      <c r="O599" s="39">
        <f t="shared" si="90"/>
        <v>28918.086572907807</v>
      </c>
      <c r="S599">
        <f t="shared" si="91"/>
        <v>1</v>
      </c>
      <c r="T599">
        <f t="shared" si="92"/>
        <v>0</v>
      </c>
      <c r="U599">
        <f t="shared" si="93"/>
        <v>1</v>
      </c>
      <c r="V599">
        <f t="shared" si="94"/>
        <v>0</v>
      </c>
      <c r="W599">
        <f t="shared" si="95"/>
        <v>0</v>
      </c>
      <c r="Y599" t="str">
        <f t="shared" si="96"/>
        <v/>
      </c>
    </row>
    <row r="600" spans="8:25">
      <c r="H600">
        <v>368</v>
      </c>
      <c r="I600" s="18">
        <v>16</v>
      </c>
      <c r="J600">
        <v>62</v>
      </c>
      <c r="K600">
        <f t="shared" si="86"/>
        <v>310</v>
      </c>
      <c r="L600" s="39">
        <f t="shared" si="87"/>
        <v>124.65839649444301</v>
      </c>
      <c r="M600">
        <f t="shared" si="88"/>
        <v>355.31337508538434</v>
      </c>
      <c r="N600">
        <f t="shared" si="89"/>
        <v>15502.478456910405</v>
      </c>
      <c r="O600" s="39">
        <f t="shared" si="90"/>
        <v>31045.235858567739</v>
      </c>
      <c r="S600">
        <f t="shared" si="91"/>
        <v>1</v>
      </c>
      <c r="T600">
        <f t="shared" si="92"/>
        <v>1</v>
      </c>
      <c r="U600">
        <f t="shared" si="93"/>
        <v>1</v>
      </c>
      <c r="V600">
        <f t="shared" si="94"/>
        <v>0</v>
      </c>
      <c r="W600">
        <f t="shared" si="95"/>
        <v>0</v>
      </c>
      <c r="Y600" t="str">
        <f t="shared" si="96"/>
        <v/>
      </c>
    </row>
    <row r="601" spans="8:25">
      <c r="H601">
        <v>369</v>
      </c>
      <c r="I601" s="18">
        <v>40</v>
      </c>
      <c r="J601">
        <v>10</v>
      </c>
      <c r="K601">
        <f t="shared" si="86"/>
        <v>50</v>
      </c>
      <c r="L601" s="39">
        <f t="shared" si="87"/>
        <v>125.66370614359172</v>
      </c>
      <c r="M601">
        <f t="shared" si="88"/>
        <v>485.31337508538434</v>
      </c>
      <c r="N601">
        <f t="shared" si="89"/>
        <v>21345.197073999556</v>
      </c>
      <c r="O601" s="39">
        <f t="shared" si="90"/>
        <v>36887.954475656894</v>
      </c>
      <c r="S601">
        <f t="shared" si="91"/>
        <v>1</v>
      </c>
      <c r="T601">
        <f t="shared" si="92"/>
        <v>1</v>
      </c>
      <c r="U601">
        <f t="shared" si="93"/>
        <v>0</v>
      </c>
      <c r="V601">
        <f t="shared" si="94"/>
        <v>1</v>
      </c>
      <c r="W601">
        <f t="shared" si="95"/>
        <v>1</v>
      </c>
      <c r="Y601" t="str">
        <f t="shared" si="96"/>
        <v/>
      </c>
    </row>
    <row r="602" spans="8:25">
      <c r="H602">
        <v>370</v>
      </c>
      <c r="I602" s="18">
        <v>20</v>
      </c>
      <c r="J602">
        <v>40</v>
      </c>
      <c r="K602">
        <f t="shared" si="86"/>
        <v>200</v>
      </c>
      <c r="L602" s="39">
        <f t="shared" si="87"/>
        <v>125.66370614359172</v>
      </c>
      <c r="M602">
        <f t="shared" si="88"/>
        <v>410.31337508538434</v>
      </c>
      <c r="N602">
        <f t="shared" si="89"/>
        <v>18046.524787730272</v>
      </c>
      <c r="O602" s="39">
        <f t="shared" si="90"/>
        <v>33589.28218938761</v>
      </c>
      <c r="S602">
        <f t="shared" si="91"/>
        <v>1</v>
      </c>
      <c r="T602">
        <f t="shared" si="92"/>
        <v>1</v>
      </c>
      <c r="U602">
        <f t="shared" si="93"/>
        <v>1</v>
      </c>
      <c r="V602">
        <f t="shared" si="94"/>
        <v>0</v>
      </c>
      <c r="W602">
        <f t="shared" si="95"/>
        <v>1</v>
      </c>
      <c r="Y602" t="str">
        <f t="shared" si="96"/>
        <v/>
      </c>
    </row>
    <row r="603" spans="8:25">
      <c r="H603">
        <v>371</v>
      </c>
      <c r="I603" s="18">
        <v>14</v>
      </c>
      <c r="J603">
        <v>82</v>
      </c>
      <c r="K603">
        <f t="shared" si="86"/>
        <v>410</v>
      </c>
      <c r="L603" s="39">
        <f t="shared" si="87"/>
        <v>126.22919282123786</v>
      </c>
      <c r="M603">
        <f t="shared" si="88"/>
        <v>305.31337508538434</v>
      </c>
      <c r="N603">
        <f t="shared" si="89"/>
        <v>13488.811313094564</v>
      </c>
      <c r="O603" s="39">
        <f t="shared" si="90"/>
        <v>29031.568714751898</v>
      </c>
      <c r="S603">
        <f t="shared" si="91"/>
        <v>1</v>
      </c>
      <c r="T603">
        <f t="shared" si="92"/>
        <v>0</v>
      </c>
      <c r="U603">
        <f t="shared" si="93"/>
        <v>1</v>
      </c>
      <c r="V603">
        <f t="shared" si="94"/>
        <v>0</v>
      </c>
      <c r="W603">
        <f t="shared" si="95"/>
        <v>0</v>
      </c>
      <c r="Y603" t="str">
        <f t="shared" si="96"/>
        <v/>
      </c>
    </row>
    <row r="604" spans="8:25">
      <c r="H604">
        <v>372</v>
      </c>
      <c r="I604" s="18">
        <v>24</v>
      </c>
      <c r="J604">
        <v>28</v>
      </c>
      <c r="K604">
        <f t="shared" si="86"/>
        <v>140</v>
      </c>
      <c r="L604" s="39">
        <f t="shared" si="87"/>
        <v>126.66901579274045</v>
      </c>
      <c r="M604">
        <f t="shared" si="88"/>
        <v>440.31337508538434</v>
      </c>
      <c r="N604">
        <f t="shared" si="89"/>
        <v>19520.92165185589</v>
      </c>
      <c r="O604" s="39">
        <f t="shared" si="90"/>
        <v>35063.679053513224</v>
      </c>
      <c r="S604">
        <f t="shared" si="91"/>
        <v>1</v>
      </c>
      <c r="T604">
        <f t="shared" si="92"/>
        <v>1</v>
      </c>
      <c r="U604">
        <f t="shared" si="93"/>
        <v>1</v>
      </c>
      <c r="V604">
        <f t="shared" si="94"/>
        <v>0</v>
      </c>
      <c r="W604">
        <f t="shared" si="95"/>
        <v>1</v>
      </c>
      <c r="Y604" t="str">
        <f t="shared" si="96"/>
        <v/>
      </c>
    </row>
    <row r="605" spans="8:25">
      <c r="H605">
        <v>373</v>
      </c>
      <c r="I605" s="18">
        <v>34</v>
      </c>
      <c r="J605">
        <v>14</v>
      </c>
      <c r="K605">
        <f t="shared" si="86"/>
        <v>70</v>
      </c>
      <c r="L605" s="39">
        <f t="shared" si="87"/>
        <v>127.10883876424302</v>
      </c>
      <c r="M605">
        <f t="shared" si="88"/>
        <v>475.31337508538434</v>
      </c>
      <c r="N605">
        <f t="shared" si="89"/>
        <v>21145.7859046757</v>
      </c>
      <c r="O605" s="39">
        <f t="shared" si="90"/>
        <v>36688.543306333035</v>
      </c>
      <c r="S605">
        <f t="shared" si="91"/>
        <v>1</v>
      </c>
      <c r="T605">
        <f t="shared" si="92"/>
        <v>1</v>
      </c>
      <c r="U605">
        <f t="shared" si="93"/>
        <v>0</v>
      </c>
      <c r="V605">
        <f t="shared" si="94"/>
        <v>1</v>
      </c>
      <c r="W605">
        <f t="shared" si="95"/>
        <v>1</v>
      </c>
      <c r="Y605" t="str">
        <f t="shared" si="96"/>
        <v/>
      </c>
    </row>
    <row r="606" spans="8:25">
      <c r="H606">
        <v>374</v>
      </c>
      <c r="I606" s="18">
        <v>45</v>
      </c>
      <c r="J606">
        <v>8</v>
      </c>
      <c r="K606">
        <f t="shared" si="86"/>
        <v>40</v>
      </c>
      <c r="L606" s="39">
        <f t="shared" si="87"/>
        <v>127.23450247038662</v>
      </c>
      <c r="M606">
        <f t="shared" si="88"/>
        <v>490.31337508538434</v>
      </c>
      <c r="N606">
        <f t="shared" si="89"/>
        <v>21834.672416747726</v>
      </c>
      <c r="O606" s="39">
        <f t="shared" si="90"/>
        <v>37377.429818405057</v>
      </c>
      <c r="S606">
        <f t="shared" si="91"/>
        <v>1</v>
      </c>
      <c r="T606">
        <f t="shared" si="92"/>
        <v>1</v>
      </c>
      <c r="U606">
        <f t="shared" si="93"/>
        <v>0</v>
      </c>
      <c r="V606">
        <f t="shared" si="94"/>
        <v>1</v>
      </c>
      <c r="W606">
        <f t="shared" si="95"/>
        <v>1</v>
      </c>
      <c r="Y606" t="str">
        <f t="shared" si="96"/>
        <v/>
      </c>
    </row>
    <row r="607" spans="8:25">
      <c r="H607">
        <v>375</v>
      </c>
      <c r="I607" s="18">
        <v>30</v>
      </c>
      <c r="J607">
        <v>18</v>
      </c>
      <c r="K607">
        <f t="shared" si="86"/>
        <v>90</v>
      </c>
      <c r="L607" s="39">
        <f t="shared" si="87"/>
        <v>127.23450247038662</v>
      </c>
      <c r="M607">
        <f t="shared" si="88"/>
        <v>465.31337508538434</v>
      </c>
      <c r="N607">
        <f t="shared" si="89"/>
        <v>20721.370520131841</v>
      </c>
      <c r="O607" s="39">
        <f t="shared" si="90"/>
        <v>36264.127921789172</v>
      </c>
      <c r="S607">
        <f t="shared" si="91"/>
        <v>1</v>
      </c>
      <c r="T607">
        <f t="shared" si="92"/>
        <v>1</v>
      </c>
      <c r="U607">
        <f t="shared" si="93"/>
        <v>0</v>
      </c>
      <c r="V607">
        <f t="shared" si="94"/>
        <v>1</v>
      </c>
      <c r="W607">
        <f t="shared" si="95"/>
        <v>1</v>
      </c>
      <c r="Y607" t="str">
        <f t="shared" si="96"/>
        <v/>
      </c>
    </row>
    <row r="608" spans="8:25">
      <c r="H608">
        <v>376</v>
      </c>
      <c r="I608" s="18">
        <v>18</v>
      </c>
      <c r="J608">
        <v>50</v>
      </c>
      <c r="K608">
        <f t="shared" si="86"/>
        <v>250</v>
      </c>
      <c r="L608" s="39">
        <f t="shared" si="87"/>
        <v>127.23450247038663</v>
      </c>
      <c r="M608">
        <f t="shared" si="88"/>
        <v>385.31337508538434</v>
      </c>
      <c r="N608">
        <f t="shared" si="89"/>
        <v>17158.804450961019</v>
      </c>
      <c r="O608" s="39">
        <f t="shared" si="90"/>
        <v>32701.561852618353</v>
      </c>
      <c r="S608">
        <f t="shared" si="91"/>
        <v>1</v>
      </c>
      <c r="T608">
        <f t="shared" si="92"/>
        <v>1</v>
      </c>
      <c r="U608">
        <f t="shared" si="93"/>
        <v>1</v>
      </c>
      <c r="V608">
        <f t="shared" si="94"/>
        <v>0</v>
      </c>
      <c r="W608">
        <f t="shared" si="95"/>
        <v>1</v>
      </c>
      <c r="Y608" t="str">
        <f t="shared" si="96"/>
        <v/>
      </c>
    </row>
    <row r="609" spans="8:25">
      <c r="H609">
        <v>377</v>
      </c>
      <c r="I609" s="18">
        <v>26</v>
      </c>
      <c r="J609">
        <v>24</v>
      </c>
      <c r="K609">
        <f t="shared" si="86"/>
        <v>120</v>
      </c>
      <c r="L609" s="39">
        <f t="shared" si="87"/>
        <v>127.42299802960203</v>
      </c>
      <c r="M609">
        <f t="shared" si="88"/>
        <v>450.31337508538434</v>
      </c>
      <c r="N609">
        <f t="shared" si="89"/>
        <v>20083.098107172929</v>
      </c>
      <c r="O609" s="39">
        <f t="shared" si="90"/>
        <v>35625.855508830267</v>
      </c>
      <c r="S609">
        <f t="shared" si="91"/>
        <v>1</v>
      </c>
      <c r="T609">
        <f t="shared" si="92"/>
        <v>1</v>
      </c>
      <c r="U609">
        <f t="shared" si="93"/>
        <v>0</v>
      </c>
      <c r="V609">
        <f t="shared" si="94"/>
        <v>0</v>
      </c>
      <c r="W609">
        <f t="shared" si="95"/>
        <v>1</v>
      </c>
      <c r="Y609" t="str">
        <f t="shared" si="96"/>
        <v/>
      </c>
    </row>
    <row r="610" spans="8:25">
      <c r="H610">
        <v>378</v>
      </c>
      <c r="I610" s="18">
        <v>25</v>
      </c>
      <c r="J610">
        <v>26</v>
      </c>
      <c r="K610">
        <f t="shared" si="86"/>
        <v>130</v>
      </c>
      <c r="L610" s="39">
        <f t="shared" si="87"/>
        <v>127.62720155208535</v>
      </c>
      <c r="M610">
        <f t="shared" si="88"/>
        <v>445.31337508538434</v>
      </c>
      <c r="N610">
        <f t="shared" si="89"/>
        <v>19891.93495655161</v>
      </c>
      <c r="O610" s="39">
        <f t="shared" si="90"/>
        <v>35434.692358208944</v>
      </c>
      <c r="S610">
        <f t="shared" si="91"/>
        <v>1</v>
      </c>
      <c r="T610">
        <f t="shared" si="92"/>
        <v>1</v>
      </c>
      <c r="U610">
        <f t="shared" si="93"/>
        <v>1</v>
      </c>
      <c r="V610">
        <f t="shared" si="94"/>
        <v>0</v>
      </c>
      <c r="W610">
        <f t="shared" si="95"/>
        <v>1</v>
      </c>
      <c r="Y610" t="str">
        <f t="shared" si="96"/>
        <v/>
      </c>
    </row>
    <row r="611" spans="8:25">
      <c r="H611">
        <v>379</v>
      </c>
      <c r="I611" s="18">
        <v>32</v>
      </c>
      <c r="J611">
        <v>16</v>
      </c>
      <c r="K611">
        <f t="shared" si="86"/>
        <v>80</v>
      </c>
      <c r="L611" s="39">
        <f t="shared" si="87"/>
        <v>128.67963509103794</v>
      </c>
      <c r="M611">
        <f t="shared" si="88"/>
        <v>470.31337508538434</v>
      </c>
      <c r="N611">
        <f t="shared" si="89"/>
        <v>21181.9137195476</v>
      </c>
      <c r="O611" s="39">
        <f t="shared" si="90"/>
        <v>36724.671121204934</v>
      </c>
      <c r="S611">
        <f t="shared" si="91"/>
        <v>1</v>
      </c>
      <c r="T611">
        <f t="shared" si="92"/>
        <v>1</v>
      </c>
      <c r="U611">
        <f t="shared" si="93"/>
        <v>0</v>
      </c>
      <c r="V611">
        <f t="shared" si="94"/>
        <v>1</v>
      </c>
      <c r="W611">
        <f t="shared" si="95"/>
        <v>1</v>
      </c>
      <c r="Y611" t="str">
        <f t="shared" si="96"/>
        <v/>
      </c>
    </row>
    <row r="612" spans="8:25">
      <c r="H612">
        <v>380</v>
      </c>
      <c r="I612" s="18">
        <v>16</v>
      </c>
      <c r="J612">
        <v>64</v>
      </c>
      <c r="K612">
        <f t="shared" si="86"/>
        <v>320</v>
      </c>
      <c r="L612" s="39">
        <f t="shared" si="87"/>
        <v>128.67963509103794</v>
      </c>
      <c r="M612">
        <f t="shared" si="88"/>
        <v>350.31337508538434</v>
      </c>
      <c r="N612">
        <f t="shared" si="89"/>
        <v>15777.369045724006</v>
      </c>
      <c r="O612" s="39">
        <f t="shared" si="90"/>
        <v>31320.126447381343</v>
      </c>
      <c r="S612">
        <f t="shared" si="91"/>
        <v>1</v>
      </c>
      <c r="T612">
        <f t="shared" si="92"/>
        <v>1</v>
      </c>
      <c r="U612">
        <f t="shared" si="93"/>
        <v>1</v>
      </c>
      <c r="V612">
        <f t="shared" si="94"/>
        <v>0</v>
      </c>
      <c r="W612">
        <f t="shared" si="95"/>
        <v>0</v>
      </c>
      <c r="Y612" t="str">
        <f t="shared" si="96"/>
        <v/>
      </c>
    </row>
    <row r="613" spans="8:25">
      <c r="H613">
        <v>381</v>
      </c>
      <c r="I613" s="18">
        <v>22</v>
      </c>
      <c r="J613">
        <v>34</v>
      </c>
      <c r="K613">
        <f t="shared" si="86"/>
        <v>170</v>
      </c>
      <c r="L613" s="39">
        <f t="shared" si="87"/>
        <v>129.24512176868413</v>
      </c>
      <c r="M613">
        <f t="shared" si="88"/>
        <v>425.31337508538434</v>
      </c>
      <c r="N613">
        <f t="shared" si="89"/>
        <v>19239.387633466184</v>
      </c>
      <c r="O613" s="39">
        <f t="shared" si="90"/>
        <v>34782.145035123518</v>
      </c>
      <c r="S613">
        <f t="shared" si="91"/>
        <v>1</v>
      </c>
      <c r="T613">
        <f t="shared" si="92"/>
        <v>1</v>
      </c>
      <c r="U613">
        <f t="shared" si="93"/>
        <v>1</v>
      </c>
      <c r="V613">
        <f t="shared" si="94"/>
        <v>0</v>
      </c>
      <c r="W613">
        <f t="shared" si="95"/>
        <v>1</v>
      </c>
      <c r="Y613" t="str">
        <f t="shared" si="96"/>
        <v/>
      </c>
    </row>
    <row r="614" spans="8:25">
      <c r="H614">
        <v>382</v>
      </c>
      <c r="I614" s="18">
        <v>14</v>
      </c>
      <c r="J614">
        <v>84</v>
      </c>
      <c r="K614">
        <f t="shared" si="86"/>
        <v>420</v>
      </c>
      <c r="L614" s="39">
        <f t="shared" si="87"/>
        <v>129.30795362175587</v>
      </c>
      <c r="M614">
        <f t="shared" si="88"/>
        <v>300.31337508538434</v>
      </c>
      <c r="N614">
        <f t="shared" si="89"/>
        <v>13591.51779213685</v>
      </c>
      <c r="O614" s="39">
        <f t="shared" si="90"/>
        <v>29134.275193794187</v>
      </c>
      <c r="S614">
        <f t="shared" si="91"/>
        <v>1</v>
      </c>
      <c r="T614">
        <f t="shared" si="92"/>
        <v>0</v>
      </c>
      <c r="U614">
        <f t="shared" si="93"/>
        <v>1</v>
      </c>
      <c r="V614">
        <f t="shared" si="94"/>
        <v>0</v>
      </c>
      <c r="W614">
        <f t="shared" si="95"/>
        <v>0</v>
      </c>
      <c r="Y614" t="str">
        <f t="shared" si="96"/>
        <v/>
      </c>
    </row>
    <row r="615" spans="8:25">
      <c r="H615">
        <v>383</v>
      </c>
      <c r="I615" s="18">
        <v>20</v>
      </c>
      <c r="J615">
        <v>42</v>
      </c>
      <c r="K615">
        <f t="shared" si="86"/>
        <v>210</v>
      </c>
      <c r="L615" s="39">
        <f t="shared" si="87"/>
        <v>131.94689145077132</v>
      </c>
      <c r="M615">
        <f t="shared" si="88"/>
        <v>405.31337508538434</v>
      </c>
      <c r="N615">
        <f t="shared" si="89"/>
        <v>18717.943967077939</v>
      </c>
      <c r="O615" s="39">
        <f t="shared" si="90"/>
        <v>34260.701368735274</v>
      </c>
      <c r="S615">
        <f t="shared" si="91"/>
        <v>1</v>
      </c>
      <c r="T615">
        <f t="shared" si="92"/>
        <v>1</v>
      </c>
      <c r="U615">
        <f t="shared" si="93"/>
        <v>1</v>
      </c>
      <c r="V615">
        <f t="shared" si="94"/>
        <v>0</v>
      </c>
      <c r="W615">
        <f t="shared" si="95"/>
        <v>1</v>
      </c>
      <c r="Y615" t="str">
        <f t="shared" si="96"/>
        <v/>
      </c>
    </row>
    <row r="616" spans="8:25">
      <c r="H616">
        <v>384</v>
      </c>
      <c r="I616" s="18">
        <v>18</v>
      </c>
      <c r="J616">
        <v>52</v>
      </c>
      <c r="K616">
        <f t="shared" si="86"/>
        <v>260</v>
      </c>
      <c r="L616" s="39">
        <f t="shared" si="87"/>
        <v>132.32388256920211</v>
      </c>
      <c r="M616">
        <f t="shared" si="88"/>
        <v>380.31337508538434</v>
      </c>
      <c r="N616">
        <f t="shared" si="89"/>
        <v>17613.58983450336</v>
      </c>
      <c r="O616" s="39">
        <f t="shared" si="90"/>
        <v>33156.347236160698</v>
      </c>
      <c r="S616">
        <f t="shared" si="91"/>
        <v>1</v>
      </c>
      <c r="T616">
        <f t="shared" si="92"/>
        <v>1</v>
      </c>
      <c r="U616">
        <f t="shared" si="93"/>
        <v>1</v>
      </c>
      <c r="V616">
        <f t="shared" si="94"/>
        <v>0</v>
      </c>
      <c r="W616">
        <f t="shared" si="95"/>
        <v>1</v>
      </c>
      <c r="Y616" t="str">
        <f t="shared" si="96"/>
        <v/>
      </c>
    </row>
    <row r="617" spans="8:25">
      <c r="H617">
        <v>385</v>
      </c>
      <c r="I617" s="18">
        <v>14</v>
      </c>
      <c r="J617">
        <v>86</v>
      </c>
      <c r="K617">
        <f t="shared" ref="K617:K680" si="97">$F$230+$F$231*(J617-2)/2</f>
        <v>430</v>
      </c>
      <c r="L617" s="39">
        <f t="shared" ref="L617:L680" si="98">J617*0.25*PI()*(I617/10)^2</f>
        <v>132.38671442227385</v>
      </c>
      <c r="M617">
        <f t="shared" ref="M617:M680" si="99">$F$233-(K617+$F$232)/2</f>
        <v>295.31337508538434</v>
      </c>
      <c r="N617">
        <f t="shared" ref="N617:N680" si="100">L617*$F$235*M617*0.001</f>
        <v>13683.448608377317</v>
      </c>
      <c r="O617" s="39">
        <f t="shared" ref="O617:O680" si="101">N617+$F$237</f>
        <v>29226.20601003465</v>
      </c>
      <c r="S617">
        <f t="shared" ref="S617:S680" si="102">IF(L617&lt;$F$236,1,0)</f>
        <v>1</v>
      </c>
      <c r="T617">
        <f t="shared" ref="T617:T680" si="103">IF(O617&gt;$F$234,1,0)</f>
        <v>0</v>
      </c>
      <c r="U617">
        <f t="shared" ref="U617:U680" si="104">IF(I617&lt;=$F$238,1,0)</f>
        <v>1</v>
      </c>
      <c r="V617">
        <f t="shared" ref="V617:V680" si="105">IF(J617&lt;=$F$239,1,0)</f>
        <v>0</v>
      </c>
      <c r="W617">
        <f t="shared" ref="W617:W680" si="106">IF(K617&lt;=$F$240,1,0)</f>
        <v>0</v>
      </c>
      <c r="Y617" t="str">
        <f t="shared" ref="Y617:Y680" si="107">IF(SUM(S617:W617)=5,H617,"")</f>
        <v/>
      </c>
    </row>
    <row r="618" spans="8:25">
      <c r="H618">
        <v>386</v>
      </c>
      <c r="I618" s="18">
        <v>16</v>
      </c>
      <c r="J618">
        <v>66</v>
      </c>
      <c r="K618">
        <f t="shared" si="97"/>
        <v>330</v>
      </c>
      <c r="L618" s="39">
        <f t="shared" si="98"/>
        <v>132.70087368763288</v>
      </c>
      <c r="M618">
        <f t="shared" si="99"/>
        <v>345.31337508538434</v>
      </c>
      <c r="N618">
        <f t="shared" si="100"/>
        <v>16038.185299449522</v>
      </c>
      <c r="O618" s="39">
        <f t="shared" si="101"/>
        <v>31580.942701106855</v>
      </c>
      <c r="S618">
        <f t="shared" si="102"/>
        <v>1</v>
      </c>
      <c r="T618">
        <f t="shared" si="103"/>
        <v>1</v>
      </c>
      <c r="U618">
        <f t="shared" si="104"/>
        <v>1</v>
      </c>
      <c r="V618">
        <f t="shared" si="105"/>
        <v>0</v>
      </c>
      <c r="W618">
        <f t="shared" si="106"/>
        <v>0</v>
      </c>
      <c r="Y618" t="str">
        <f t="shared" si="107"/>
        <v/>
      </c>
    </row>
    <row r="619" spans="8:25">
      <c r="H619">
        <v>387</v>
      </c>
      <c r="I619" s="18">
        <v>28</v>
      </c>
      <c r="J619">
        <v>22</v>
      </c>
      <c r="K619">
        <f t="shared" si="97"/>
        <v>110</v>
      </c>
      <c r="L619" s="39">
        <f t="shared" si="98"/>
        <v>135.46547522279184</v>
      </c>
      <c r="M619">
        <f t="shared" si="99"/>
        <v>455.31337508538434</v>
      </c>
      <c r="N619">
        <f t="shared" si="100"/>
        <v>21587.734955932199</v>
      </c>
      <c r="O619" s="39">
        <f t="shared" si="101"/>
        <v>37130.492357589537</v>
      </c>
      <c r="S619">
        <f t="shared" si="102"/>
        <v>1</v>
      </c>
      <c r="T619">
        <f t="shared" si="103"/>
        <v>1</v>
      </c>
      <c r="U619">
        <f t="shared" si="104"/>
        <v>0</v>
      </c>
      <c r="V619">
        <f t="shared" si="105"/>
        <v>0</v>
      </c>
      <c r="W619">
        <f t="shared" si="106"/>
        <v>1</v>
      </c>
      <c r="Y619" t="str">
        <f t="shared" si="107"/>
        <v/>
      </c>
    </row>
    <row r="620" spans="8:25">
      <c r="H620">
        <v>388</v>
      </c>
      <c r="I620" s="18">
        <v>14</v>
      </c>
      <c r="J620">
        <v>88</v>
      </c>
      <c r="K620">
        <f t="shared" si="97"/>
        <v>440</v>
      </c>
      <c r="L620" s="39">
        <f t="shared" si="98"/>
        <v>135.46547522279184</v>
      </c>
      <c r="M620">
        <f t="shared" si="99"/>
        <v>290.31337508538434</v>
      </c>
      <c r="N620">
        <f t="shared" si="100"/>
        <v>13764.603761815973</v>
      </c>
      <c r="O620" s="39">
        <f t="shared" si="101"/>
        <v>29307.36116347331</v>
      </c>
      <c r="S620">
        <f t="shared" si="102"/>
        <v>1</v>
      </c>
      <c r="T620">
        <f t="shared" si="103"/>
        <v>0</v>
      </c>
      <c r="U620">
        <f t="shared" si="104"/>
        <v>1</v>
      </c>
      <c r="V620">
        <f t="shared" si="105"/>
        <v>0</v>
      </c>
      <c r="W620">
        <f t="shared" si="106"/>
        <v>0</v>
      </c>
      <c r="Y620" t="str">
        <f t="shared" si="107"/>
        <v/>
      </c>
    </row>
    <row r="621" spans="8:25">
      <c r="H621">
        <v>389</v>
      </c>
      <c r="I621" s="18">
        <v>24</v>
      </c>
      <c r="J621">
        <v>30</v>
      </c>
      <c r="K621">
        <f t="shared" si="97"/>
        <v>150</v>
      </c>
      <c r="L621" s="39">
        <f t="shared" si="98"/>
        <v>135.71680263507903</v>
      </c>
      <c r="M621">
        <f t="shared" si="99"/>
        <v>435.31337508538434</v>
      </c>
      <c r="N621">
        <f t="shared" si="100"/>
        <v>20677.768793805633</v>
      </c>
      <c r="O621" s="39">
        <f t="shared" si="101"/>
        <v>36220.526195462968</v>
      </c>
      <c r="S621">
        <f t="shared" si="102"/>
        <v>1</v>
      </c>
      <c r="T621">
        <f t="shared" si="103"/>
        <v>1</v>
      </c>
      <c r="U621">
        <f t="shared" si="104"/>
        <v>1</v>
      </c>
      <c r="V621">
        <f t="shared" si="105"/>
        <v>0</v>
      </c>
      <c r="W621">
        <f t="shared" si="106"/>
        <v>1</v>
      </c>
      <c r="Y621" t="str">
        <f t="shared" si="107"/>
        <v/>
      </c>
    </row>
    <row r="622" spans="8:25">
      <c r="H622">
        <v>390</v>
      </c>
      <c r="I622" s="18">
        <v>38</v>
      </c>
      <c r="J622">
        <v>12</v>
      </c>
      <c r="K622">
        <f t="shared" si="97"/>
        <v>60</v>
      </c>
      <c r="L622" s="39">
        <f t="shared" si="98"/>
        <v>136.09379375350983</v>
      </c>
      <c r="M622">
        <f t="shared" si="99"/>
        <v>480.31337508538434</v>
      </c>
      <c r="N622">
        <f t="shared" si="100"/>
        <v>22878.684292072878</v>
      </c>
      <c r="O622" s="39">
        <f t="shared" si="101"/>
        <v>38421.441693730216</v>
      </c>
      <c r="S622">
        <f t="shared" si="102"/>
        <v>1</v>
      </c>
      <c r="T622">
        <f t="shared" si="103"/>
        <v>1</v>
      </c>
      <c r="U622">
        <f t="shared" si="104"/>
        <v>0</v>
      </c>
      <c r="V622">
        <f t="shared" si="105"/>
        <v>1</v>
      </c>
      <c r="W622">
        <f t="shared" si="106"/>
        <v>1</v>
      </c>
      <c r="Y622" t="str">
        <f t="shared" si="107"/>
        <v/>
      </c>
    </row>
    <row r="623" spans="8:25">
      <c r="H623">
        <v>391</v>
      </c>
      <c r="I623" s="18">
        <v>16</v>
      </c>
      <c r="J623">
        <v>68</v>
      </c>
      <c r="K623">
        <f t="shared" si="97"/>
        <v>340</v>
      </c>
      <c r="L623" s="39">
        <f t="shared" si="98"/>
        <v>136.72211228422782</v>
      </c>
      <c r="M623">
        <f t="shared" si="99"/>
        <v>340.31337508538434</v>
      </c>
      <c r="N623">
        <f t="shared" si="100"/>
        <v>16284.927218086958</v>
      </c>
      <c r="O623" s="39">
        <f t="shared" si="101"/>
        <v>31827.684619744294</v>
      </c>
      <c r="S623">
        <f t="shared" si="102"/>
        <v>1</v>
      </c>
      <c r="T623">
        <f t="shared" si="103"/>
        <v>1</v>
      </c>
      <c r="U623">
        <f t="shared" si="104"/>
        <v>1</v>
      </c>
      <c r="V623">
        <f t="shared" si="105"/>
        <v>0</v>
      </c>
      <c r="W623">
        <f t="shared" si="106"/>
        <v>0</v>
      </c>
      <c r="Y623" t="str">
        <f t="shared" si="107"/>
        <v/>
      </c>
    </row>
    <row r="624" spans="8:25">
      <c r="H624">
        <v>392</v>
      </c>
      <c r="I624" s="18">
        <v>22</v>
      </c>
      <c r="J624">
        <v>36</v>
      </c>
      <c r="K624">
        <f t="shared" si="97"/>
        <v>180</v>
      </c>
      <c r="L624" s="39">
        <f t="shared" si="98"/>
        <v>136.84777599037142</v>
      </c>
      <c r="M624">
        <f t="shared" si="99"/>
        <v>420.31337508538434</v>
      </c>
      <c r="N624">
        <f t="shared" si="100"/>
        <v>20131.632709804573</v>
      </c>
      <c r="O624" s="39">
        <f t="shared" si="101"/>
        <v>35674.390111461908</v>
      </c>
      <c r="S624">
        <f t="shared" si="102"/>
        <v>1</v>
      </c>
      <c r="T624">
        <f t="shared" si="103"/>
        <v>1</v>
      </c>
      <c r="U624">
        <f t="shared" si="104"/>
        <v>1</v>
      </c>
      <c r="V624">
        <f t="shared" si="105"/>
        <v>0</v>
      </c>
      <c r="W624">
        <f t="shared" si="106"/>
        <v>1</v>
      </c>
      <c r="Y624" t="str">
        <f t="shared" si="107"/>
        <v/>
      </c>
    </row>
    <row r="625" spans="8:25">
      <c r="H625">
        <v>393</v>
      </c>
      <c r="I625" s="18">
        <v>18</v>
      </c>
      <c r="J625">
        <v>54</v>
      </c>
      <c r="K625">
        <f t="shared" si="97"/>
        <v>270</v>
      </c>
      <c r="L625" s="39">
        <f t="shared" si="98"/>
        <v>137.41326266801755</v>
      </c>
      <c r="M625">
        <f t="shared" si="99"/>
        <v>375.31337508538434</v>
      </c>
      <c r="N625">
        <f t="shared" si="100"/>
        <v>18050.56238769984</v>
      </c>
      <c r="O625" s="39">
        <f t="shared" si="101"/>
        <v>33593.319789357178</v>
      </c>
      <c r="S625">
        <f t="shared" si="102"/>
        <v>1</v>
      </c>
      <c r="T625">
        <f t="shared" si="103"/>
        <v>1</v>
      </c>
      <c r="U625">
        <f t="shared" si="104"/>
        <v>1</v>
      </c>
      <c r="V625">
        <f t="shared" si="105"/>
        <v>0</v>
      </c>
      <c r="W625">
        <f t="shared" si="106"/>
        <v>1</v>
      </c>
      <c r="Y625" t="str">
        <f t="shared" si="107"/>
        <v/>
      </c>
    </row>
    <row r="626" spans="8:25">
      <c r="H626">
        <v>394</v>
      </c>
      <c r="I626" s="18">
        <v>25</v>
      </c>
      <c r="J626">
        <v>28</v>
      </c>
      <c r="K626">
        <f t="shared" si="97"/>
        <v>140</v>
      </c>
      <c r="L626" s="39">
        <f t="shared" si="98"/>
        <v>137.44467859455344</v>
      </c>
      <c r="M626">
        <f t="shared" si="99"/>
        <v>440.31337508538434</v>
      </c>
      <c r="N626">
        <f t="shared" si="100"/>
        <v>21181.555611822794</v>
      </c>
      <c r="O626" s="39">
        <f t="shared" si="101"/>
        <v>36724.313013480132</v>
      </c>
      <c r="S626">
        <f t="shared" si="102"/>
        <v>1</v>
      </c>
      <c r="T626">
        <f t="shared" si="103"/>
        <v>1</v>
      </c>
      <c r="U626">
        <f t="shared" si="104"/>
        <v>1</v>
      </c>
      <c r="V626">
        <f t="shared" si="105"/>
        <v>0</v>
      </c>
      <c r="W626">
        <f t="shared" si="106"/>
        <v>1</v>
      </c>
      <c r="Y626" t="str">
        <f t="shared" si="107"/>
        <v/>
      </c>
    </row>
    <row r="627" spans="8:25">
      <c r="H627">
        <v>395</v>
      </c>
      <c r="I627" s="18">
        <v>26</v>
      </c>
      <c r="J627">
        <v>26</v>
      </c>
      <c r="K627">
        <f t="shared" si="97"/>
        <v>130</v>
      </c>
      <c r="L627" s="39">
        <f t="shared" si="98"/>
        <v>138.04158119873554</v>
      </c>
      <c r="M627">
        <f t="shared" si="99"/>
        <v>445.31337508538434</v>
      </c>
      <c r="N627">
        <f t="shared" si="100"/>
        <v>21515.116849006223</v>
      </c>
      <c r="O627" s="39">
        <f t="shared" si="101"/>
        <v>37057.874250663561</v>
      </c>
      <c r="S627">
        <f t="shared" si="102"/>
        <v>1</v>
      </c>
      <c r="T627">
        <f t="shared" si="103"/>
        <v>1</v>
      </c>
      <c r="U627">
        <f t="shared" si="104"/>
        <v>0</v>
      </c>
      <c r="V627">
        <f t="shared" si="105"/>
        <v>0</v>
      </c>
      <c r="W627">
        <f t="shared" si="106"/>
        <v>1</v>
      </c>
      <c r="Y627" t="str">
        <f t="shared" si="107"/>
        <v/>
      </c>
    </row>
    <row r="628" spans="8:25">
      <c r="H628">
        <v>396</v>
      </c>
      <c r="I628" s="18">
        <v>20</v>
      </c>
      <c r="J628">
        <v>44</v>
      </c>
      <c r="K628">
        <f t="shared" si="97"/>
        <v>220</v>
      </c>
      <c r="L628" s="39">
        <f t="shared" si="98"/>
        <v>138.23007675795088</v>
      </c>
      <c r="M628">
        <f t="shared" si="99"/>
        <v>400.31337508538434</v>
      </c>
      <c r="N628">
        <f t="shared" si="100"/>
        <v>19367.371997850471</v>
      </c>
      <c r="O628" s="39">
        <f t="shared" si="101"/>
        <v>34910.129399507801</v>
      </c>
      <c r="S628">
        <f t="shared" si="102"/>
        <v>1</v>
      </c>
      <c r="T628">
        <f t="shared" si="103"/>
        <v>1</v>
      </c>
      <c r="U628">
        <f t="shared" si="104"/>
        <v>1</v>
      </c>
      <c r="V628">
        <f t="shared" si="105"/>
        <v>0</v>
      </c>
      <c r="W628">
        <f t="shared" si="106"/>
        <v>1</v>
      </c>
      <c r="Y628" t="str">
        <f t="shared" si="107"/>
        <v/>
      </c>
    </row>
    <row r="629" spans="8:25">
      <c r="H629">
        <v>397</v>
      </c>
      <c r="I629" s="18">
        <v>14</v>
      </c>
      <c r="J629">
        <v>90</v>
      </c>
      <c r="K629">
        <f t="shared" si="97"/>
        <v>450</v>
      </c>
      <c r="L629" s="39">
        <f t="shared" si="98"/>
        <v>138.54423602330985</v>
      </c>
      <c r="M629">
        <f t="shared" si="99"/>
        <v>285.31337508538434</v>
      </c>
      <c r="N629">
        <f t="shared" si="100"/>
        <v>13834.983252452817</v>
      </c>
      <c r="O629" s="39">
        <f t="shared" si="101"/>
        <v>29377.740654110152</v>
      </c>
      <c r="S629">
        <f t="shared" si="102"/>
        <v>1</v>
      </c>
      <c r="T629">
        <f t="shared" si="103"/>
        <v>0</v>
      </c>
      <c r="U629">
        <f t="shared" si="104"/>
        <v>1</v>
      </c>
      <c r="V629">
        <f t="shared" si="105"/>
        <v>0</v>
      </c>
      <c r="W629">
        <f t="shared" si="106"/>
        <v>0</v>
      </c>
      <c r="Y629" t="str">
        <f t="shared" si="107"/>
        <v/>
      </c>
    </row>
    <row r="630" spans="8:25">
      <c r="H630">
        <v>398</v>
      </c>
      <c r="I630" s="18">
        <v>16</v>
      </c>
      <c r="J630">
        <v>70</v>
      </c>
      <c r="K630">
        <f t="shared" si="97"/>
        <v>350</v>
      </c>
      <c r="L630" s="39">
        <f t="shared" si="98"/>
        <v>140.74335088082276</v>
      </c>
      <c r="M630">
        <f t="shared" si="99"/>
        <v>335.31337508538434</v>
      </c>
      <c r="N630">
        <f t="shared" si="100"/>
        <v>16517.594801636311</v>
      </c>
      <c r="O630" s="39">
        <f t="shared" si="101"/>
        <v>32060.352203293645</v>
      </c>
      <c r="S630">
        <f t="shared" si="102"/>
        <v>1</v>
      </c>
      <c r="T630">
        <f t="shared" si="103"/>
        <v>1</v>
      </c>
      <c r="U630">
        <f t="shared" si="104"/>
        <v>1</v>
      </c>
      <c r="V630">
        <f t="shared" si="105"/>
        <v>0</v>
      </c>
      <c r="W630">
        <f t="shared" si="106"/>
        <v>0</v>
      </c>
      <c r="Y630" t="str">
        <f t="shared" si="107"/>
        <v/>
      </c>
    </row>
    <row r="631" spans="8:25">
      <c r="H631">
        <v>399</v>
      </c>
      <c r="I631" s="18">
        <v>30</v>
      </c>
      <c r="J631">
        <v>20</v>
      </c>
      <c r="K631">
        <f t="shared" si="97"/>
        <v>100</v>
      </c>
      <c r="L631" s="39">
        <f t="shared" si="98"/>
        <v>141.37166941154069</v>
      </c>
      <c r="M631">
        <f t="shared" si="99"/>
        <v>460.31337508538434</v>
      </c>
      <c r="N631">
        <f t="shared" si="100"/>
        <v>22776.344600898519</v>
      </c>
      <c r="O631" s="39">
        <f t="shared" si="101"/>
        <v>38319.102002555854</v>
      </c>
      <c r="S631">
        <f t="shared" si="102"/>
        <v>1</v>
      </c>
      <c r="T631">
        <f t="shared" si="103"/>
        <v>1</v>
      </c>
      <c r="U631">
        <f t="shared" si="104"/>
        <v>0</v>
      </c>
      <c r="V631">
        <f t="shared" si="105"/>
        <v>1</v>
      </c>
      <c r="W631">
        <f t="shared" si="106"/>
        <v>1</v>
      </c>
      <c r="Y631" t="str">
        <f t="shared" si="107"/>
        <v/>
      </c>
    </row>
    <row r="632" spans="8:25">
      <c r="H632">
        <v>400</v>
      </c>
      <c r="I632" s="18">
        <v>14</v>
      </c>
      <c r="J632">
        <v>92</v>
      </c>
      <c r="K632">
        <f t="shared" si="97"/>
        <v>460</v>
      </c>
      <c r="L632" s="39">
        <f t="shared" si="98"/>
        <v>141.62299682382786</v>
      </c>
      <c r="M632">
        <f t="shared" si="99"/>
        <v>280.31337508538434</v>
      </c>
      <c r="N632">
        <f t="shared" si="100"/>
        <v>13894.587080287847</v>
      </c>
      <c r="O632" s="39">
        <f t="shared" si="101"/>
        <v>29437.344481945183</v>
      </c>
      <c r="S632">
        <f t="shared" si="102"/>
        <v>1</v>
      </c>
      <c r="T632">
        <f t="shared" si="103"/>
        <v>0</v>
      </c>
      <c r="U632">
        <f t="shared" si="104"/>
        <v>1</v>
      </c>
      <c r="V632">
        <f t="shared" si="105"/>
        <v>0</v>
      </c>
      <c r="W632">
        <f t="shared" si="106"/>
        <v>0</v>
      </c>
      <c r="Y632" t="str">
        <f t="shared" si="107"/>
        <v/>
      </c>
    </row>
    <row r="633" spans="8:25">
      <c r="H633">
        <v>401</v>
      </c>
      <c r="I633" s="18">
        <v>36</v>
      </c>
      <c r="J633">
        <v>14</v>
      </c>
      <c r="K633">
        <f t="shared" si="97"/>
        <v>70</v>
      </c>
      <c r="L633" s="39">
        <f t="shared" si="98"/>
        <v>142.50264276683302</v>
      </c>
      <c r="M633">
        <f t="shared" si="99"/>
        <v>475.31337508538434</v>
      </c>
      <c r="N633">
        <f t="shared" si="100"/>
        <v>23706.694232231581</v>
      </c>
      <c r="O633" s="39">
        <f t="shared" si="101"/>
        <v>39249.451633888915</v>
      </c>
      <c r="S633">
        <f t="shared" si="102"/>
        <v>1</v>
      </c>
      <c r="T633">
        <f t="shared" si="103"/>
        <v>1</v>
      </c>
      <c r="U633">
        <f t="shared" si="104"/>
        <v>0</v>
      </c>
      <c r="V633">
        <f t="shared" si="105"/>
        <v>1</v>
      </c>
      <c r="W633">
        <f t="shared" si="106"/>
        <v>1</v>
      </c>
      <c r="Y633" t="str">
        <f t="shared" si="107"/>
        <v/>
      </c>
    </row>
    <row r="634" spans="8:25">
      <c r="H634">
        <v>402</v>
      </c>
      <c r="I634" s="18">
        <v>18</v>
      </c>
      <c r="J634">
        <v>56</v>
      </c>
      <c r="K634">
        <f t="shared" si="97"/>
        <v>280</v>
      </c>
      <c r="L634" s="39">
        <f t="shared" si="98"/>
        <v>142.50264276683302</v>
      </c>
      <c r="M634">
        <f t="shared" si="99"/>
        <v>370.31337508538434</v>
      </c>
      <c r="N634">
        <f t="shared" si="100"/>
        <v>18469.722110550469</v>
      </c>
      <c r="O634" s="39">
        <f t="shared" si="101"/>
        <v>34012.479512207807</v>
      </c>
      <c r="S634">
        <f t="shared" si="102"/>
        <v>1</v>
      </c>
      <c r="T634">
        <f t="shared" si="103"/>
        <v>1</v>
      </c>
      <c r="U634">
        <f t="shared" si="104"/>
        <v>1</v>
      </c>
      <c r="V634">
        <f t="shared" si="105"/>
        <v>0</v>
      </c>
      <c r="W634">
        <f t="shared" si="106"/>
        <v>1</v>
      </c>
      <c r="Y634" t="str">
        <f t="shared" si="107"/>
        <v/>
      </c>
    </row>
    <row r="635" spans="8:25">
      <c r="H635">
        <v>403</v>
      </c>
      <c r="I635" s="18">
        <v>22</v>
      </c>
      <c r="J635">
        <v>38</v>
      </c>
      <c r="K635">
        <f t="shared" si="97"/>
        <v>190</v>
      </c>
      <c r="L635" s="39">
        <f t="shared" si="98"/>
        <v>144.45043021205871</v>
      </c>
      <c r="M635">
        <f t="shared" si="99"/>
        <v>415.31337508538434</v>
      </c>
      <c r="N635">
        <f t="shared" si="100"/>
        <v>20997.268496367058</v>
      </c>
      <c r="O635" s="39">
        <f t="shared" si="101"/>
        <v>36540.025898024396</v>
      </c>
      <c r="S635">
        <f t="shared" si="102"/>
        <v>1</v>
      </c>
      <c r="T635">
        <f t="shared" si="103"/>
        <v>1</v>
      </c>
      <c r="U635">
        <f t="shared" si="104"/>
        <v>1</v>
      </c>
      <c r="V635">
        <f t="shared" si="105"/>
        <v>0</v>
      </c>
      <c r="W635">
        <f t="shared" si="106"/>
        <v>1</v>
      </c>
      <c r="Y635" t="str">
        <f t="shared" si="107"/>
        <v/>
      </c>
    </row>
    <row r="636" spans="8:25">
      <c r="H636">
        <v>404</v>
      </c>
      <c r="I636" s="18">
        <v>20</v>
      </c>
      <c r="J636">
        <v>46</v>
      </c>
      <c r="K636">
        <f t="shared" si="97"/>
        <v>230</v>
      </c>
      <c r="L636" s="39">
        <f t="shared" si="98"/>
        <v>144.51326206513048</v>
      </c>
      <c r="M636">
        <f t="shared" si="99"/>
        <v>395.31337508538434</v>
      </c>
      <c r="N636">
        <f t="shared" si="100"/>
        <v>19994.80888004788</v>
      </c>
      <c r="O636" s="39">
        <f t="shared" si="101"/>
        <v>35537.566281705214</v>
      </c>
      <c r="S636">
        <f t="shared" si="102"/>
        <v>1</v>
      </c>
      <c r="T636">
        <f t="shared" si="103"/>
        <v>1</v>
      </c>
      <c r="U636">
        <f t="shared" si="104"/>
        <v>1</v>
      </c>
      <c r="V636">
        <f t="shared" si="105"/>
        <v>0</v>
      </c>
      <c r="W636">
        <f t="shared" si="106"/>
        <v>1</v>
      </c>
      <c r="Y636" t="str">
        <f t="shared" si="107"/>
        <v/>
      </c>
    </row>
    <row r="637" spans="8:25">
      <c r="H637">
        <v>405</v>
      </c>
      <c r="I637" s="18">
        <v>14</v>
      </c>
      <c r="J637">
        <v>94</v>
      </c>
      <c r="K637">
        <f t="shared" si="97"/>
        <v>470</v>
      </c>
      <c r="L637" s="39">
        <f t="shared" si="98"/>
        <v>144.70175762434587</v>
      </c>
      <c r="M637">
        <f t="shared" si="99"/>
        <v>275.31337508538434</v>
      </c>
      <c r="N637">
        <f t="shared" si="100"/>
        <v>13943.41524532107</v>
      </c>
      <c r="O637" s="39">
        <f t="shared" si="101"/>
        <v>29486.172646978404</v>
      </c>
      <c r="S637">
        <f t="shared" si="102"/>
        <v>1</v>
      </c>
      <c r="T637">
        <f t="shared" si="103"/>
        <v>0</v>
      </c>
      <c r="U637">
        <f t="shared" si="104"/>
        <v>1</v>
      </c>
      <c r="V637">
        <f t="shared" si="105"/>
        <v>0</v>
      </c>
      <c r="W637">
        <f t="shared" si="106"/>
        <v>0</v>
      </c>
      <c r="Y637" t="str">
        <f t="shared" si="107"/>
        <v/>
      </c>
    </row>
    <row r="638" spans="8:25">
      <c r="H638">
        <v>406</v>
      </c>
      <c r="I638" s="18">
        <v>24</v>
      </c>
      <c r="J638">
        <v>32</v>
      </c>
      <c r="K638">
        <f t="shared" si="97"/>
        <v>160</v>
      </c>
      <c r="L638" s="39">
        <f t="shared" si="98"/>
        <v>144.76458947741767</v>
      </c>
      <c r="M638">
        <f t="shared" si="99"/>
        <v>430.31337508538434</v>
      </c>
      <c r="N638">
        <f t="shared" si="100"/>
        <v>21802.9486818072</v>
      </c>
      <c r="O638" s="39">
        <f t="shared" si="101"/>
        <v>37345.706083464538</v>
      </c>
      <c r="S638">
        <f t="shared" si="102"/>
        <v>1</v>
      </c>
      <c r="T638">
        <f t="shared" si="103"/>
        <v>1</v>
      </c>
      <c r="U638">
        <f t="shared" si="104"/>
        <v>1</v>
      </c>
      <c r="V638">
        <f t="shared" si="105"/>
        <v>0</v>
      </c>
      <c r="W638">
        <f t="shared" si="106"/>
        <v>1</v>
      </c>
      <c r="Y638" t="str">
        <f t="shared" si="107"/>
        <v/>
      </c>
    </row>
    <row r="639" spans="8:25">
      <c r="H639">
        <v>407</v>
      </c>
      <c r="I639" s="18">
        <v>32</v>
      </c>
      <c r="J639">
        <v>18</v>
      </c>
      <c r="K639">
        <f t="shared" si="97"/>
        <v>90</v>
      </c>
      <c r="L639" s="39">
        <f t="shared" si="98"/>
        <v>144.7645894774177</v>
      </c>
      <c r="M639">
        <f t="shared" si="99"/>
        <v>465.31337508538434</v>
      </c>
      <c r="N639">
        <f t="shared" si="100"/>
        <v>23576.314902905568</v>
      </c>
      <c r="O639" s="39">
        <f t="shared" si="101"/>
        <v>39119.072304562898</v>
      </c>
      <c r="S639">
        <f t="shared" si="102"/>
        <v>1</v>
      </c>
      <c r="T639">
        <f t="shared" si="103"/>
        <v>1</v>
      </c>
      <c r="U639">
        <f t="shared" si="104"/>
        <v>0</v>
      </c>
      <c r="V639">
        <f t="shared" si="105"/>
        <v>1</v>
      </c>
      <c r="W639">
        <f t="shared" si="106"/>
        <v>1</v>
      </c>
      <c r="Y639" t="str">
        <f t="shared" si="107"/>
        <v/>
      </c>
    </row>
    <row r="640" spans="8:25">
      <c r="H640">
        <v>408</v>
      </c>
      <c r="I640" s="18">
        <v>16</v>
      </c>
      <c r="J640">
        <v>72</v>
      </c>
      <c r="K640">
        <f t="shared" si="97"/>
        <v>360</v>
      </c>
      <c r="L640" s="39">
        <f t="shared" si="98"/>
        <v>144.7645894774177</v>
      </c>
      <c r="M640">
        <f t="shared" si="99"/>
        <v>330.31337508538434</v>
      </c>
      <c r="N640">
        <f t="shared" si="100"/>
        <v>16736.188050097582</v>
      </c>
      <c r="O640" s="39">
        <f t="shared" si="101"/>
        <v>32278.945451754917</v>
      </c>
      <c r="S640">
        <f t="shared" si="102"/>
        <v>1</v>
      </c>
      <c r="T640">
        <f t="shared" si="103"/>
        <v>1</v>
      </c>
      <c r="U640">
        <f t="shared" si="104"/>
        <v>1</v>
      </c>
      <c r="V640">
        <f t="shared" si="105"/>
        <v>0</v>
      </c>
      <c r="W640">
        <f t="shared" si="106"/>
        <v>0</v>
      </c>
      <c r="Y640" t="str">
        <f t="shared" si="107"/>
        <v/>
      </c>
    </row>
    <row r="641" spans="8:25">
      <c r="H641">
        <v>409</v>
      </c>
      <c r="I641" s="18">
        <v>34</v>
      </c>
      <c r="J641">
        <v>16</v>
      </c>
      <c r="K641">
        <f t="shared" si="97"/>
        <v>80</v>
      </c>
      <c r="L641" s="39">
        <f t="shared" si="98"/>
        <v>145.26724430199201</v>
      </c>
      <c r="M641">
        <f t="shared" si="99"/>
        <v>470.31337508538434</v>
      </c>
      <c r="N641">
        <f t="shared" si="100"/>
        <v>23912.394784958025</v>
      </c>
      <c r="O641" s="39">
        <f t="shared" si="101"/>
        <v>39455.152186615363</v>
      </c>
      <c r="S641">
        <f t="shared" si="102"/>
        <v>1</v>
      </c>
      <c r="T641">
        <f t="shared" si="103"/>
        <v>1</v>
      </c>
      <c r="U641">
        <f t="shared" si="104"/>
        <v>0</v>
      </c>
      <c r="V641">
        <f t="shared" si="105"/>
        <v>1</v>
      </c>
      <c r="W641">
        <f t="shared" si="106"/>
        <v>1</v>
      </c>
      <c r="Y641" t="str">
        <f t="shared" si="107"/>
        <v/>
      </c>
    </row>
    <row r="642" spans="8:25">
      <c r="H642">
        <v>410</v>
      </c>
      <c r="I642" s="18">
        <v>25</v>
      </c>
      <c r="J642">
        <v>30</v>
      </c>
      <c r="K642">
        <f t="shared" si="97"/>
        <v>150</v>
      </c>
      <c r="L642" s="39">
        <f t="shared" si="98"/>
        <v>147.26215563702155</v>
      </c>
      <c r="M642">
        <f t="shared" si="99"/>
        <v>435.31337508538434</v>
      </c>
      <c r="N642">
        <f t="shared" si="100"/>
        <v>22436.815097445353</v>
      </c>
      <c r="O642" s="39">
        <f t="shared" si="101"/>
        <v>37979.572499102687</v>
      </c>
      <c r="S642">
        <f t="shared" si="102"/>
        <v>1</v>
      </c>
      <c r="T642">
        <f t="shared" si="103"/>
        <v>1</v>
      </c>
      <c r="U642">
        <f t="shared" si="104"/>
        <v>1</v>
      </c>
      <c r="V642">
        <f t="shared" si="105"/>
        <v>0</v>
      </c>
      <c r="W642">
        <f t="shared" si="106"/>
        <v>1</v>
      </c>
      <c r="Y642" t="str">
        <f t="shared" si="107"/>
        <v/>
      </c>
    </row>
    <row r="643" spans="8:25">
      <c r="H643">
        <v>411</v>
      </c>
      <c r="I643" s="18">
        <v>18</v>
      </c>
      <c r="J643">
        <v>58</v>
      </c>
      <c r="K643">
        <f t="shared" si="97"/>
        <v>290</v>
      </c>
      <c r="L643" s="39">
        <f t="shared" si="98"/>
        <v>147.59202286564849</v>
      </c>
      <c r="M643">
        <f t="shared" si="99"/>
        <v>365.31337508538434</v>
      </c>
      <c r="N643">
        <f t="shared" si="100"/>
        <v>18871.069003055247</v>
      </c>
      <c r="O643" s="39">
        <f t="shared" si="101"/>
        <v>34413.826404712585</v>
      </c>
      <c r="S643">
        <f t="shared" si="102"/>
        <v>1</v>
      </c>
      <c r="T643">
        <f t="shared" si="103"/>
        <v>1</v>
      </c>
      <c r="U643">
        <f t="shared" si="104"/>
        <v>1</v>
      </c>
      <c r="V643">
        <f t="shared" si="105"/>
        <v>0</v>
      </c>
      <c r="W643">
        <f t="shared" si="106"/>
        <v>1</v>
      </c>
      <c r="Y643" t="str">
        <f t="shared" si="107"/>
        <v/>
      </c>
    </row>
    <row r="644" spans="8:25">
      <c r="H644">
        <v>412</v>
      </c>
      <c r="I644" s="18">
        <v>28</v>
      </c>
      <c r="J644">
        <v>24</v>
      </c>
      <c r="K644">
        <f t="shared" si="97"/>
        <v>120</v>
      </c>
      <c r="L644" s="39">
        <f t="shared" si="98"/>
        <v>147.78051842486386</v>
      </c>
      <c r="M644">
        <f t="shared" si="99"/>
        <v>450.31337508538434</v>
      </c>
      <c r="N644">
        <f t="shared" si="100"/>
        <v>23291.640408318897</v>
      </c>
      <c r="O644" s="39">
        <f t="shared" si="101"/>
        <v>38834.397809976232</v>
      </c>
      <c r="S644">
        <f t="shared" si="102"/>
        <v>1</v>
      </c>
      <c r="T644">
        <f t="shared" si="103"/>
        <v>1</v>
      </c>
      <c r="U644">
        <f t="shared" si="104"/>
        <v>0</v>
      </c>
      <c r="V644">
        <f t="shared" si="105"/>
        <v>0</v>
      </c>
      <c r="W644">
        <f t="shared" si="106"/>
        <v>1</v>
      </c>
      <c r="Y644" t="str">
        <f t="shared" si="107"/>
        <v/>
      </c>
    </row>
    <row r="645" spans="8:25">
      <c r="H645">
        <v>413</v>
      </c>
      <c r="I645" s="18">
        <v>14</v>
      </c>
      <c r="J645">
        <v>96</v>
      </c>
      <c r="K645">
        <f t="shared" si="97"/>
        <v>480</v>
      </c>
      <c r="L645" s="39">
        <f t="shared" si="98"/>
        <v>147.78051842486386</v>
      </c>
      <c r="M645">
        <f t="shared" si="99"/>
        <v>270.31337508538434</v>
      </c>
      <c r="N645">
        <f t="shared" si="100"/>
        <v>13981.467747552471</v>
      </c>
      <c r="O645" s="39">
        <f t="shared" si="101"/>
        <v>29524.225149209808</v>
      </c>
      <c r="S645">
        <f t="shared" si="102"/>
        <v>1</v>
      </c>
      <c r="T645">
        <f t="shared" si="103"/>
        <v>0</v>
      </c>
      <c r="U645">
        <f t="shared" si="104"/>
        <v>1</v>
      </c>
      <c r="V645">
        <f t="shared" si="105"/>
        <v>0</v>
      </c>
      <c r="W645">
        <f t="shared" si="106"/>
        <v>0</v>
      </c>
      <c r="Y645" t="str">
        <f t="shared" si="107"/>
        <v/>
      </c>
    </row>
    <row r="646" spans="8:25">
      <c r="H646">
        <v>414</v>
      </c>
      <c r="I646" s="18">
        <v>26</v>
      </c>
      <c r="J646">
        <v>28</v>
      </c>
      <c r="K646">
        <f t="shared" si="97"/>
        <v>140</v>
      </c>
      <c r="L646" s="39">
        <f t="shared" si="98"/>
        <v>148.66016436786902</v>
      </c>
      <c r="M646">
        <f t="shared" si="99"/>
        <v>440.31337508538434</v>
      </c>
      <c r="N646">
        <f t="shared" si="100"/>
        <v>22909.970549747541</v>
      </c>
      <c r="O646" s="39">
        <f t="shared" si="101"/>
        <v>38452.727951404871</v>
      </c>
      <c r="S646">
        <f t="shared" si="102"/>
        <v>1</v>
      </c>
      <c r="T646">
        <f t="shared" si="103"/>
        <v>1</v>
      </c>
      <c r="U646">
        <f t="shared" si="104"/>
        <v>0</v>
      </c>
      <c r="V646">
        <f t="shared" si="105"/>
        <v>0</v>
      </c>
      <c r="W646">
        <f t="shared" si="106"/>
        <v>1</v>
      </c>
      <c r="Y646" t="str">
        <f t="shared" si="107"/>
        <v/>
      </c>
    </row>
    <row r="647" spans="8:25">
      <c r="H647">
        <v>415</v>
      </c>
      <c r="I647" s="18">
        <v>16</v>
      </c>
      <c r="J647">
        <v>74</v>
      </c>
      <c r="K647">
        <f t="shared" si="97"/>
        <v>370</v>
      </c>
      <c r="L647" s="39">
        <f t="shared" si="98"/>
        <v>148.78582807401264</v>
      </c>
      <c r="M647">
        <f t="shared" si="99"/>
        <v>325.31337508538434</v>
      </c>
      <c r="N647">
        <f t="shared" si="100"/>
        <v>16940.706963470773</v>
      </c>
      <c r="O647" s="39">
        <f t="shared" si="101"/>
        <v>32483.464365128108</v>
      </c>
      <c r="S647">
        <f t="shared" si="102"/>
        <v>1</v>
      </c>
      <c r="T647">
        <f t="shared" si="103"/>
        <v>1</v>
      </c>
      <c r="U647">
        <f t="shared" si="104"/>
        <v>1</v>
      </c>
      <c r="V647">
        <f t="shared" si="105"/>
        <v>0</v>
      </c>
      <c r="W647">
        <f t="shared" si="106"/>
        <v>0</v>
      </c>
      <c r="Y647" t="str">
        <f t="shared" si="107"/>
        <v/>
      </c>
    </row>
    <row r="648" spans="8:25">
      <c r="H648">
        <v>416</v>
      </c>
      <c r="I648" s="18">
        <v>40</v>
      </c>
      <c r="J648">
        <v>12</v>
      </c>
      <c r="K648">
        <f t="shared" si="97"/>
        <v>60</v>
      </c>
      <c r="L648" s="39">
        <f t="shared" si="98"/>
        <v>150.79644737231007</v>
      </c>
      <c r="M648">
        <f t="shared" si="99"/>
        <v>480.31337508538434</v>
      </c>
      <c r="N648">
        <f t="shared" si="100"/>
        <v>25350.342705897925</v>
      </c>
      <c r="O648" s="39">
        <f t="shared" si="101"/>
        <v>40893.100107555263</v>
      </c>
      <c r="S648">
        <f t="shared" si="102"/>
        <v>1</v>
      </c>
      <c r="T648">
        <f t="shared" si="103"/>
        <v>1</v>
      </c>
      <c r="U648">
        <f t="shared" si="104"/>
        <v>0</v>
      </c>
      <c r="V648">
        <f t="shared" si="105"/>
        <v>1</v>
      </c>
      <c r="W648">
        <f t="shared" si="106"/>
        <v>1</v>
      </c>
      <c r="Y648" t="str">
        <f t="shared" si="107"/>
        <v/>
      </c>
    </row>
    <row r="649" spans="8:25">
      <c r="H649">
        <v>417</v>
      </c>
      <c r="I649" s="18">
        <v>20</v>
      </c>
      <c r="J649">
        <v>48</v>
      </c>
      <c r="K649">
        <f t="shared" si="97"/>
        <v>240</v>
      </c>
      <c r="L649" s="39">
        <f t="shared" si="98"/>
        <v>150.79644737231007</v>
      </c>
      <c r="M649">
        <f t="shared" si="99"/>
        <v>390.31337508538434</v>
      </c>
      <c r="N649">
        <f t="shared" si="100"/>
        <v>20600.25461367016</v>
      </c>
      <c r="O649" s="39">
        <f t="shared" si="101"/>
        <v>36143.012015327491</v>
      </c>
      <c r="S649">
        <f t="shared" si="102"/>
        <v>1</v>
      </c>
      <c r="T649">
        <f t="shared" si="103"/>
        <v>1</v>
      </c>
      <c r="U649">
        <f t="shared" si="104"/>
        <v>1</v>
      </c>
      <c r="V649">
        <f t="shared" si="105"/>
        <v>0</v>
      </c>
      <c r="W649">
        <f t="shared" si="106"/>
        <v>1</v>
      </c>
      <c r="Y649" t="str">
        <f t="shared" si="107"/>
        <v/>
      </c>
    </row>
    <row r="650" spans="8:25">
      <c r="H650">
        <v>418</v>
      </c>
      <c r="I650" s="18">
        <v>14</v>
      </c>
      <c r="J650">
        <v>98</v>
      </c>
      <c r="K650">
        <f t="shared" si="97"/>
        <v>490</v>
      </c>
      <c r="L650" s="39">
        <f t="shared" si="98"/>
        <v>150.85927922538184</v>
      </c>
      <c r="M650">
        <f t="shared" si="99"/>
        <v>265.31337508538434</v>
      </c>
      <c r="N650">
        <f t="shared" si="100"/>
        <v>14008.744586982062</v>
      </c>
      <c r="O650" s="39">
        <f t="shared" si="101"/>
        <v>29551.501988639397</v>
      </c>
      <c r="S650">
        <f t="shared" si="102"/>
        <v>1</v>
      </c>
      <c r="T650">
        <f t="shared" si="103"/>
        <v>0</v>
      </c>
      <c r="U650">
        <f t="shared" si="104"/>
        <v>1</v>
      </c>
      <c r="V650">
        <f t="shared" si="105"/>
        <v>0</v>
      </c>
      <c r="W650">
        <f t="shared" si="106"/>
        <v>0</v>
      </c>
      <c r="Y650" t="str">
        <f t="shared" si="107"/>
        <v/>
      </c>
    </row>
    <row r="651" spans="8:25">
      <c r="H651">
        <v>419</v>
      </c>
      <c r="I651" s="18">
        <v>22</v>
      </c>
      <c r="J651">
        <v>40</v>
      </c>
      <c r="K651">
        <f t="shared" si="97"/>
        <v>200</v>
      </c>
      <c r="L651" s="39">
        <f t="shared" si="98"/>
        <v>152.05308443374602</v>
      </c>
      <c r="M651">
        <f t="shared" si="99"/>
        <v>410.31337508538434</v>
      </c>
      <c r="N651">
        <f t="shared" si="100"/>
        <v>21836.294993153635</v>
      </c>
      <c r="O651" s="39">
        <f t="shared" si="101"/>
        <v>37379.052394810969</v>
      </c>
      <c r="S651">
        <f t="shared" si="102"/>
        <v>1</v>
      </c>
      <c r="T651">
        <f t="shared" si="103"/>
        <v>1</v>
      </c>
      <c r="U651">
        <f t="shared" si="104"/>
        <v>1</v>
      </c>
      <c r="V651">
        <f t="shared" si="105"/>
        <v>0</v>
      </c>
      <c r="W651">
        <f t="shared" si="106"/>
        <v>1</v>
      </c>
      <c r="Y651" t="str">
        <f t="shared" si="107"/>
        <v/>
      </c>
    </row>
    <row r="652" spans="8:25">
      <c r="H652">
        <v>420</v>
      </c>
      <c r="I652" s="18">
        <v>18</v>
      </c>
      <c r="J652">
        <v>60</v>
      </c>
      <c r="K652">
        <f t="shared" si="97"/>
        <v>300</v>
      </c>
      <c r="L652" s="39">
        <f t="shared" si="98"/>
        <v>152.68140296446396</v>
      </c>
      <c r="M652">
        <f t="shared" si="99"/>
        <v>360.31337508538434</v>
      </c>
      <c r="N652">
        <f t="shared" si="100"/>
        <v>19254.603065214164</v>
      </c>
      <c r="O652" s="39">
        <f t="shared" si="101"/>
        <v>34797.360466871498</v>
      </c>
      <c r="S652">
        <f t="shared" si="102"/>
        <v>1</v>
      </c>
      <c r="T652">
        <f t="shared" si="103"/>
        <v>1</v>
      </c>
      <c r="U652">
        <f t="shared" si="104"/>
        <v>1</v>
      </c>
      <c r="V652">
        <f t="shared" si="105"/>
        <v>0</v>
      </c>
      <c r="W652">
        <f t="shared" si="106"/>
        <v>1</v>
      </c>
      <c r="Y652" t="str">
        <f t="shared" si="107"/>
        <v/>
      </c>
    </row>
    <row r="653" spans="8:25">
      <c r="H653">
        <v>421</v>
      </c>
      <c r="I653" s="18">
        <v>16</v>
      </c>
      <c r="J653">
        <v>76</v>
      </c>
      <c r="K653">
        <f t="shared" si="97"/>
        <v>380</v>
      </c>
      <c r="L653" s="39">
        <f t="shared" si="98"/>
        <v>152.80706667060755</v>
      </c>
      <c r="M653">
        <f t="shared" si="99"/>
        <v>320.31337508538434</v>
      </c>
      <c r="N653">
        <f t="shared" si="100"/>
        <v>17131.151541755877</v>
      </c>
      <c r="O653" s="39">
        <f t="shared" si="101"/>
        <v>32673.908943413211</v>
      </c>
      <c r="S653">
        <f t="shared" si="102"/>
        <v>1</v>
      </c>
      <c r="T653">
        <f t="shared" si="103"/>
        <v>1</v>
      </c>
      <c r="U653">
        <f t="shared" si="104"/>
        <v>1</v>
      </c>
      <c r="V653">
        <f t="shared" si="105"/>
        <v>0</v>
      </c>
      <c r="W653">
        <f t="shared" si="106"/>
        <v>0</v>
      </c>
      <c r="Y653" t="str">
        <f t="shared" si="107"/>
        <v/>
      </c>
    </row>
    <row r="654" spans="8:25">
      <c r="H654">
        <v>422</v>
      </c>
      <c r="I654" s="18">
        <v>24</v>
      </c>
      <c r="J654">
        <v>34</v>
      </c>
      <c r="K654">
        <f t="shared" si="97"/>
        <v>170</v>
      </c>
      <c r="L654" s="39">
        <f t="shared" si="98"/>
        <v>153.81237631975628</v>
      </c>
      <c r="M654">
        <f t="shared" si="99"/>
        <v>425.31337508538434</v>
      </c>
      <c r="N654">
        <f t="shared" si="100"/>
        <v>22896.461315860579</v>
      </c>
      <c r="O654" s="39">
        <f t="shared" si="101"/>
        <v>38439.218717517913</v>
      </c>
      <c r="S654">
        <f t="shared" si="102"/>
        <v>1</v>
      </c>
      <c r="T654">
        <f t="shared" si="103"/>
        <v>1</v>
      </c>
      <c r="U654">
        <f t="shared" si="104"/>
        <v>1</v>
      </c>
      <c r="V654">
        <f t="shared" si="105"/>
        <v>0</v>
      </c>
      <c r="W654">
        <f t="shared" si="106"/>
        <v>1</v>
      </c>
      <c r="Y654" t="str">
        <f t="shared" si="107"/>
        <v/>
      </c>
    </row>
    <row r="655" spans="8:25">
      <c r="H655">
        <v>423</v>
      </c>
      <c r="I655" s="18">
        <v>14</v>
      </c>
      <c r="J655">
        <v>100</v>
      </c>
      <c r="K655">
        <f t="shared" si="97"/>
        <v>500</v>
      </c>
      <c r="L655" s="39">
        <f t="shared" si="98"/>
        <v>153.93804002589985</v>
      </c>
      <c r="M655">
        <f t="shared" si="99"/>
        <v>260.31337508538434</v>
      </c>
      <c r="N655">
        <f t="shared" si="100"/>
        <v>14025.245763609842</v>
      </c>
      <c r="O655" s="39">
        <f t="shared" si="101"/>
        <v>29568.003165267175</v>
      </c>
      <c r="S655">
        <f t="shared" si="102"/>
        <v>1</v>
      </c>
      <c r="T655">
        <f t="shared" si="103"/>
        <v>0</v>
      </c>
      <c r="U655">
        <f t="shared" si="104"/>
        <v>1</v>
      </c>
      <c r="V655">
        <f t="shared" si="105"/>
        <v>0</v>
      </c>
      <c r="W655">
        <f t="shared" si="106"/>
        <v>0</v>
      </c>
      <c r="Y655" t="str">
        <f t="shared" si="107"/>
        <v/>
      </c>
    </row>
    <row r="656" spans="8:25">
      <c r="H656">
        <v>424</v>
      </c>
      <c r="I656" s="18">
        <v>30</v>
      </c>
      <c r="J656">
        <v>22</v>
      </c>
      <c r="K656">
        <f t="shared" si="97"/>
        <v>110</v>
      </c>
      <c r="L656" s="39">
        <f t="shared" si="98"/>
        <v>155.50883635269474</v>
      </c>
      <c r="M656">
        <f t="shared" si="99"/>
        <v>455.31337508538434</v>
      </c>
      <c r="N656">
        <f t="shared" si="100"/>
        <v>24781.838597371156</v>
      </c>
      <c r="O656" s="39">
        <f t="shared" si="101"/>
        <v>40324.59599902849</v>
      </c>
      <c r="S656">
        <f t="shared" si="102"/>
        <v>1</v>
      </c>
      <c r="T656">
        <f t="shared" si="103"/>
        <v>1</v>
      </c>
      <c r="U656">
        <f t="shared" si="104"/>
        <v>0</v>
      </c>
      <c r="V656">
        <f t="shared" si="105"/>
        <v>0</v>
      </c>
      <c r="W656">
        <f t="shared" si="106"/>
        <v>1</v>
      </c>
      <c r="Y656" t="str">
        <f t="shared" si="107"/>
        <v/>
      </c>
    </row>
    <row r="657" spans="8:25">
      <c r="H657">
        <v>425</v>
      </c>
      <c r="I657" s="18">
        <v>16</v>
      </c>
      <c r="J657">
        <v>78</v>
      </c>
      <c r="K657">
        <f t="shared" si="97"/>
        <v>390</v>
      </c>
      <c r="L657" s="39">
        <f t="shared" si="98"/>
        <v>156.8283052672025</v>
      </c>
      <c r="M657">
        <f t="shared" si="99"/>
        <v>315.31337508538434</v>
      </c>
      <c r="N657">
        <f t="shared" si="100"/>
        <v>17307.5217849529</v>
      </c>
      <c r="O657" s="39">
        <f t="shared" si="101"/>
        <v>32850.279186610234</v>
      </c>
      <c r="S657">
        <f t="shared" si="102"/>
        <v>1</v>
      </c>
      <c r="T657">
        <f t="shared" si="103"/>
        <v>1</v>
      </c>
      <c r="U657">
        <f t="shared" si="104"/>
        <v>1</v>
      </c>
      <c r="V657">
        <f t="shared" si="105"/>
        <v>0</v>
      </c>
      <c r="W657">
        <f t="shared" si="106"/>
        <v>0</v>
      </c>
      <c r="Y657" t="str">
        <f t="shared" si="107"/>
        <v/>
      </c>
    </row>
    <row r="658" spans="8:25">
      <c r="H658">
        <v>426</v>
      </c>
      <c r="I658" s="18">
        <v>50</v>
      </c>
      <c r="J658">
        <v>8</v>
      </c>
      <c r="K658">
        <f t="shared" si="97"/>
        <v>40</v>
      </c>
      <c r="L658" s="39">
        <f t="shared" si="98"/>
        <v>157.07963267948966</v>
      </c>
      <c r="M658">
        <f t="shared" si="99"/>
        <v>490.31337508538434</v>
      </c>
      <c r="N658">
        <f t="shared" si="100"/>
        <v>26956.385699688555</v>
      </c>
      <c r="O658" s="39">
        <f t="shared" si="101"/>
        <v>42499.143101345893</v>
      </c>
      <c r="S658">
        <f t="shared" si="102"/>
        <v>1</v>
      </c>
      <c r="T658">
        <f t="shared" si="103"/>
        <v>1</v>
      </c>
      <c r="U658">
        <f t="shared" si="104"/>
        <v>0</v>
      </c>
      <c r="V658">
        <f t="shared" si="105"/>
        <v>1</v>
      </c>
      <c r="W658">
        <f t="shared" si="106"/>
        <v>1</v>
      </c>
      <c r="Y658" t="str">
        <f t="shared" si="107"/>
        <v/>
      </c>
    </row>
    <row r="659" spans="8:25">
      <c r="H659">
        <v>427</v>
      </c>
      <c r="I659" s="18">
        <v>25</v>
      </c>
      <c r="J659">
        <v>32</v>
      </c>
      <c r="K659">
        <f t="shared" si="97"/>
        <v>160</v>
      </c>
      <c r="L659" s="39">
        <f t="shared" si="98"/>
        <v>157.07963267948966</v>
      </c>
      <c r="M659">
        <f t="shared" si="99"/>
        <v>430.31337508538434</v>
      </c>
      <c r="N659">
        <f t="shared" si="100"/>
        <v>23657.713413419275</v>
      </c>
      <c r="O659" s="39">
        <f t="shared" si="101"/>
        <v>39200.470815076609</v>
      </c>
      <c r="S659">
        <f t="shared" si="102"/>
        <v>1</v>
      </c>
      <c r="T659">
        <f t="shared" si="103"/>
        <v>1</v>
      </c>
      <c r="U659">
        <f t="shared" si="104"/>
        <v>1</v>
      </c>
      <c r="V659">
        <f t="shared" si="105"/>
        <v>0</v>
      </c>
      <c r="W659">
        <f t="shared" si="106"/>
        <v>1</v>
      </c>
      <c r="Y659" t="str">
        <f t="shared" si="107"/>
        <v/>
      </c>
    </row>
    <row r="660" spans="8:25">
      <c r="H660">
        <v>428</v>
      </c>
      <c r="I660" s="18">
        <v>20</v>
      </c>
      <c r="J660">
        <v>50</v>
      </c>
      <c r="K660">
        <f t="shared" si="97"/>
        <v>250</v>
      </c>
      <c r="L660" s="39">
        <f t="shared" si="98"/>
        <v>157.07963267948966</v>
      </c>
      <c r="M660">
        <f t="shared" si="99"/>
        <v>385.31337508538434</v>
      </c>
      <c r="N660">
        <f t="shared" si="100"/>
        <v>21183.709198717312</v>
      </c>
      <c r="O660" s="39">
        <f t="shared" si="101"/>
        <v>36726.466600374646</v>
      </c>
      <c r="S660">
        <f t="shared" si="102"/>
        <v>1</v>
      </c>
      <c r="T660">
        <f t="shared" si="103"/>
        <v>1</v>
      </c>
      <c r="U660">
        <f t="shared" si="104"/>
        <v>1</v>
      </c>
      <c r="V660">
        <f t="shared" si="105"/>
        <v>0</v>
      </c>
      <c r="W660">
        <f t="shared" si="106"/>
        <v>1</v>
      </c>
      <c r="Y660" t="str">
        <f t="shared" si="107"/>
        <v/>
      </c>
    </row>
    <row r="661" spans="8:25">
      <c r="H661">
        <v>429</v>
      </c>
      <c r="I661" s="18">
        <v>18</v>
      </c>
      <c r="J661">
        <v>62</v>
      </c>
      <c r="K661">
        <f t="shared" si="97"/>
        <v>310</v>
      </c>
      <c r="L661" s="39">
        <f t="shared" si="98"/>
        <v>157.77078306327942</v>
      </c>
      <c r="M661">
        <f t="shared" si="99"/>
        <v>355.31337508538434</v>
      </c>
      <c r="N661">
        <f t="shared" si="100"/>
        <v>19620.324297027229</v>
      </c>
      <c r="O661" s="39">
        <f t="shared" si="101"/>
        <v>35163.08169868456</v>
      </c>
      <c r="S661">
        <f t="shared" si="102"/>
        <v>1</v>
      </c>
      <c r="T661">
        <f t="shared" si="103"/>
        <v>1</v>
      </c>
      <c r="U661">
        <f t="shared" si="104"/>
        <v>1</v>
      </c>
      <c r="V661">
        <f t="shared" si="105"/>
        <v>0</v>
      </c>
      <c r="W661">
        <f t="shared" si="106"/>
        <v>0</v>
      </c>
      <c r="Y661" t="str">
        <f t="shared" si="107"/>
        <v/>
      </c>
    </row>
    <row r="662" spans="8:25">
      <c r="H662">
        <v>430</v>
      </c>
      <c r="I662" s="18">
        <v>38</v>
      </c>
      <c r="J662">
        <v>14</v>
      </c>
      <c r="K662">
        <f t="shared" si="97"/>
        <v>70</v>
      </c>
      <c r="L662" s="39">
        <f t="shared" si="98"/>
        <v>158.77609271242815</v>
      </c>
      <c r="M662">
        <f t="shared" si="99"/>
        <v>475.31337508538434</v>
      </c>
      <c r="N662">
        <f t="shared" si="100"/>
        <v>26413.940178504945</v>
      </c>
      <c r="O662" s="39">
        <f t="shared" si="101"/>
        <v>41956.697580162276</v>
      </c>
      <c r="S662">
        <f t="shared" si="102"/>
        <v>1</v>
      </c>
      <c r="T662">
        <f t="shared" si="103"/>
        <v>1</v>
      </c>
      <c r="U662">
        <f t="shared" si="104"/>
        <v>0</v>
      </c>
      <c r="V662">
        <f t="shared" si="105"/>
        <v>1</v>
      </c>
      <c r="W662">
        <f t="shared" si="106"/>
        <v>1</v>
      </c>
      <c r="Y662" t="str">
        <f t="shared" si="107"/>
        <v/>
      </c>
    </row>
    <row r="663" spans="8:25">
      <c r="H663">
        <v>431</v>
      </c>
      <c r="I663" s="18">
        <v>45</v>
      </c>
      <c r="J663">
        <v>10</v>
      </c>
      <c r="K663">
        <f t="shared" si="97"/>
        <v>50</v>
      </c>
      <c r="L663" s="39">
        <f t="shared" si="98"/>
        <v>159.04312808798326</v>
      </c>
      <c r="M663">
        <f t="shared" si="99"/>
        <v>485.31337508538434</v>
      </c>
      <c r="N663">
        <f t="shared" si="100"/>
        <v>27015.015046780689</v>
      </c>
      <c r="O663" s="39">
        <f t="shared" si="101"/>
        <v>42557.772448438023</v>
      </c>
      <c r="S663">
        <f t="shared" si="102"/>
        <v>1</v>
      </c>
      <c r="T663">
        <f t="shared" si="103"/>
        <v>1</v>
      </c>
      <c r="U663">
        <f t="shared" si="104"/>
        <v>0</v>
      </c>
      <c r="V663">
        <f t="shared" si="105"/>
        <v>1</v>
      </c>
      <c r="W663">
        <f t="shared" si="106"/>
        <v>1</v>
      </c>
      <c r="Y663" t="str">
        <f t="shared" si="107"/>
        <v/>
      </c>
    </row>
    <row r="664" spans="8:25">
      <c r="H664">
        <v>432</v>
      </c>
      <c r="I664" s="18">
        <v>26</v>
      </c>
      <c r="J664">
        <v>30</v>
      </c>
      <c r="K664">
        <f t="shared" si="97"/>
        <v>150</v>
      </c>
      <c r="L664" s="39">
        <f t="shared" si="98"/>
        <v>159.27874753700252</v>
      </c>
      <c r="M664">
        <f t="shared" si="99"/>
        <v>435.31337508538434</v>
      </c>
      <c r="N664">
        <f t="shared" si="100"/>
        <v>24267.659209396894</v>
      </c>
      <c r="O664" s="39">
        <f t="shared" si="101"/>
        <v>39810.416611054228</v>
      </c>
      <c r="S664">
        <f t="shared" si="102"/>
        <v>1</v>
      </c>
      <c r="T664">
        <f t="shared" si="103"/>
        <v>1</v>
      </c>
      <c r="U664">
        <f t="shared" si="104"/>
        <v>0</v>
      </c>
      <c r="V664">
        <f t="shared" si="105"/>
        <v>0</v>
      </c>
      <c r="W664">
        <f t="shared" si="106"/>
        <v>1</v>
      </c>
      <c r="Y664" t="str">
        <f t="shared" si="107"/>
        <v/>
      </c>
    </row>
    <row r="665" spans="8:25">
      <c r="H665">
        <v>433</v>
      </c>
      <c r="I665" s="18">
        <v>22</v>
      </c>
      <c r="J665">
        <v>42</v>
      </c>
      <c r="K665">
        <f t="shared" si="97"/>
        <v>210</v>
      </c>
      <c r="L665" s="39">
        <f t="shared" si="98"/>
        <v>159.65573865543331</v>
      </c>
      <c r="M665">
        <f t="shared" si="99"/>
        <v>405.31337508538434</v>
      </c>
      <c r="N665">
        <f t="shared" si="100"/>
        <v>22648.712200164307</v>
      </c>
      <c r="O665" s="39">
        <f t="shared" si="101"/>
        <v>38191.469601821642</v>
      </c>
      <c r="S665">
        <f t="shared" si="102"/>
        <v>1</v>
      </c>
      <c r="T665">
        <f t="shared" si="103"/>
        <v>1</v>
      </c>
      <c r="U665">
        <f t="shared" si="104"/>
        <v>1</v>
      </c>
      <c r="V665">
        <f t="shared" si="105"/>
        <v>0</v>
      </c>
      <c r="W665">
        <f t="shared" si="106"/>
        <v>1</v>
      </c>
      <c r="Y665" t="str">
        <f t="shared" si="107"/>
        <v/>
      </c>
    </row>
    <row r="666" spans="8:25">
      <c r="H666">
        <v>434</v>
      </c>
      <c r="I666" s="18">
        <v>28</v>
      </c>
      <c r="J666">
        <v>26</v>
      </c>
      <c r="K666">
        <f t="shared" si="97"/>
        <v>130</v>
      </c>
      <c r="L666" s="39">
        <f t="shared" si="98"/>
        <v>160.09556162693585</v>
      </c>
      <c r="M666">
        <f t="shared" si="99"/>
        <v>445.31337508538434</v>
      </c>
      <c r="N666">
        <f t="shared" si="100"/>
        <v>24952.443209498331</v>
      </c>
      <c r="O666" s="39">
        <f t="shared" si="101"/>
        <v>40495.200611155669</v>
      </c>
      <c r="S666">
        <f t="shared" si="102"/>
        <v>1</v>
      </c>
      <c r="T666">
        <f t="shared" si="103"/>
        <v>1</v>
      </c>
      <c r="U666">
        <f t="shared" si="104"/>
        <v>0</v>
      </c>
      <c r="V666">
        <f t="shared" si="105"/>
        <v>0</v>
      </c>
      <c r="W666">
        <f t="shared" si="106"/>
        <v>1</v>
      </c>
      <c r="Y666" t="str">
        <f t="shared" si="107"/>
        <v/>
      </c>
    </row>
    <row r="667" spans="8:25">
      <c r="H667">
        <v>435</v>
      </c>
      <c r="I667" s="18">
        <v>32</v>
      </c>
      <c r="J667">
        <v>20</v>
      </c>
      <c r="K667">
        <f t="shared" si="97"/>
        <v>100</v>
      </c>
      <c r="L667" s="39">
        <f t="shared" si="98"/>
        <v>160.84954386379744</v>
      </c>
      <c r="M667">
        <f t="shared" si="99"/>
        <v>460.31337508538434</v>
      </c>
      <c r="N667">
        <f t="shared" si="100"/>
        <v>25914.418745911211</v>
      </c>
      <c r="O667" s="39">
        <f t="shared" si="101"/>
        <v>41457.176147568549</v>
      </c>
      <c r="S667">
        <f t="shared" si="102"/>
        <v>1</v>
      </c>
      <c r="T667">
        <f t="shared" si="103"/>
        <v>1</v>
      </c>
      <c r="U667">
        <f t="shared" si="104"/>
        <v>0</v>
      </c>
      <c r="V667">
        <f t="shared" si="105"/>
        <v>1</v>
      </c>
      <c r="W667">
        <f t="shared" si="106"/>
        <v>1</v>
      </c>
      <c r="Y667" t="str">
        <f t="shared" si="107"/>
        <v/>
      </c>
    </row>
    <row r="668" spans="8:25">
      <c r="H668">
        <v>436</v>
      </c>
      <c r="I668" s="18">
        <v>16</v>
      </c>
      <c r="J668">
        <v>80</v>
      </c>
      <c r="K668">
        <f t="shared" si="97"/>
        <v>400</v>
      </c>
      <c r="L668" s="39">
        <f t="shared" si="98"/>
        <v>160.84954386379744</v>
      </c>
      <c r="M668">
        <f t="shared" si="99"/>
        <v>310.31337508538434</v>
      </c>
      <c r="N668">
        <f t="shared" si="100"/>
        <v>17469.817693061843</v>
      </c>
      <c r="O668" s="39">
        <f t="shared" si="101"/>
        <v>33012.575094719177</v>
      </c>
      <c r="S668">
        <f t="shared" si="102"/>
        <v>1</v>
      </c>
      <c r="T668">
        <f t="shared" si="103"/>
        <v>1</v>
      </c>
      <c r="U668">
        <f t="shared" si="104"/>
        <v>1</v>
      </c>
      <c r="V668">
        <f t="shared" si="105"/>
        <v>0</v>
      </c>
      <c r="W668">
        <f t="shared" si="106"/>
        <v>0</v>
      </c>
      <c r="Y668" t="str">
        <f t="shared" si="107"/>
        <v/>
      </c>
    </row>
    <row r="669" spans="8:25">
      <c r="H669">
        <v>437</v>
      </c>
      <c r="I669" s="18">
        <v>24</v>
      </c>
      <c r="J669">
        <v>36</v>
      </c>
      <c r="K669">
        <f t="shared" si="97"/>
        <v>180</v>
      </c>
      <c r="L669" s="39">
        <f t="shared" si="98"/>
        <v>162.86016316209486</v>
      </c>
      <c r="M669">
        <f t="shared" si="99"/>
        <v>420.31337508538434</v>
      </c>
      <c r="N669">
        <f t="shared" si="100"/>
        <v>23958.306695965766</v>
      </c>
      <c r="O669" s="39">
        <f t="shared" si="101"/>
        <v>39501.064097623101</v>
      </c>
      <c r="S669">
        <f t="shared" si="102"/>
        <v>1</v>
      </c>
      <c r="T669">
        <f t="shared" si="103"/>
        <v>1</v>
      </c>
      <c r="U669">
        <f t="shared" si="104"/>
        <v>1</v>
      </c>
      <c r="V669">
        <f t="shared" si="105"/>
        <v>0</v>
      </c>
      <c r="W669">
        <f t="shared" si="106"/>
        <v>1</v>
      </c>
      <c r="Y669" t="str">
        <f t="shared" si="107"/>
        <v/>
      </c>
    </row>
    <row r="670" spans="8:25">
      <c r="H670">
        <v>438</v>
      </c>
      <c r="I670" s="18">
        <v>36</v>
      </c>
      <c r="J670">
        <v>16</v>
      </c>
      <c r="K670">
        <f t="shared" si="97"/>
        <v>80</v>
      </c>
      <c r="L670" s="39">
        <f t="shared" si="98"/>
        <v>162.86016316209489</v>
      </c>
      <c r="M670">
        <f t="shared" si="99"/>
        <v>470.31337508538434</v>
      </c>
      <c r="N670">
        <f t="shared" si="100"/>
        <v>26808.35955130243</v>
      </c>
      <c r="O670" s="39">
        <f t="shared" si="101"/>
        <v>42351.116952959768</v>
      </c>
      <c r="S670">
        <f t="shared" si="102"/>
        <v>1</v>
      </c>
      <c r="T670">
        <f t="shared" si="103"/>
        <v>1</v>
      </c>
      <c r="U670">
        <f t="shared" si="104"/>
        <v>0</v>
      </c>
      <c r="V670">
        <f t="shared" si="105"/>
        <v>1</v>
      </c>
      <c r="W670">
        <f t="shared" si="106"/>
        <v>1</v>
      </c>
      <c r="Y670" t="str">
        <f t="shared" si="107"/>
        <v/>
      </c>
    </row>
    <row r="671" spans="8:25">
      <c r="H671">
        <v>439</v>
      </c>
      <c r="I671" s="18">
        <v>18</v>
      </c>
      <c r="J671">
        <v>64</v>
      </c>
      <c r="K671">
        <f t="shared" si="97"/>
        <v>320</v>
      </c>
      <c r="L671" s="39">
        <f t="shared" si="98"/>
        <v>162.86016316209489</v>
      </c>
      <c r="M671">
        <f t="shared" si="99"/>
        <v>350.31337508538434</v>
      </c>
      <c r="N671">
        <f t="shared" si="100"/>
        <v>19968.232698494445</v>
      </c>
      <c r="O671" s="39">
        <f t="shared" si="101"/>
        <v>35510.990100151779</v>
      </c>
      <c r="S671">
        <f t="shared" si="102"/>
        <v>1</v>
      </c>
      <c r="T671">
        <f t="shared" si="103"/>
        <v>1</v>
      </c>
      <c r="U671">
        <f t="shared" si="104"/>
        <v>1</v>
      </c>
      <c r="V671">
        <f t="shared" si="105"/>
        <v>0</v>
      </c>
      <c r="W671">
        <f t="shared" si="106"/>
        <v>0</v>
      </c>
      <c r="Y671" t="str">
        <f t="shared" si="107"/>
        <v/>
      </c>
    </row>
    <row r="672" spans="8:25">
      <c r="H672">
        <v>440</v>
      </c>
      <c r="I672" s="18">
        <v>20</v>
      </c>
      <c r="J672">
        <v>52</v>
      </c>
      <c r="K672">
        <f t="shared" si="97"/>
        <v>260</v>
      </c>
      <c r="L672" s="39">
        <f t="shared" si="98"/>
        <v>163.36281798666926</v>
      </c>
      <c r="M672">
        <f t="shared" si="99"/>
        <v>380.31337508538434</v>
      </c>
      <c r="N672">
        <f t="shared" si="100"/>
        <v>21745.17263518933</v>
      </c>
      <c r="O672" s="39">
        <f t="shared" si="101"/>
        <v>37287.930036846665</v>
      </c>
      <c r="S672">
        <f t="shared" si="102"/>
        <v>1</v>
      </c>
      <c r="T672">
        <f t="shared" si="103"/>
        <v>1</v>
      </c>
      <c r="U672">
        <f t="shared" si="104"/>
        <v>1</v>
      </c>
      <c r="V672">
        <f t="shared" si="105"/>
        <v>0</v>
      </c>
      <c r="W672">
        <f t="shared" si="106"/>
        <v>1</v>
      </c>
      <c r="Y672" t="str">
        <f t="shared" si="107"/>
        <v/>
      </c>
    </row>
    <row r="673" spans="8:25">
      <c r="H673">
        <v>441</v>
      </c>
      <c r="I673" s="18">
        <v>34</v>
      </c>
      <c r="J673">
        <v>18</v>
      </c>
      <c r="K673">
        <f t="shared" si="97"/>
        <v>90</v>
      </c>
      <c r="L673" s="39">
        <f t="shared" si="98"/>
        <v>163.42564983974103</v>
      </c>
      <c r="M673">
        <f t="shared" si="99"/>
        <v>465.31337508538434</v>
      </c>
      <c r="N673">
        <f t="shared" si="100"/>
        <v>26615.449245858235</v>
      </c>
      <c r="O673" s="39">
        <f t="shared" si="101"/>
        <v>42158.206647515573</v>
      </c>
      <c r="S673">
        <f t="shared" si="102"/>
        <v>1</v>
      </c>
      <c r="T673">
        <f t="shared" si="103"/>
        <v>1</v>
      </c>
      <c r="U673">
        <f t="shared" si="104"/>
        <v>0</v>
      </c>
      <c r="V673">
        <f t="shared" si="105"/>
        <v>1</v>
      </c>
      <c r="W673">
        <f t="shared" si="106"/>
        <v>1</v>
      </c>
      <c r="Y673" t="str">
        <f t="shared" si="107"/>
        <v/>
      </c>
    </row>
    <row r="674" spans="8:25">
      <c r="H674">
        <v>442</v>
      </c>
      <c r="I674" s="18">
        <v>16</v>
      </c>
      <c r="J674">
        <v>82</v>
      </c>
      <c r="K674">
        <f t="shared" si="97"/>
        <v>410</v>
      </c>
      <c r="L674" s="39">
        <f t="shared" si="98"/>
        <v>164.87078246039235</v>
      </c>
      <c r="M674">
        <f t="shared" si="99"/>
        <v>305.31337508538434</v>
      </c>
      <c r="N674">
        <f t="shared" si="100"/>
        <v>17618.039266082702</v>
      </c>
      <c r="O674" s="39">
        <f t="shared" si="101"/>
        <v>33160.79666774004</v>
      </c>
      <c r="S674">
        <f t="shared" si="102"/>
        <v>1</v>
      </c>
      <c r="T674">
        <f t="shared" si="103"/>
        <v>1</v>
      </c>
      <c r="U674">
        <f t="shared" si="104"/>
        <v>1</v>
      </c>
      <c r="V674">
        <f t="shared" si="105"/>
        <v>0</v>
      </c>
      <c r="W674">
        <f t="shared" si="106"/>
        <v>0</v>
      </c>
      <c r="Y674" t="str">
        <f t="shared" si="107"/>
        <v/>
      </c>
    </row>
    <row r="675" spans="8:25">
      <c r="H675">
        <v>443</v>
      </c>
      <c r="I675" s="18">
        <v>25</v>
      </c>
      <c r="J675">
        <v>34</v>
      </c>
      <c r="K675">
        <f t="shared" si="97"/>
        <v>170</v>
      </c>
      <c r="L675" s="39">
        <f t="shared" si="98"/>
        <v>166.89710972195778</v>
      </c>
      <c r="M675">
        <f t="shared" si="99"/>
        <v>425.31337508538434</v>
      </c>
      <c r="N675">
        <f t="shared" si="100"/>
        <v>24844.250559744552</v>
      </c>
      <c r="O675" s="39">
        <f t="shared" si="101"/>
        <v>40387.00796140189</v>
      </c>
      <c r="S675">
        <f t="shared" si="102"/>
        <v>1</v>
      </c>
      <c r="T675">
        <f t="shared" si="103"/>
        <v>1</v>
      </c>
      <c r="U675">
        <f t="shared" si="104"/>
        <v>1</v>
      </c>
      <c r="V675">
        <f t="shared" si="105"/>
        <v>0</v>
      </c>
      <c r="W675">
        <f t="shared" si="106"/>
        <v>1</v>
      </c>
      <c r="Y675" t="str">
        <f t="shared" si="107"/>
        <v/>
      </c>
    </row>
    <row r="676" spans="8:25">
      <c r="H676">
        <v>444</v>
      </c>
      <c r="I676" s="18">
        <v>22</v>
      </c>
      <c r="J676">
        <v>44</v>
      </c>
      <c r="K676">
        <f t="shared" si="97"/>
        <v>220</v>
      </c>
      <c r="L676" s="39">
        <f t="shared" si="98"/>
        <v>167.2583928771206</v>
      </c>
      <c r="M676">
        <f t="shared" si="99"/>
        <v>400.31337508538434</v>
      </c>
      <c r="N676">
        <f t="shared" si="100"/>
        <v>23434.520117399075</v>
      </c>
      <c r="O676" s="39">
        <f t="shared" si="101"/>
        <v>38977.277519056413</v>
      </c>
      <c r="S676">
        <f t="shared" si="102"/>
        <v>1</v>
      </c>
      <c r="T676">
        <f t="shared" si="103"/>
        <v>1</v>
      </c>
      <c r="U676">
        <f t="shared" si="104"/>
        <v>1</v>
      </c>
      <c r="V676">
        <f t="shared" si="105"/>
        <v>0</v>
      </c>
      <c r="W676">
        <f t="shared" si="106"/>
        <v>1</v>
      </c>
      <c r="Y676" t="str">
        <f t="shared" si="107"/>
        <v/>
      </c>
    </row>
    <row r="677" spans="8:25">
      <c r="H677">
        <v>445</v>
      </c>
      <c r="I677" s="18">
        <v>18</v>
      </c>
      <c r="J677">
        <v>66</v>
      </c>
      <c r="K677">
        <f t="shared" si="97"/>
        <v>330</v>
      </c>
      <c r="L677" s="39">
        <f t="shared" si="98"/>
        <v>167.94954326091036</v>
      </c>
      <c r="M677">
        <f t="shared" si="99"/>
        <v>345.31337508538434</v>
      </c>
      <c r="N677">
        <f t="shared" si="100"/>
        <v>20298.328269615802</v>
      </c>
      <c r="O677" s="39">
        <f t="shared" si="101"/>
        <v>35841.085671273133</v>
      </c>
      <c r="S677">
        <f t="shared" si="102"/>
        <v>1</v>
      </c>
      <c r="T677">
        <f t="shared" si="103"/>
        <v>1</v>
      </c>
      <c r="U677">
        <f t="shared" si="104"/>
        <v>1</v>
      </c>
      <c r="V677">
        <f t="shared" si="105"/>
        <v>0</v>
      </c>
      <c r="W677">
        <f t="shared" si="106"/>
        <v>0</v>
      </c>
      <c r="Y677" t="str">
        <f t="shared" si="107"/>
        <v/>
      </c>
    </row>
    <row r="678" spans="8:25">
      <c r="H678">
        <v>446</v>
      </c>
      <c r="I678" s="18">
        <v>16</v>
      </c>
      <c r="J678">
        <v>84</v>
      </c>
      <c r="K678">
        <f t="shared" si="97"/>
        <v>420</v>
      </c>
      <c r="L678" s="39">
        <f t="shared" si="98"/>
        <v>168.89202105698732</v>
      </c>
      <c r="M678">
        <f t="shared" si="99"/>
        <v>300.31337508538434</v>
      </c>
      <c r="N678">
        <f t="shared" si="100"/>
        <v>17752.186504015481</v>
      </c>
      <c r="O678" s="39">
        <f t="shared" si="101"/>
        <v>33294.943905672815</v>
      </c>
      <c r="S678">
        <f t="shared" si="102"/>
        <v>1</v>
      </c>
      <c r="T678">
        <f t="shared" si="103"/>
        <v>1</v>
      </c>
      <c r="U678">
        <f t="shared" si="104"/>
        <v>1</v>
      </c>
      <c r="V678">
        <f t="shared" si="105"/>
        <v>0</v>
      </c>
      <c r="W678">
        <f t="shared" si="106"/>
        <v>0</v>
      </c>
      <c r="Y678" t="str">
        <f t="shared" si="107"/>
        <v/>
      </c>
    </row>
    <row r="679" spans="8:25">
      <c r="H679">
        <v>447</v>
      </c>
      <c r="I679" s="18">
        <v>30</v>
      </c>
      <c r="J679">
        <v>24</v>
      </c>
      <c r="K679">
        <f t="shared" si="97"/>
        <v>120</v>
      </c>
      <c r="L679" s="39">
        <f t="shared" si="98"/>
        <v>169.64600329384882</v>
      </c>
      <c r="M679">
        <f t="shared" si="99"/>
        <v>450.31337508538434</v>
      </c>
      <c r="N679">
        <f t="shared" si="100"/>
        <v>26737.852509549753</v>
      </c>
      <c r="O679" s="39">
        <f t="shared" si="101"/>
        <v>42280.609911207088</v>
      </c>
      <c r="S679">
        <f t="shared" si="102"/>
        <v>1</v>
      </c>
      <c r="T679">
        <f t="shared" si="103"/>
        <v>1</v>
      </c>
      <c r="U679">
        <f t="shared" si="104"/>
        <v>0</v>
      </c>
      <c r="V679">
        <f t="shared" si="105"/>
        <v>0</v>
      </c>
      <c r="W679">
        <f t="shared" si="106"/>
        <v>1</v>
      </c>
      <c r="Y679" t="str">
        <f t="shared" si="107"/>
        <v/>
      </c>
    </row>
    <row r="680" spans="8:25">
      <c r="H680">
        <v>448</v>
      </c>
      <c r="I680" s="18">
        <v>20</v>
      </c>
      <c r="J680">
        <v>54</v>
      </c>
      <c r="K680">
        <f t="shared" si="97"/>
        <v>270</v>
      </c>
      <c r="L680" s="39">
        <f t="shared" si="98"/>
        <v>169.64600329384882</v>
      </c>
      <c r="M680">
        <f t="shared" si="99"/>
        <v>375.31337508538434</v>
      </c>
      <c r="N680">
        <f t="shared" si="100"/>
        <v>22284.64492308622</v>
      </c>
      <c r="O680" s="39">
        <f t="shared" si="101"/>
        <v>37827.402324743554</v>
      </c>
      <c r="S680">
        <f t="shared" si="102"/>
        <v>1</v>
      </c>
      <c r="T680">
        <f t="shared" si="103"/>
        <v>1</v>
      </c>
      <c r="U680">
        <f t="shared" si="104"/>
        <v>1</v>
      </c>
      <c r="V680">
        <f t="shared" si="105"/>
        <v>0</v>
      </c>
      <c r="W680">
        <f t="shared" si="106"/>
        <v>1</v>
      </c>
      <c r="Y680" t="str">
        <f t="shared" si="107"/>
        <v/>
      </c>
    </row>
    <row r="681" spans="8:25">
      <c r="H681">
        <v>449</v>
      </c>
      <c r="I681" s="18">
        <v>26</v>
      </c>
      <c r="J681">
        <v>32</v>
      </c>
      <c r="K681">
        <f t="shared" ref="K681:K744" si="108">$F$230+$F$231*(J681-2)/2</f>
        <v>160</v>
      </c>
      <c r="L681" s="39">
        <f t="shared" ref="L681:L744" si="109">J681*0.25*PI()*(I681/10)^2</f>
        <v>169.89733070613602</v>
      </c>
      <c r="M681">
        <f t="shared" ref="M681:M744" si="110">$F$233-(K681+$F$232)/2</f>
        <v>430.31337508538434</v>
      </c>
      <c r="N681">
        <f t="shared" ref="N681:N744" si="111">L681*$F$235*M681*0.001</f>
        <v>25588.182827954286</v>
      </c>
      <c r="O681" s="39">
        <f t="shared" ref="O681:O744" si="112">N681+$F$237</f>
        <v>41130.940229611617</v>
      </c>
      <c r="S681">
        <f t="shared" ref="S681:S744" si="113">IF(L681&lt;$F$236,1,0)</f>
        <v>1</v>
      </c>
      <c r="T681">
        <f t="shared" ref="T681:T744" si="114">IF(O681&gt;$F$234,1,0)</f>
        <v>1</v>
      </c>
      <c r="U681">
        <f t="shared" ref="U681:U744" si="115">IF(I681&lt;=$F$238,1,0)</f>
        <v>0</v>
      </c>
      <c r="V681">
        <f t="shared" ref="V681:V744" si="116">IF(J681&lt;=$F$239,1,0)</f>
        <v>0</v>
      </c>
      <c r="W681">
        <f t="shared" ref="W681:W744" si="117">IF(K681&lt;=$F$240,1,0)</f>
        <v>1</v>
      </c>
      <c r="Y681" t="str">
        <f t="shared" ref="Y681:Y744" si="118">IF(SUM(S681:W681)=5,H681,"")</f>
        <v/>
      </c>
    </row>
    <row r="682" spans="8:25">
      <c r="H682">
        <v>450</v>
      </c>
      <c r="I682" s="18">
        <v>24</v>
      </c>
      <c r="J682">
        <v>38</v>
      </c>
      <c r="K682">
        <f t="shared" si="108"/>
        <v>190</v>
      </c>
      <c r="L682" s="39">
        <f t="shared" si="109"/>
        <v>171.90795000443347</v>
      </c>
      <c r="M682">
        <f t="shared" si="110"/>
        <v>415.31337508538434</v>
      </c>
      <c r="N682">
        <f t="shared" si="111"/>
        <v>24988.484822122773</v>
      </c>
      <c r="O682" s="39">
        <f t="shared" si="112"/>
        <v>40531.242223780107</v>
      </c>
      <c r="S682">
        <f t="shared" si="113"/>
        <v>1</v>
      </c>
      <c r="T682">
        <f t="shared" si="114"/>
        <v>1</v>
      </c>
      <c r="U682">
        <f t="shared" si="115"/>
        <v>1</v>
      </c>
      <c r="V682">
        <f t="shared" si="116"/>
        <v>0</v>
      </c>
      <c r="W682">
        <f t="shared" si="117"/>
        <v>1</v>
      </c>
      <c r="Y682" t="str">
        <f t="shared" si="118"/>
        <v/>
      </c>
    </row>
    <row r="683" spans="8:25">
      <c r="H683">
        <v>451</v>
      </c>
      <c r="I683" s="18">
        <v>28</v>
      </c>
      <c r="J683">
        <v>28</v>
      </c>
      <c r="K683">
        <f t="shared" si="108"/>
        <v>140</v>
      </c>
      <c r="L683" s="39">
        <f t="shared" si="109"/>
        <v>172.41060482900784</v>
      </c>
      <c r="M683">
        <f t="shared" si="110"/>
        <v>440.31337508538434</v>
      </c>
      <c r="N683">
        <f t="shared" si="111"/>
        <v>26570.143359470516</v>
      </c>
      <c r="O683" s="39">
        <f t="shared" si="112"/>
        <v>42112.90076112785</v>
      </c>
      <c r="S683">
        <f t="shared" si="113"/>
        <v>1</v>
      </c>
      <c r="T683">
        <f t="shared" si="114"/>
        <v>1</v>
      </c>
      <c r="U683">
        <f t="shared" si="115"/>
        <v>0</v>
      </c>
      <c r="V683">
        <f t="shared" si="116"/>
        <v>0</v>
      </c>
      <c r="W683">
        <f t="shared" si="117"/>
        <v>1</v>
      </c>
      <c r="Y683" t="str">
        <f t="shared" si="118"/>
        <v/>
      </c>
    </row>
    <row r="684" spans="8:25">
      <c r="H684">
        <v>452</v>
      </c>
      <c r="I684" s="18">
        <v>16</v>
      </c>
      <c r="J684">
        <v>86</v>
      </c>
      <c r="K684">
        <f t="shared" si="108"/>
        <v>430</v>
      </c>
      <c r="L684" s="39">
        <f t="shared" si="109"/>
        <v>172.91325965358223</v>
      </c>
      <c r="M684">
        <f t="shared" si="110"/>
        <v>295.31337508538434</v>
      </c>
      <c r="N684">
        <f t="shared" si="111"/>
        <v>17872.259406860172</v>
      </c>
      <c r="O684" s="39">
        <f t="shared" si="112"/>
        <v>33415.01680851751</v>
      </c>
      <c r="S684">
        <f t="shared" si="113"/>
        <v>1</v>
      </c>
      <c r="T684">
        <f t="shared" si="114"/>
        <v>1</v>
      </c>
      <c r="U684">
        <f t="shared" si="115"/>
        <v>1</v>
      </c>
      <c r="V684">
        <f t="shared" si="116"/>
        <v>0</v>
      </c>
      <c r="W684">
        <f t="shared" si="117"/>
        <v>0</v>
      </c>
      <c r="Y684" t="str">
        <f t="shared" si="118"/>
        <v/>
      </c>
    </row>
    <row r="685" spans="8:25">
      <c r="H685">
        <v>453</v>
      </c>
      <c r="I685" s="18">
        <v>18</v>
      </c>
      <c r="J685">
        <v>68</v>
      </c>
      <c r="K685">
        <f t="shared" si="108"/>
        <v>340</v>
      </c>
      <c r="L685" s="39">
        <f t="shared" si="109"/>
        <v>173.03892335972583</v>
      </c>
      <c r="M685">
        <f t="shared" si="110"/>
        <v>340.31337508538434</v>
      </c>
      <c r="N685">
        <f t="shared" si="111"/>
        <v>20610.611010391305</v>
      </c>
      <c r="O685" s="39">
        <f t="shared" si="112"/>
        <v>36153.368412048643</v>
      </c>
      <c r="S685">
        <f t="shared" si="113"/>
        <v>1</v>
      </c>
      <c r="T685">
        <f t="shared" si="114"/>
        <v>1</v>
      </c>
      <c r="U685">
        <f t="shared" si="115"/>
        <v>1</v>
      </c>
      <c r="V685">
        <f t="shared" si="116"/>
        <v>0</v>
      </c>
      <c r="W685">
        <f t="shared" si="117"/>
        <v>0</v>
      </c>
      <c r="Y685" t="str">
        <f t="shared" si="118"/>
        <v/>
      </c>
    </row>
    <row r="686" spans="8:25">
      <c r="H686">
        <v>454</v>
      </c>
      <c r="I686" s="18">
        <v>22</v>
      </c>
      <c r="J686">
        <v>46</v>
      </c>
      <c r="K686">
        <f t="shared" si="108"/>
        <v>230</v>
      </c>
      <c r="L686" s="39">
        <f t="shared" si="109"/>
        <v>174.86104709880792</v>
      </c>
      <c r="M686">
        <f t="shared" si="110"/>
        <v>395.31337508538434</v>
      </c>
      <c r="N686">
        <f t="shared" si="111"/>
        <v>24193.718744857943</v>
      </c>
      <c r="O686" s="39">
        <f t="shared" si="112"/>
        <v>39736.476146515277</v>
      </c>
      <c r="S686">
        <f t="shared" si="113"/>
        <v>1</v>
      </c>
      <c r="T686">
        <f t="shared" si="114"/>
        <v>1</v>
      </c>
      <c r="U686">
        <f t="shared" si="115"/>
        <v>1</v>
      </c>
      <c r="V686">
        <f t="shared" si="116"/>
        <v>0</v>
      </c>
      <c r="W686">
        <f t="shared" si="117"/>
        <v>1</v>
      </c>
      <c r="Y686" t="str">
        <f t="shared" si="118"/>
        <v/>
      </c>
    </row>
    <row r="687" spans="8:25">
      <c r="H687">
        <v>455</v>
      </c>
      <c r="I687" s="18">
        <v>40</v>
      </c>
      <c r="J687">
        <v>14</v>
      </c>
      <c r="K687">
        <f t="shared" si="108"/>
        <v>70</v>
      </c>
      <c r="L687" s="39">
        <f t="shared" si="109"/>
        <v>175.92918860102841</v>
      </c>
      <c r="M687">
        <f t="shared" si="110"/>
        <v>475.31337508538434</v>
      </c>
      <c r="N687">
        <f t="shared" si="111"/>
        <v>29267.523743495782</v>
      </c>
      <c r="O687" s="39">
        <f t="shared" si="112"/>
        <v>44810.281145153116</v>
      </c>
      <c r="S687">
        <f t="shared" si="113"/>
        <v>1</v>
      </c>
      <c r="T687">
        <f t="shared" si="114"/>
        <v>1</v>
      </c>
      <c r="U687">
        <f t="shared" si="115"/>
        <v>0</v>
      </c>
      <c r="V687">
        <f t="shared" si="116"/>
        <v>1</v>
      </c>
      <c r="W687">
        <f t="shared" si="117"/>
        <v>1</v>
      </c>
      <c r="Y687" t="str">
        <f t="shared" si="118"/>
        <v/>
      </c>
    </row>
    <row r="688" spans="8:25">
      <c r="H688">
        <v>456</v>
      </c>
      <c r="I688" s="18">
        <v>20</v>
      </c>
      <c r="J688">
        <v>56</v>
      </c>
      <c r="K688">
        <f t="shared" si="108"/>
        <v>280</v>
      </c>
      <c r="L688" s="39">
        <f t="shared" si="109"/>
        <v>175.92918860102841</v>
      </c>
      <c r="M688">
        <f t="shared" si="110"/>
        <v>370.31337508538434</v>
      </c>
      <c r="N688">
        <f t="shared" si="111"/>
        <v>22802.126062407984</v>
      </c>
      <c r="O688" s="39">
        <f t="shared" si="112"/>
        <v>38344.883464065322</v>
      </c>
      <c r="S688">
        <f t="shared" si="113"/>
        <v>1</v>
      </c>
      <c r="T688">
        <f t="shared" si="114"/>
        <v>1</v>
      </c>
      <c r="U688">
        <f t="shared" si="115"/>
        <v>1</v>
      </c>
      <c r="V688">
        <f t="shared" si="116"/>
        <v>0</v>
      </c>
      <c r="W688">
        <f t="shared" si="117"/>
        <v>1</v>
      </c>
      <c r="Y688" t="str">
        <f t="shared" si="118"/>
        <v/>
      </c>
    </row>
    <row r="689" spans="8:25">
      <c r="H689">
        <v>457</v>
      </c>
      <c r="I689" s="18">
        <v>25</v>
      </c>
      <c r="J689">
        <v>36</v>
      </c>
      <c r="K689">
        <f t="shared" si="108"/>
        <v>180</v>
      </c>
      <c r="L689" s="39">
        <f t="shared" si="109"/>
        <v>176.71458676442586</v>
      </c>
      <c r="M689">
        <f t="shared" si="110"/>
        <v>420.31337508538434</v>
      </c>
      <c r="N689">
        <f t="shared" si="111"/>
        <v>25996.426536421186</v>
      </c>
      <c r="O689" s="39">
        <f t="shared" si="112"/>
        <v>41539.183938078524</v>
      </c>
      <c r="S689">
        <f t="shared" si="113"/>
        <v>1</v>
      </c>
      <c r="T689">
        <f t="shared" si="114"/>
        <v>1</v>
      </c>
      <c r="U689">
        <f t="shared" si="115"/>
        <v>1</v>
      </c>
      <c r="V689">
        <f t="shared" si="116"/>
        <v>0</v>
      </c>
      <c r="W689">
        <f t="shared" si="117"/>
        <v>1</v>
      </c>
      <c r="Y689" t="str">
        <f t="shared" si="118"/>
        <v/>
      </c>
    </row>
    <row r="690" spans="8:25">
      <c r="H690">
        <v>458</v>
      </c>
      <c r="I690" s="18">
        <v>32</v>
      </c>
      <c r="J690">
        <v>22</v>
      </c>
      <c r="K690">
        <f t="shared" si="108"/>
        <v>110</v>
      </c>
      <c r="L690" s="39">
        <f t="shared" si="109"/>
        <v>176.93449825017717</v>
      </c>
      <c r="M690">
        <f t="shared" si="110"/>
        <v>455.31337508538434</v>
      </c>
      <c r="N690">
        <f t="shared" si="111"/>
        <v>28196.225248564519</v>
      </c>
      <c r="O690" s="39">
        <f t="shared" si="112"/>
        <v>43738.982650221849</v>
      </c>
      <c r="S690">
        <f t="shared" si="113"/>
        <v>1</v>
      </c>
      <c r="T690">
        <f t="shared" si="114"/>
        <v>1</v>
      </c>
      <c r="U690">
        <f t="shared" si="115"/>
        <v>0</v>
      </c>
      <c r="V690">
        <f t="shared" si="116"/>
        <v>0</v>
      </c>
      <c r="W690">
        <f t="shared" si="117"/>
        <v>1</v>
      </c>
      <c r="Y690" t="str">
        <f t="shared" si="118"/>
        <v/>
      </c>
    </row>
    <row r="691" spans="8:25">
      <c r="H691">
        <v>459</v>
      </c>
      <c r="I691" s="18">
        <v>16</v>
      </c>
      <c r="J691">
        <v>88</v>
      </c>
      <c r="K691">
        <f t="shared" si="108"/>
        <v>440</v>
      </c>
      <c r="L691" s="39">
        <f t="shared" si="109"/>
        <v>176.93449825017717</v>
      </c>
      <c r="M691">
        <f t="shared" si="110"/>
        <v>290.31337508538434</v>
      </c>
      <c r="N691">
        <f t="shared" si="111"/>
        <v>17978.25797461679</v>
      </c>
      <c r="O691" s="39">
        <f t="shared" si="112"/>
        <v>33521.015376274125</v>
      </c>
      <c r="S691">
        <f t="shared" si="113"/>
        <v>1</v>
      </c>
      <c r="T691">
        <f t="shared" si="114"/>
        <v>1</v>
      </c>
      <c r="U691">
        <f t="shared" si="115"/>
        <v>1</v>
      </c>
      <c r="V691">
        <f t="shared" si="116"/>
        <v>0</v>
      </c>
      <c r="W691">
        <f t="shared" si="117"/>
        <v>0</v>
      </c>
      <c r="Y691" t="str">
        <f t="shared" si="118"/>
        <v/>
      </c>
    </row>
    <row r="692" spans="8:25">
      <c r="H692">
        <v>460</v>
      </c>
      <c r="I692" s="18">
        <v>18</v>
      </c>
      <c r="J692">
        <v>70</v>
      </c>
      <c r="K692">
        <f t="shared" si="108"/>
        <v>350</v>
      </c>
      <c r="L692" s="39">
        <f t="shared" si="109"/>
        <v>178.12830345854127</v>
      </c>
      <c r="M692">
        <f t="shared" si="110"/>
        <v>335.31337508538434</v>
      </c>
      <c r="N692">
        <f t="shared" si="111"/>
        <v>20905.08092082095</v>
      </c>
      <c r="O692" s="39">
        <f t="shared" si="112"/>
        <v>36447.838322478288</v>
      </c>
      <c r="S692">
        <f t="shared" si="113"/>
        <v>1</v>
      </c>
      <c r="T692">
        <f t="shared" si="114"/>
        <v>1</v>
      </c>
      <c r="U692">
        <f t="shared" si="115"/>
        <v>1</v>
      </c>
      <c r="V692">
        <f t="shared" si="116"/>
        <v>0</v>
      </c>
      <c r="W692">
        <f t="shared" si="117"/>
        <v>0</v>
      </c>
      <c r="Y692" t="str">
        <f t="shared" si="118"/>
        <v/>
      </c>
    </row>
    <row r="693" spans="8:25">
      <c r="H693">
        <v>461</v>
      </c>
      <c r="I693" s="18">
        <v>26</v>
      </c>
      <c r="J693">
        <v>34</v>
      </c>
      <c r="K693">
        <f t="shared" si="108"/>
        <v>170</v>
      </c>
      <c r="L693" s="39">
        <f t="shared" si="109"/>
        <v>180.51591387526955</v>
      </c>
      <c r="M693">
        <f t="shared" si="110"/>
        <v>425.31337508538434</v>
      </c>
      <c r="N693">
        <f t="shared" si="111"/>
        <v>26871.541405419706</v>
      </c>
      <c r="O693" s="39">
        <f t="shared" si="112"/>
        <v>42414.298807077037</v>
      </c>
      <c r="S693">
        <f t="shared" si="113"/>
        <v>1</v>
      </c>
      <c r="T693">
        <f t="shared" si="114"/>
        <v>1</v>
      </c>
      <c r="U693">
        <f t="shared" si="115"/>
        <v>0</v>
      </c>
      <c r="V693">
        <f t="shared" si="116"/>
        <v>0</v>
      </c>
      <c r="W693">
        <f t="shared" si="117"/>
        <v>1</v>
      </c>
      <c r="Y693" t="str">
        <f t="shared" si="118"/>
        <v/>
      </c>
    </row>
    <row r="694" spans="8:25">
      <c r="H694">
        <v>462</v>
      </c>
      <c r="I694" s="18">
        <v>24</v>
      </c>
      <c r="J694">
        <v>40</v>
      </c>
      <c r="K694">
        <f t="shared" si="108"/>
        <v>200</v>
      </c>
      <c r="L694" s="39">
        <f t="shared" si="109"/>
        <v>180.95573684677208</v>
      </c>
      <c r="M694">
        <f t="shared" si="110"/>
        <v>410.31337508538434</v>
      </c>
      <c r="N694">
        <f t="shared" si="111"/>
        <v>25986.995694331596</v>
      </c>
      <c r="O694" s="39">
        <f t="shared" si="112"/>
        <v>41529.753095988926</v>
      </c>
      <c r="S694">
        <f t="shared" si="113"/>
        <v>1</v>
      </c>
      <c r="T694">
        <f t="shared" si="114"/>
        <v>1</v>
      </c>
      <c r="U694">
        <f t="shared" si="115"/>
        <v>1</v>
      </c>
      <c r="V694">
        <f t="shared" si="116"/>
        <v>0</v>
      </c>
      <c r="W694">
        <f t="shared" si="117"/>
        <v>1</v>
      </c>
      <c r="Y694" t="str">
        <f t="shared" si="118"/>
        <v/>
      </c>
    </row>
    <row r="695" spans="8:25">
      <c r="H695">
        <v>463</v>
      </c>
      <c r="I695" s="18">
        <v>16</v>
      </c>
      <c r="J695">
        <v>90</v>
      </c>
      <c r="K695">
        <f t="shared" si="108"/>
        <v>450</v>
      </c>
      <c r="L695" s="39">
        <f t="shared" si="109"/>
        <v>180.95573684677211</v>
      </c>
      <c r="M695">
        <f t="shared" si="110"/>
        <v>285.31337508538434</v>
      </c>
      <c r="N695">
        <f t="shared" si="111"/>
        <v>18070.182207285317</v>
      </c>
      <c r="O695" s="39">
        <f t="shared" si="112"/>
        <v>33612.939608942652</v>
      </c>
      <c r="S695">
        <f t="shared" si="113"/>
        <v>1</v>
      </c>
      <c r="T695">
        <f t="shared" si="114"/>
        <v>1</v>
      </c>
      <c r="U695">
        <f t="shared" si="115"/>
        <v>1</v>
      </c>
      <c r="V695">
        <f t="shared" si="116"/>
        <v>0</v>
      </c>
      <c r="W695">
        <f t="shared" si="117"/>
        <v>0</v>
      </c>
      <c r="Y695" t="str">
        <f t="shared" si="118"/>
        <v/>
      </c>
    </row>
    <row r="696" spans="8:25">
      <c r="H696">
        <v>464</v>
      </c>
      <c r="I696" s="18">
        <v>38</v>
      </c>
      <c r="J696">
        <v>16</v>
      </c>
      <c r="K696">
        <f t="shared" si="108"/>
        <v>80</v>
      </c>
      <c r="L696" s="39">
        <f t="shared" si="109"/>
        <v>181.45839167134645</v>
      </c>
      <c r="M696">
        <f t="shared" si="110"/>
        <v>470.31337508538434</v>
      </c>
      <c r="N696">
        <f t="shared" si="111"/>
        <v>29869.808018580792</v>
      </c>
      <c r="O696" s="39">
        <f t="shared" si="112"/>
        <v>45412.565420238127</v>
      </c>
      <c r="S696">
        <f t="shared" si="113"/>
        <v>1</v>
      </c>
      <c r="T696">
        <f t="shared" si="114"/>
        <v>1</v>
      </c>
      <c r="U696">
        <f t="shared" si="115"/>
        <v>0</v>
      </c>
      <c r="V696">
        <f t="shared" si="116"/>
        <v>1</v>
      </c>
      <c r="W696">
        <f t="shared" si="117"/>
        <v>1</v>
      </c>
      <c r="Y696" t="str">
        <f t="shared" si="118"/>
        <v/>
      </c>
    </row>
    <row r="697" spans="8:25">
      <c r="H697">
        <v>465</v>
      </c>
      <c r="I697" s="18">
        <v>34</v>
      </c>
      <c r="J697">
        <v>20</v>
      </c>
      <c r="K697">
        <f t="shared" si="108"/>
        <v>100</v>
      </c>
      <c r="L697" s="39">
        <f t="shared" si="109"/>
        <v>181.58405537749002</v>
      </c>
      <c r="M697">
        <f t="shared" si="110"/>
        <v>460.31337508538434</v>
      </c>
      <c r="N697">
        <f t="shared" si="111"/>
        <v>29254.949287376319</v>
      </c>
      <c r="O697" s="39">
        <f t="shared" si="112"/>
        <v>44797.706689033657</v>
      </c>
      <c r="S697">
        <f t="shared" si="113"/>
        <v>1</v>
      </c>
      <c r="T697">
        <f t="shared" si="114"/>
        <v>1</v>
      </c>
      <c r="U697">
        <f t="shared" si="115"/>
        <v>0</v>
      </c>
      <c r="V697">
        <f t="shared" si="116"/>
        <v>1</v>
      </c>
      <c r="W697">
        <f t="shared" si="117"/>
        <v>1</v>
      </c>
      <c r="Y697" t="str">
        <f t="shared" si="118"/>
        <v/>
      </c>
    </row>
    <row r="698" spans="8:25">
      <c r="H698">
        <v>466</v>
      </c>
      <c r="I698" s="18">
        <v>20</v>
      </c>
      <c r="J698">
        <v>58</v>
      </c>
      <c r="K698">
        <f t="shared" si="108"/>
        <v>290</v>
      </c>
      <c r="L698" s="39">
        <f t="shared" si="109"/>
        <v>182.21237390820801</v>
      </c>
      <c r="M698">
        <f t="shared" si="110"/>
        <v>365.31337508538434</v>
      </c>
      <c r="N698">
        <f t="shared" si="111"/>
        <v>23297.616053154623</v>
      </c>
      <c r="O698" s="39">
        <f t="shared" si="112"/>
        <v>38840.373454811954</v>
      </c>
      <c r="S698">
        <f t="shared" si="113"/>
        <v>1</v>
      </c>
      <c r="T698">
        <f t="shared" si="114"/>
        <v>1</v>
      </c>
      <c r="U698">
        <f t="shared" si="115"/>
        <v>1</v>
      </c>
      <c r="V698">
        <f t="shared" si="116"/>
        <v>0</v>
      </c>
      <c r="W698">
        <f t="shared" si="117"/>
        <v>1</v>
      </c>
      <c r="Y698" t="str">
        <f t="shared" si="118"/>
        <v/>
      </c>
    </row>
    <row r="699" spans="8:25">
      <c r="H699">
        <v>467</v>
      </c>
      <c r="I699" s="18">
        <v>22</v>
      </c>
      <c r="J699">
        <v>48</v>
      </c>
      <c r="K699">
        <f t="shared" si="108"/>
        <v>240</v>
      </c>
      <c r="L699" s="39">
        <f t="shared" si="109"/>
        <v>182.4637013204952</v>
      </c>
      <c r="M699">
        <f t="shared" si="110"/>
        <v>390.31337508538434</v>
      </c>
      <c r="N699">
        <f t="shared" si="111"/>
        <v>24926.308082540898</v>
      </c>
      <c r="O699" s="39">
        <f t="shared" si="112"/>
        <v>40469.065484198232</v>
      </c>
      <c r="S699">
        <f t="shared" si="113"/>
        <v>1</v>
      </c>
      <c r="T699">
        <f t="shared" si="114"/>
        <v>1</v>
      </c>
      <c r="U699">
        <f t="shared" si="115"/>
        <v>1</v>
      </c>
      <c r="V699">
        <f t="shared" si="116"/>
        <v>0</v>
      </c>
      <c r="W699">
        <f t="shared" si="117"/>
        <v>1</v>
      </c>
      <c r="Y699" t="str">
        <f t="shared" si="118"/>
        <v/>
      </c>
    </row>
    <row r="700" spans="8:25">
      <c r="H700">
        <v>468</v>
      </c>
      <c r="I700" s="18">
        <v>36</v>
      </c>
      <c r="J700">
        <v>18</v>
      </c>
      <c r="K700">
        <f t="shared" si="108"/>
        <v>90</v>
      </c>
      <c r="L700" s="39">
        <f t="shared" si="109"/>
        <v>183.21768355735674</v>
      </c>
      <c r="M700">
        <f t="shared" si="110"/>
        <v>465.31337508538434</v>
      </c>
      <c r="N700">
        <f t="shared" si="111"/>
        <v>29838.773548989855</v>
      </c>
      <c r="O700" s="39">
        <f t="shared" si="112"/>
        <v>45381.530950647189</v>
      </c>
      <c r="S700">
        <f t="shared" si="113"/>
        <v>1</v>
      </c>
      <c r="T700">
        <f t="shared" si="114"/>
        <v>1</v>
      </c>
      <c r="U700">
        <f t="shared" si="115"/>
        <v>0</v>
      </c>
      <c r="V700">
        <f t="shared" si="116"/>
        <v>1</v>
      </c>
      <c r="W700">
        <f t="shared" si="117"/>
        <v>1</v>
      </c>
      <c r="Y700" t="str">
        <f t="shared" si="118"/>
        <v/>
      </c>
    </row>
    <row r="701" spans="8:25">
      <c r="H701">
        <v>469</v>
      </c>
      <c r="I701" s="18">
        <v>18</v>
      </c>
      <c r="J701">
        <v>72</v>
      </c>
      <c r="K701">
        <f t="shared" si="108"/>
        <v>360</v>
      </c>
      <c r="L701" s="39">
        <f t="shared" si="109"/>
        <v>183.21768355735674</v>
      </c>
      <c r="M701">
        <f t="shared" si="110"/>
        <v>330.31337508538434</v>
      </c>
      <c r="N701">
        <f t="shared" si="111"/>
        <v>21181.738000904752</v>
      </c>
      <c r="O701" s="39">
        <f t="shared" si="112"/>
        <v>36724.495402562083</v>
      </c>
      <c r="S701">
        <f t="shared" si="113"/>
        <v>1</v>
      </c>
      <c r="T701">
        <f t="shared" si="114"/>
        <v>1</v>
      </c>
      <c r="U701">
        <f t="shared" si="115"/>
        <v>1</v>
      </c>
      <c r="V701">
        <f t="shared" si="116"/>
        <v>0</v>
      </c>
      <c r="W701">
        <f t="shared" si="117"/>
        <v>0</v>
      </c>
      <c r="Y701" t="str">
        <f t="shared" si="118"/>
        <v/>
      </c>
    </row>
    <row r="702" spans="8:25">
      <c r="H702">
        <v>470</v>
      </c>
      <c r="I702" s="18">
        <v>30</v>
      </c>
      <c r="J702">
        <v>26</v>
      </c>
      <c r="K702">
        <f t="shared" si="108"/>
        <v>130</v>
      </c>
      <c r="L702" s="39">
        <f t="shared" si="109"/>
        <v>183.7831702350029</v>
      </c>
      <c r="M702">
        <f t="shared" si="110"/>
        <v>445.31337508538434</v>
      </c>
      <c r="N702">
        <f t="shared" si="111"/>
        <v>28644.386337434313</v>
      </c>
      <c r="O702" s="39">
        <f t="shared" si="112"/>
        <v>44187.143739091647</v>
      </c>
      <c r="S702">
        <f t="shared" si="113"/>
        <v>1</v>
      </c>
      <c r="T702">
        <f t="shared" si="114"/>
        <v>1</v>
      </c>
      <c r="U702">
        <f t="shared" si="115"/>
        <v>0</v>
      </c>
      <c r="V702">
        <f t="shared" si="116"/>
        <v>0</v>
      </c>
      <c r="W702">
        <f t="shared" si="117"/>
        <v>1</v>
      </c>
      <c r="Y702" t="str">
        <f t="shared" si="118"/>
        <v/>
      </c>
    </row>
    <row r="703" spans="8:25">
      <c r="H703">
        <v>471</v>
      </c>
      <c r="I703" s="18">
        <v>28</v>
      </c>
      <c r="J703">
        <v>30</v>
      </c>
      <c r="K703">
        <f t="shared" si="108"/>
        <v>150</v>
      </c>
      <c r="L703" s="39">
        <f t="shared" si="109"/>
        <v>184.7256480310798</v>
      </c>
      <c r="M703">
        <f t="shared" si="110"/>
        <v>435.31337508538434</v>
      </c>
      <c r="N703">
        <f t="shared" si="111"/>
        <v>28144.740858235444</v>
      </c>
      <c r="O703" s="39">
        <f t="shared" si="112"/>
        <v>43687.498259892775</v>
      </c>
      <c r="S703">
        <f t="shared" si="113"/>
        <v>1</v>
      </c>
      <c r="T703">
        <f t="shared" si="114"/>
        <v>1</v>
      </c>
      <c r="U703">
        <f t="shared" si="115"/>
        <v>0</v>
      </c>
      <c r="V703">
        <f t="shared" si="116"/>
        <v>0</v>
      </c>
      <c r="W703">
        <f t="shared" si="117"/>
        <v>1</v>
      </c>
      <c r="Y703" t="str">
        <f t="shared" si="118"/>
        <v/>
      </c>
    </row>
    <row r="704" spans="8:25">
      <c r="H704">
        <v>472</v>
      </c>
      <c r="I704" s="18">
        <v>16</v>
      </c>
      <c r="J704">
        <v>92</v>
      </c>
      <c r="K704">
        <f t="shared" si="108"/>
        <v>460</v>
      </c>
      <c r="L704" s="39">
        <f t="shared" si="109"/>
        <v>184.97697544336705</v>
      </c>
      <c r="M704">
        <f t="shared" si="110"/>
        <v>280.31337508538434</v>
      </c>
      <c r="N704">
        <f t="shared" si="111"/>
        <v>18148.032104865768</v>
      </c>
      <c r="O704" s="39">
        <f t="shared" si="112"/>
        <v>33690.789506523099</v>
      </c>
      <c r="S704">
        <f t="shared" si="113"/>
        <v>1</v>
      </c>
      <c r="T704">
        <f t="shared" si="114"/>
        <v>1</v>
      </c>
      <c r="U704">
        <f t="shared" si="115"/>
        <v>1</v>
      </c>
      <c r="V704">
        <f t="shared" si="116"/>
        <v>0</v>
      </c>
      <c r="W704">
        <f t="shared" si="117"/>
        <v>0</v>
      </c>
      <c r="Y704" t="str">
        <f t="shared" si="118"/>
        <v/>
      </c>
    </row>
    <row r="705" spans="8:25">
      <c r="H705">
        <v>473</v>
      </c>
      <c r="I705" s="18">
        <v>25</v>
      </c>
      <c r="J705">
        <v>38</v>
      </c>
      <c r="K705">
        <f t="shared" si="108"/>
        <v>190</v>
      </c>
      <c r="L705" s="39">
        <f t="shared" si="109"/>
        <v>186.53206380689394</v>
      </c>
      <c r="M705">
        <f t="shared" si="110"/>
        <v>415.31337508538434</v>
      </c>
      <c r="N705">
        <f t="shared" si="111"/>
        <v>27114.241343449186</v>
      </c>
      <c r="O705" s="39">
        <f t="shared" si="112"/>
        <v>42656.998745106524</v>
      </c>
      <c r="S705">
        <f t="shared" si="113"/>
        <v>1</v>
      </c>
      <c r="T705">
        <f t="shared" si="114"/>
        <v>1</v>
      </c>
      <c r="U705">
        <f t="shared" si="115"/>
        <v>1</v>
      </c>
      <c r="V705">
        <f t="shared" si="116"/>
        <v>0</v>
      </c>
      <c r="W705">
        <f t="shared" si="117"/>
        <v>1</v>
      </c>
      <c r="Y705" t="str">
        <f t="shared" si="118"/>
        <v/>
      </c>
    </row>
    <row r="706" spans="8:25">
      <c r="H706">
        <v>474</v>
      </c>
      <c r="I706" s="18">
        <v>18</v>
      </c>
      <c r="J706">
        <v>74</v>
      </c>
      <c r="K706">
        <f t="shared" si="108"/>
        <v>370</v>
      </c>
      <c r="L706" s="39">
        <f t="shared" si="109"/>
        <v>188.3070636561722</v>
      </c>
      <c r="M706">
        <f t="shared" si="110"/>
        <v>325.31337508538434</v>
      </c>
      <c r="N706">
        <f t="shared" si="111"/>
        <v>21440.582250642696</v>
      </c>
      <c r="O706" s="39">
        <f t="shared" si="112"/>
        <v>36983.339652300027</v>
      </c>
      <c r="S706">
        <f t="shared" si="113"/>
        <v>1</v>
      </c>
      <c r="T706">
        <f t="shared" si="114"/>
        <v>1</v>
      </c>
      <c r="U706">
        <f t="shared" si="115"/>
        <v>1</v>
      </c>
      <c r="V706">
        <f t="shared" si="116"/>
        <v>0</v>
      </c>
      <c r="W706">
        <f t="shared" si="117"/>
        <v>0</v>
      </c>
      <c r="Y706" t="str">
        <f t="shared" si="118"/>
        <v/>
      </c>
    </row>
    <row r="707" spans="8:25">
      <c r="H707">
        <v>475</v>
      </c>
      <c r="I707" s="18">
        <v>20</v>
      </c>
      <c r="J707">
        <v>60</v>
      </c>
      <c r="K707">
        <f t="shared" si="108"/>
        <v>300</v>
      </c>
      <c r="L707" s="39">
        <f t="shared" si="109"/>
        <v>188.49555921538757</v>
      </c>
      <c r="M707">
        <f t="shared" si="110"/>
        <v>360.31337508538434</v>
      </c>
      <c r="N707">
        <f t="shared" si="111"/>
        <v>23771.114895326125</v>
      </c>
      <c r="O707" s="39">
        <f t="shared" si="112"/>
        <v>39313.872296983463</v>
      </c>
      <c r="S707">
        <f t="shared" si="113"/>
        <v>1</v>
      </c>
      <c r="T707">
        <f t="shared" si="114"/>
        <v>1</v>
      </c>
      <c r="U707">
        <f t="shared" si="115"/>
        <v>1</v>
      </c>
      <c r="V707">
        <f t="shared" si="116"/>
        <v>0</v>
      </c>
      <c r="W707">
        <f t="shared" si="117"/>
        <v>1</v>
      </c>
      <c r="Y707" t="str">
        <f t="shared" si="118"/>
        <v/>
      </c>
    </row>
    <row r="708" spans="8:25">
      <c r="H708">
        <v>476</v>
      </c>
      <c r="I708" s="18">
        <v>16</v>
      </c>
      <c r="J708">
        <v>94</v>
      </c>
      <c r="K708">
        <f t="shared" si="108"/>
        <v>470</v>
      </c>
      <c r="L708" s="39">
        <f t="shared" si="109"/>
        <v>188.99821403996199</v>
      </c>
      <c r="M708">
        <f t="shared" si="110"/>
        <v>275.31337508538434</v>
      </c>
      <c r="N708">
        <f t="shared" si="111"/>
        <v>18211.807667358134</v>
      </c>
      <c r="O708" s="39">
        <f t="shared" si="112"/>
        <v>33754.565069015473</v>
      </c>
      <c r="S708">
        <f t="shared" si="113"/>
        <v>1</v>
      </c>
      <c r="T708">
        <f t="shared" si="114"/>
        <v>1</v>
      </c>
      <c r="U708">
        <f t="shared" si="115"/>
        <v>1</v>
      </c>
      <c r="V708">
        <f t="shared" si="116"/>
        <v>0</v>
      </c>
      <c r="W708">
        <f t="shared" si="117"/>
        <v>0</v>
      </c>
      <c r="Y708" t="str">
        <f t="shared" si="118"/>
        <v/>
      </c>
    </row>
    <row r="709" spans="8:25">
      <c r="H709">
        <v>477</v>
      </c>
      <c r="I709" s="18">
        <v>24</v>
      </c>
      <c r="J709">
        <v>42</v>
      </c>
      <c r="K709">
        <f t="shared" si="108"/>
        <v>210</v>
      </c>
      <c r="L709" s="39">
        <f t="shared" si="109"/>
        <v>190.00352368911069</v>
      </c>
      <c r="M709">
        <f t="shared" si="110"/>
        <v>405.31337508538434</v>
      </c>
      <c r="N709">
        <f t="shared" si="111"/>
        <v>26953.839312592234</v>
      </c>
      <c r="O709" s="39">
        <f t="shared" si="112"/>
        <v>42496.596714249565</v>
      </c>
      <c r="S709">
        <f t="shared" si="113"/>
        <v>1</v>
      </c>
      <c r="T709">
        <f t="shared" si="114"/>
        <v>1</v>
      </c>
      <c r="U709">
        <f t="shared" si="115"/>
        <v>1</v>
      </c>
      <c r="V709">
        <f t="shared" si="116"/>
        <v>0</v>
      </c>
      <c r="W709">
        <f t="shared" si="117"/>
        <v>1</v>
      </c>
      <c r="Y709" t="str">
        <f t="shared" si="118"/>
        <v/>
      </c>
    </row>
    <row r="710" spans="8:25">
      <c r="H710">
        <v>478</v>
      </c>
      <c r="I710" s="18">
        <v>22</v>
      </c>
      <c r="J710">
        <v>50</v>
      </c>
      <c r="K710">
        <f t="shared" si="108"/>
        <v>250</v>
      </c>
      <c r="L710" s="39">
        <f t="shared" si="109"/>
        <v>190.06635554218252</v>
      </c>
      <c r="M710">
        <f t="shared" si="110"/>
        <v>385.31337508538434</v>
      </c>
      <c r="N710">
        <f t="shared" si="111"/>
        <v>25632.288130447952</v>
      </c>
      <c r="O710" s="39">
        <f t="shared" si="112"/>
        <v>41175.045532105287</v>
      </c>
      <c r="S710">
        <f t="shared" si="113"/>
        <v>1</v>
      </c>
      <c r="T710">
        <f t="shared" si="114"/>
        <v>1</v>
      </c>
      <c r="U710">
        <f t="shared" si="115"/>
        <v>1</v>
      </c>
      <c r="V710">
        <f t="shared" si="116"/>
        <v>0</v>
      </c>
      <c r="W710">
        <f t="shared" si="117"/>
        <v>1</v>
      </c>
      <c r="Y710" t="str">
        <f t="shared" si="118"/>
        <v/>
      </c>
    </row>
    <row r="711" spans="8:25">
      <c r="H711">
        <v>479</v>
      </c>
      <c r="I711" s="18">
        <v>45</v>
      </c>
      <c r="J711">
        <v>12</v>
      </c>
      <c r="K711">
        <f t="shared" si="108"/>
        <v>60</v>
      </c>
      <c r="L711" s="39">
        <f t="shared" si="109"/>
        <v>190.85175370557994</v>
      </c>
      <c r="M711">
        <f t="shared" si="110"/>
        <v>480.31337508538434</v>
      </c>
      <c r="N711">
        <f t="shared" si="111"/>
        <v>32084.027487152063</v>
      </c>
      <c r="O711" s="39">
        <f t="shared" si="112"/>
        <v>47626.784888809401</v>
      </c>
      <c r="S711">
        <f t="shared" si="113"/>
        <v>1</v>
      </c>
      <c r="T711">
        <f t="shared" si="114"/>
        <v>1</v>
      </c>
      <c r="U711">
        <f t="shared" si="115"/>
        <v>0</v>
      </c>
      <c r="V711">
        <f t="shared" si="116"/>
        <v>1</v>
      </c>
      <c r="W711">
        <f t="shared" si="117"/>
        <v>1</v>
      </c>
      <c r="Y711" t="str">
        <f t="shared" si="118"/>
        <v/>
      </c>
    </row>
    <row r="712" spans="8:25">
      <c r="H712">
        <v>480</v>
      </c>
      <c r="I712" s="18">
        <v>26</v>
      </c>
      <c r="J712">
        <v>36</v>
      </c>
      <c r="K712">
        <f t="shared" si="108"/>
        <v>180</v>
      </c>
      <c r="L712" s="39">
        <f t="shared" si="109"/>
        <v>191.13449704440302</v>
      </c>
      <c r="M712">
        <f t="shared" si="110"/>
        <v>420.31337508538434</v>
      </c>
      <c r="N712">
        <f t="shared" si="111"/>
        <v>28117.734941793158</v>
      </c>
      <c r="O712" s="39">
        <f t="shared" si="112"/>
        <v>43660.492343450489</v>
      </c>
      <c r="S712">
        <f t="shared" si="113"/>
        <v>1</v>
      </c>
      <c r="T712">
        <f t="shared" si="114"/>
        <v>1</v>
      </c>
      <c r="U712">
        <f t="shared" si="115"/>
        <v>0</v>
      </c>
      <c r="V712">
        <f t="shared" si="116"/>
        <v>0</v>
      </c>
      <c r="W712">
        <f t="shared" si="117"/>
        <v>1</v>
      </c>
      <c r="Y712" t="str">
        <f t="shared" si="118"/>
        <v/>
      </c>
    </row>
    <row r="713" spans="8:25">
      <c r="H713">
        <v>481</v>
      </c>
      <c r="I713" s="18">
        <v>32</v>
      </c>
      <c r="J713">
        <v>24</v>
      </c>
      <c r="K713">
        <f t="shared" si="108"/>
        <v>120</v>
      </c>
      <c r="L713" s="39">
        <f t="shared" si="109"/>
        <v>193.01945263655693</v>
      </c>
      <c r="M713">
        <f t="shared" si="110"/>
        <v>450.31337508538434</v>
      </c>
      <c r="N713">
        <f t="shared" si="111"/>
        <v>30421.734410865505</v>
      </c>
      <c r="O713" s="39">
        <f t="shared" si="112"/>
        <v>45964.491812522843</v>
      </c>
      <c r="S713">
        <f t="shared" si="113"/>
        <v>1</v>
      </c>
      <c r="T713">
        <f t="shared" si="114"/>
        <v>1</v>
      </c>
      <c r="U713">
        <f t="shared" si="115"/>
        <v>0</v>
      </c>
      <c r="V713">
        <f t="shared" si="116"/>
        <v>0</v>
      </c>
      <c r="W713">
        <f t="shared" si="117"/>
        <v>1</v>
      </c>
      <c r="Y713" t="str">
        <f t="shared" si="118"/>
        <v/>
      </c>
    </row>
    <row r="714" spans="8:25">
      <c r="H714">
        <v>482</v>
      </c>
      <c r="I714" s="18">
        <v>16</v>
      </c>
      <c r="J714">
        <v>96</v>
      </c>
      <c r="K714">
        <f t="shared" si="108"/>
        <v>480</v>
      </c>
      <c r="L714" s="39">
        <f t="shared" si="109"/>
        <v>193.01945263655693</v>
      </c>
      <c r="M714">
        <f t="shared" si="110"/>
        <v>270.31337508538434</v>
      </c>
      <c r="N714">
        <f t="shared" si="111"/>
        <v>18261.508894762421</v>
      </c>
      <c r="O714" s="39">
        <f t="shared" si="112"/>
        <v>33804.266296419752</v>
      </c>
      <c r="S714">
        <f t="shared" si="113"/>
        <v>1</v>
      </c>
      <c r="T714">
        <f t="shared" si="114"/>
        <v>1</v>
      </c>
      <c r="U714">
        <f t="shared" si="115"/>
        <v>1</v>
      </c>
      <c r="V714">
        <f t="shared" si="116"/>
        <v>0</v>
      </c>
      <c r="W714">
        <f t="shared" si="117"/>
        <v>0</v>
      </c>
      <c r="Y714" t="str">
        <f t="shared" si="118"/>
        <v/>
      </c>
    </row>
    <row r="715" spans="8:25">
      <c r="H715">
        <v>483</v>
      </c>
      <c r="I715" s="18">
        <v>18</v>
      </c>
      <c r="J715">
        <v>76</v>
      </c>
      <c r="K715">
        <f t="shared" si="108"/>
        <v>380</v>
      </c>
      <c r="L715" s="39">
        <f t="shared" si="109"/>
        <v>193.39644375498767</v>
      </c>
      <c r="M715">
        <f t="shared" si="110"/>
        <v>320.31337508538434</v>
      </c>
      <c r="N715">
        <f t="shared" si="111"/>
        <v>21681.613670034782</v>
      </c>
      <c r="O715" s="39">
        <f t="shared" si="112"/>
        <v>37224.37107169212</v>
      </c>
      <c r="S715">
        <f t="shared" si="113"/>
        <v>1</v>
      </c>
      <c r="T715">
        <f t="shared" si="114"/>
        <v>1</v>
      </c>
      <c r="U715">
        <f t="shared" si="115"/>
        <v>1</v>
      </c>
      <c r="V715">
        <f t="shared" si="116"/>
        <v>0</v>
      </c>
      <c r="W715">
        <f t="shared" si="117"/>
        <v>0</v>
      </c>
      <c r="Y715" t="str">
        <f t="shared" si="118"/>
        <v/>
      </c>
    </row>
    <row r="716" spans="8:25">
      <c r="H716">
        <v>484</v>
      </c>
      <c r="I716" s="18">
        <v>20</v>
      </c>
      <c r="J716">
        <v>62</v>
      </c>
      <c r="K716">
        <f t="shared" si="108"/>
        <v>310</v>
      </c>
      <c r="L716" s="39">
        <f t="shared" si="109"/>
        <v>194.77874452256717</v>
      </c>
      <c r="M716">
        <f t="shared" si="110"/>
        <v>355.31337508538434</v>
      </c>
      <c r="N716">
        <f t="shared" si="111"/>
        <v>24222.62258892251</v>
      </c>
      <c r="O716" s="39">
        <f t="shared" si="112"/>
        <v>39765.379990579844</v>
      </c>
      <c r="S716">
        <f t="shared" si="113"/>
        <v>1</v>
      </c>
      <c r="T716">
        <f t="shared" si="114"/>
        <v>1</v>
      </c>
      <c r="U716">
        <f t="shared" si="115"/>
        <v>1</v>
      </c>
      <c r="V716">
        <f t="shared" si="116"/>
        <v>0</v>
      </c>
      <c r="W716">
        <f t="shared" si="117"/>
        <v>0</v>
      </c>
      <c r="Y716" t="str">
        <f t="shared" si="118"/>
        <v/>
      </c>
    </row>
    <row r="717" spans="8:25">
      <c r="H717">
        <v>485</v>
      </c>
      <c r="I717" s="18">
        <v>50</v>
      </c>
      <c r="J717">
        <v>10</v>
      </c>
      <c r="K717">
        <f t="shared" si="108"/>
        <v>50</v>
      </c>
      <c r="L717" s="39">
        <f t="shared" si="109"/>
        <v>196.34954084936206</v>
      </c>
      <c r="M717">
        <f t="shared" si="110"/>
        <v>485.31337508538434</v>
      </c>
      <c r="N717">
        <f t="shared" si="111"/>
        <v>33351.870428124304</v>
      </c>
      <c r="O717" s="39">
        <f t="shared" si="112"/>
        <v>48894.627829781639</v>
      </c>
      <c r="S717">
        <f t="shared" si="113"/>
        <v>1</v>
      </c>
      <c r="T717">
        <f t="shared" si="114"/>
        <v>1</v>
      </c>
      <c r="U717">
        <f t="shared" si="115"/>
        <v>0</v>
      </c>
      <c r="V717">
        <f t="shared" si="116"/>
        <v>1</v>
      </c>
      <c r="W717">
        <f t="shared" si="117"/>
        <v>1</v>
      </c>
      <c r="Y717" t="str">
        <f t="shared" si="118"/>
        <v/>
      </c>
    </row>
    <row r="718" spans="8:25">
      <c r="H718">
        <v>486</v>
      </c>
      <c r="I718" s="18">
        <v>25</v>
      </c>
      <c r="J718">
        <v>40</v>
      </c>
      <c r="K718">
        <f t="shared" si="108"/>
        <v>200</v>
      </c>
      <c r="L718" s="39">
        <f t="shared" si="109"/>
        <v>196.34954084936206</v>
      </c>
      <c r="M718">
        <f t="shared" si="110"/>
        <v>410.31337508538434</v>
      </c>
      <c r="N718">
        <f t="shared" si="111"/>
        <v>28197.69498082855</v>
      </c>
      <c r="O718" s="39">
        <f t="shared" si="112"/>
        <v>43740.452382485884</v>
      </c>
      <c r="S718">
        <f t="shared" si="113"/>
        <v>1</v>
      </c>
      <c r="T718">
        <f t="shared" si="114"/>
        <v>1</v>
      </c>
      <c r="U718">
        <f t="shared" si="115"/>
        <v>1</v>
      </c>
      <c r="V718">
        <f t="shared" si="116"/>
        <v>0</v>
      </c>
      <c r="W718">
        <f t="shared" si="117"/>
        <v>1</v>
      </c>
      <c r="Y718" t="str">
        <f t="shared" si="118"/>
        <v/>
      </c>
    </row>
    <row r="719" spans="8:25">
      <c r="H719">
        <v>487</v>
      </c>
      <c r="I719" s="18">
        <v>28</v>
      </c>
      <c r="J719">
        <v>32</v>
      </c>
      <c r="K719">
        <f t="shared" si="108"/>
        <v>160</v>
      </c>
      <c r="L719" s="39">
        <f t="shared" si="109"/>
        <v>197.04069123315179</v>
      </c>
      <c r="M719">
        <f t="shared" si="110"/>
        <v>430.31337508538434</v>
      </c>
      <c r="N719">
        <f t="shared" si="111"/>
        <v>29676.235705793129</v>
      </c>
      <c r="O719" s="39">
        <f t="shared" si="112"/>
        <v>45218.993107450464</v>
      </c>
      <c r="S719">
        <f t="shared" si="113"/>
        <v>1</v>
      </c>
      <c r="T719">
        <f t="shared" si="114"/>
        <v>1</v>
      </c>
      <c r="U719">
        <f t="shared" si="115"/>
        <v>0</v>
      </c>
      <c r="V719">
        <f t="shared" si="116"/>
        <v>0</v>
      </c>
      <c r="W719">
        <f t="shared" si="117"/>
        <v>1</v>
      </c>
      <c r="Y719" t="str">
        <f t="shared" si="118"/>
        <v/>
      </c>
    </row>
    <row r="720" spans="8:25">
      <c r="H720">
        <v>488</v>
      </c>
      <c r="I720" s="18">
        <v>16</v>
      </c>
      <c r="J720">
        <v>98</v>
      </c>
      <c r="K720">
        <f t="shared" si="108"/>
        <v>490</v>
      </c>
      <c r="L720" s="39">
        <f t="shared" si="109"/>
        <v>197.04069123315185</v>
      </c>
      <c r="M720">
        <f t="shared" si="110"/>
        <v>265.31337508538434</v>
      </c>
      <c r="N720">
        <f t="shared" si="111"/>
        <v>18297.135787078616</v>
      </c>
      <c r="O720" s="39">
        <f t="shared" si="112"/>
        <v>33839.89318873595</v>
      </c>
      <c r="S720">
        <f t="shared" si="113"/>
        <v>1</v>
      </c>
      <c r="T720">
        <f t="shared" si="114"/>
        <v>1</v>
      </c>
      <c r="U720">
        <f t="shared" si="115"/>
        <v>1</v>
      </c>
      <c r="V720">
        <f t="shared" si="116"/>
        <v>0</v>
      </c>
      <c r="W720">
        <f t="shared" si="117"/>
        <v>0</v>
      </c>
      <c r="Y720" t="str">
        <f t="shared" si="118"/>
        <v/>
      </c>
    </row>
    <row r="721" spans="8:25">
      <c r="H721">
        <v>489</v>
      </c>
      <c r="I721" s="18">
        <v>22</v>
      </c>
      <c r="J721">
        <v>52</v>
      </c>
      <c r="K721">
        <f t="shared" si="108"/>
        <v>260</v>
      </c>
      <c r="L721" s="39">
        <f t="shared" si="109"/>
        <v>197.66900976386984</v>
      </c>
      <c r="M721">
        <f t="shared" si="110"/>
        <v>380.31337508538434</v>
      </c>
      <c r="N721">
        <f t="shared" si="111"/>
        <v>26311.658888579099</v>
      </c>
      <c r="O721" s="39">
        <f t="shared" si="112"/>
        <v>41854.416290236433</v>
      </c>
      <c r="S721">
        <f t="shared" si="113"/>
        <v>1</v>
      </c>
      <c r="T721">
        <f t="shared" si="114"/>
        <v>1</v>
      </c>
      <c r="U721">
        <f t="shared" si="115"/>
        <v>1</v>
      </c>
      <c r="V721">
        <f t="shared" si="116"/>
        <v>0</v>
      </c>
      <c r="W721">
        <f t="shared" si="117"/>
        <v>1</v>
      </c>
      <c r="Y721" t="str">
        <f t="shared" si="118"/>
        <v/>
      </c>
    </row>
    <row r="722" spans="8:25">
      <c r="H722">
        <v>490</v>
      </c>
      <c r="I722" s="18">
        <v>30</v>
      </c>
      <c r="J722">
        <v>28</v>
      </c>
      <c r="K722">
        <f t="shared" si="108"/>
        <v>140</v>
      </c>
      <c r="L722" s="39">
        <f t="shared" si="109"/>
        <v>197.92033717615698</v>
      </c>
      <c r="M722">
        <f t="shared" si="110"/>
        <v>440.31337508538434</v>
      </c>
      <c r="N722">
        <f t="shared" si="111"/>
        <v>30501.44008102483</v>
      </c>
      <c r="O722" s="39">
        <f t="shared" si="112"/>
        <v>46044.197482682168</v>
      </c>
      <c r="S722">
        <f t="shared" si="113"/>
        <v>1</v>
      </c>
      <c r="T722">
        <f t="shared" si="114"/>
        <v>1</v>
      </c>
      <c r="U722">
        <f t="shared" si="115"/>
        <v>0</v>
      </c>
      <c r="V722">
        <f t="shared" si="116"/>
        <v>0</v>
      </c>
      <c r="W722">
        <f t="shared" si="117"/>
        <v>1</v>
      </c>
      <c r="Y722" t="str">
        <f t="shared" si="118"/>
        <v/>
      </c>
    </row>
    <row r="723" spans="8:25">
      <c r="H723">
        <v>491</v>
      </c>
      <c r="I723" s="18">
        <v>18</v>
      </c>
      <c r="J723">
        <v>78</v>
      </c>
      <c r="K723">
        <f t="shared" si="108"/>
        <v>390</v>
      </c>
      <c r="L723" s="39">
        <f t="shared" si="109"/>
        <v>198.48582385380314</v>
      </c>
      <c r="M723">
        <f t="shared" si="110"/>
        <v>315.31337508538434</v>
      </c>
      <c r="N723">
        <f t="shared" si="111"/>
        <v>21904.832259081017</v>
      </c>
      <c r="O723" s="39">
        <f t="shared" si="112"/>
        <v>37447.589660738347</v>
      </c>
      <c r="S723">
        <f t="shared" si="113"/>
        <v>1</v>
      </c>
      <c r="T723">
        <f t="shared" si="114"/>
        <v>1</v>
      </c>
      <c r="U723">
        <f t="shared" si="115"/>
        <v>1</v>
      </c>
      <c r="V723">
        <f t="shared" si="116"/>
        <v>0</v>
      </c>
      <c r="W723">
        <f t="shared" si="117"/>
        <v>0</v>
      </c>
      <c r="Y723" t="str">
        <f t="shared" si="118"/>
        <v/>
      </c>
    </row>
    <row r="724" spans="8:25">
      <c r="H724">
        <v>492</v>
      </c>
      <c r="I724" s="18">
        <v>24</v>
      </c>
      <c r="J724">
        <v>44</v>
      </c>
      <c r="K724">
        <f t="shared" si="108"/>
        <v>220</v>
      </c>
      <c r="L724" s="39">
        <f t="shared" si="109"/>
        <v>199.05131053144927</v>
      </c>
      <c r="M724">
        <f t="shared" si="110"/>
        <v>400.31337508538434</v>
      </c>
      <c r="N724">
        <f t="shared" si="111"/>
        <v>27889.015676904681</v>
      </c>
      <c r="O724" s="39">
        <f t="shared" si="112"/>
        <v>43431.773078562015</v>
      </c>
      <c r="S724">
        <f t="shared" si="113"/>
        <v>1</v>
      </c>
      <c r="T724">
        <f t="shared" si="114"/>
        <v>1</v>
      </c>
      <c r="U724">
        <f t="shared" si="115"/>
        <v>1</v>
      </c>
      <c r="V724">
        <f t="shared" si="116"/>
        <v>0</v>
      </c>
      <c r="W724">
        <f t="shared" si="117"/>
        <v>1</v>
      </c>
      <c r="Y724" t="str">
        <f t="shared" si="118"/>
        <v/>
      </c>
    </row>
    <row r="725" spans="8:25">
      <c r="H725">
        <v>493</v>
      </c>
      <c r="I725" s="18">
        <v>34</v>
      </c>
      <c r="J725">
        <v>22</v>
      </c>
      <c r="K725">
        <f t="shared" si="108"/>
        <v>110</v>
      </c>
      <c r="L725" s="39">
        <f t="shared" si="109"/>
        <v>199.74246091523901</v>
      </c>
      <c r="M725">
        <f t="shared" si="110"/>
        <v>455.31337508538434</v>
      </c>
      <c r="N725">
        <f t="shared" si="111"/>
        <v>31830.894909512281</v>
      </c>
      <c r="O725" s="39">
        <f t="shared" si="112"/>
        <v>47373.652311169615</v>
      </c>
      <c r="S725">
        <f t="shared" si="113"/>
        <v>1</v>
      </c>
      <c r="T725">
        <f t="shared" si="114"/>
        <v>1</v>
      </c>
      <c r="U725">
        <f t="shared" si="115"/>
        <v>0</v>
      </c>
      <c r="V725">
        <f t="shared" si="116"/>
        <v>0</v>
      </c>
      <c r="W725">
        <f t="shared" si="117"/>
        <v>1</v>
      </c>
      <c r="Y725" t="str">
        <f t="shared" si="118"/>
        <v/>
      </c>
    </row>
    <row r="726" spans="8:25">
      <c r="H726">
        <v>494</v>
      </c>
      <c r="I726" s="18">
        <v>40</v>
      </c>
      <c r="J726">
        <v>16</v>
      </c>
      <c r="K726">
        <f t="shared" si="108"/>
        <v>80</v>
      </c>
      <c r="L726" s="39">
        <f t="shared" si="109"/>
        <v>201.06192982974676</v>
      </c>
      <c r="M726">
        <f t="shared" si="110"/>
        <v>470.31337508538434</v>
      </c>
      <c r="N726">
        <f t="shared" si="111"/>
        <v>33096.740186793118</v>
      </c>
      <c r="O726" s="39">
        <f t="shared" si="112"/>
        <v>48639.497588450453</v>
      </c>
      <c r="S726">
        <f t="shared" si="113"/>
        <v>1</v>
      </c>
      <c r="T726">
        <f t="shared" si="114"/>
        <v>1</v>
      </c>
      <c r="U726">
        <f t="shared" si="115"/>
        <v>0</v>
      </c>
      <c r="V726">
        <f t="shared" si="116"/>
        <v>1</v>
      </c>
      <c r="W726">
        <f t="shared" si="117"/>
        <v>1</v>
      </c>
      <c r="Y726" t="str">
        <f t="shared" si="118"/>
        <v/>
      </c>
    </row>
    <row r="727" spans="8:25">
      <c r="H727">
        <v>495</v>
      </c>
      <c r="I727" s="18">
        <v>20</v>
      </c>
      <c r="J727">
        <v>64</v>
      </c>
      <c r="K727">
        <f t="shared" si="108"/>
        <v>320</v>
      </c>
      <c r="L727" s="39">
        <f t="shared" si="109"/>
        <v>201.06192982974676</v>
      </c>
      <c r="M727">
        <f t="shared" si="110"/>
        <v>350.31337508538434</v>
      </c>
      <c r="N727">
        <f t="shared" si="111"/>
        <v>24652.139133943754</v>
      </c>
      <c r="O727" s="39">
        <f t="shared" si="112"/>
        <v>40194.896535601089</v>
      </c>
      <c r="S727">
        <f t="shared" si="113"/>
        <v>1</v>
      </c>
      <c r="T727">
        <f t="shared" si="114"/>
        <v>1</v>
      </c>
      <c r="U727">
        <f t="shared" si="115"/>
        <v>1</v>
      </c>
      <c r="V727">
        <f t="shared" si="116"/>
        <v>0</v>
      </c>
      <c r="W727">
        <f t="shared" si="117"/>
        <v>0</v>
      </c>
      <c r="Y727" t="str">
        <f t="shared" si="118"/>
        <v/>
      </c>
    </row>
    <row r="728" spans="8:25">
      <c r="H728">
        <v>496</v>
      </c>
      <c r="I728" s="18">
        <v>16</v>
      </c>
      <c r="J728">
        <v>100</v>
      </c>
      <c r="K728">
        <f t="shared" si="108"/>
        <v>500</v>
      </c>
      <c r="L728" s="39">
        <f t="shared" si="109"/>
        <v>201.06192982974682</v>
      </c>
      <c r="M728">
        <f t="shared" si="110"/>
        <v>260.31337508538434</v>
      </c>
      <c r="N728">
        <f t="shared" si="111"/>
        <v>18318.688344306738</v>
      </c>
      <c r="O728" s="39">
        <f t="shared" si="112"/>
        <v>33861.445745964069</v>
      </c>
      <c r="S728">
        <f t="shared" si="113"/>
        <v>1</v>
      </c>
      <c r="T728">
        <f t="shared" si="114"/>
        <v>1</v>
      </c>
      <c r="U728">
        <f t="shared" si="115"/>
        <v>1</v>
      </c>
      <c r="V728">
        <f t="shared" si="116"/>
        <v>0</v>
      </c>
      <c r="W728">
        <f t="shared" si="117"/>
        <v>0</v>
      </c>
      <c r="Y728" t="str">
        <f t="shared" si="118"/>
        <v/>
      </c>
    </row>
    <row r="729" spans="8:25">
      <c r="H729">
        <v>497</v>
      </c>
      <c r="I729" s="18">
        <v>26</v>
      </c>
      <c r="J729">
        <v>38</v>
      </c>
      <c r="K729">
        <f t="shared" si="108"/>
        <v>190</v>
      </c>
      <c r="L729" s="39">
        <f t="shared" si="109"/>
        <v>201.75308021353652</v>
      </c>
      <c r="M729">
        <f t="shared" si="110"/>
        <v>415.31337508538434</v>
      </c>
      <c r="N729">
        <f t="shared" si="111"/>
        <v>29326.763437074645</v>
      </c>
      <c r="O729" s="39">
        <f t="shared" si="112"/>
        <v>44869.52083873198</v>
      </c>
      <c r="S729">
        <f t="shared" si="113"/>
        <v>1</v>
      </c>
      <c r="T729">
        <f t="shared" si="114"/>
        <v>1</v>
      </c>
      <c r="U729">
        <f t="shared" si="115"/>
        <v>0</v>
      </c>
      <c r="V729">
        <f t="shared" si="116"/>
        <v>0</v>
      </c>
      <c r="W729">
        <f t="shared" si="117"/>
        <v>1</v>
      </c>
      <c r="Y729" t="str">
        <f t="shared" si="118"/>
        <v/>
      </c>
    </row>
    <row r="730" spans="8:25">
      <c r="H730">
        <v>498</v>
      </c>
      <c r="I730" s="18">
        <v>36</v>
      </c>
      <c r="J730">
        <v>20</v>
      </c>
      <c r="K730">
        <f t="shared" si="108"/>
        <v>100</v>
      </c>
      <c r="L730" s="39">
        <f t="shared" si="109"/>
        <v>203.57520395261861</v>
      </c>
      <c r="M730">
        <f t="shared" si="110"/>
        <v>460.31337508538434</v>
      </c>
      <c r="N730">
        <f t="shared" si="111"/>
        <v>32797.936225293866</v>
      </c>
      <c r="O730" s="39">
        <f t="shared" si="112"/>
        <v>48340.693626951201</v>
      </c>
      <c r="S730">
        <f t="shared" si="113"/>
        <v>1</v>
      </c>
      <c r="T730">
        <f t="shared" si="114"/>
        <v>1</v>
      </c>
      <c r="U730">
        <f t="shared" si="115"/>
        <v>0</v>
      </c>
      <c r="V730">
        <f t="shared" si="116"/>
        <v>1</v>
      </c>
      <c r="W730">
        <f t="shared" si="117"/>
        <v>1</v>
      </c>
      <c r="Y730" t="str">
        <f t="shared" si="118"/>
        <v/>
      </c>
    </row>
    <row r="731" spans="8:25">
      <c r="H731">
        <v>499</v>
      </c>
      <c r="I731" s="18">
        <v>18</v>
      </c>
      <c r="J731">
        <v>80</v>
      </c>
      <c r="K731">
        <f t="shared" si="108"/>
        <v>400</v>
      </c>
      <c r="L731" s="39">
        <f t="shared" si="109"/>
        <v>203.57520395261861</v>
      </c>
      <c r="M731">
        <f t="shared" si="110"/>
        <v>310.31337508538434</v>
      </c>
      <c r="N731">
        <f t="shared" si="111"/>
        <v>22110.238017781394</v>
      </c>
      <c r="O731" s="39">
        <f t="shared" si="112"/>
        <v>37652.995419438725</v>
      </c>
      <c r="S731">
        <f t="shared" si="113"/>
        <v>1</v>
      </c>
      <c r="T731">
        <f t="shared" si="114"/>
        <v>1</v>
      </c>
      <c r="U731">
        <f t="shared" si="115"/>
        <v>1</v>
      </c>
      <c r="V731">
        <f t="shared" si="116"/>
        <v>0</v>
      </c>
      <c r="W731">
        <f t="shared" si="117"/>
        <v>0</v>
      </c>
      <c r="Y731" t="str">
        <f t="shared" si="118"/>
        <v/>
      </c>
    </row>
    <row r="732" spans="8:25">
      <c r="H732">
        <v>500</v>
      </c>
      <c r="I732" s="18">
        <v>38</v>
      </c>
      <c r="J732">
        <v>18</v>
      </c>
      <c r="K732">
        <f t="shared" si="108"/>
        <v>90</v>
      </c>
      <c r="L732" s="39">
        <f t="shared" si="109"/>
        <v>204.14069063026474</v>
      </c>
      <c r="M732">
        <f t="shared" si="110"/>
        <v>465.31337508538434</v>
      </c>
      <c r="N732">
        <f t="shared" si="111"/>
        <v>33246.287812300427</v>
      </c>
      <c r="O732" s="39">
        <f t="shared" si="112"/>
        <v>48789.045213957761</v>
      </c>
      <c r="S732">
        <f t="shared" si="113"/>
        <v>1</v>
      </c>
      <c r="T732">
        <f t="shared" si="114"/>
        <v>1</v>
      </c>
      <c r="U732">
        <f t="shared" si="115"/>
        <v>0</v>
      </c>
      <c r="V732">
        <f t="shared" si="116"/>
        <v>1</v>
      </c>
      <c r="W732">
        <f t="shared" si="117"/>
        <v>1</v>
      </c>
      <c r="Y732" t="str">
        <f t="shared" si="118"/>
        <v/>
      </c>
    </row>
    <row r="733" spans="8:25">
      <c r="H733">
        <v>501</v>
      </c>
      <c r="I733" s="18">
        <v>22</v>
      </c>
      <c r="J733">
        <v>54</v>
      </c>
      <c r="K733">
        <f t="shared" si="108"/>
        <v>270</v>
      </c>
      <c r="L733" s="39">
        <f t="shared" si="109"/>
        <v>205.2716639855571</v>
      </c>
      <c r="M733">
        <f t="shared" si="110"/>
        <v>375.31337508538434</v>
      </c>
      <c r="N733">
        <f t="shared" si="111"/>
        <v>26964.420356934334</v>
      </c>
      <c r="O733" s="39">
        <f t="shared" si="112"/>
        <v>42507.177758591672</v>
      </c>
      <c r="S733">
        <f t="shared" si="113"/>
        <v>1</v>
      </c>
      <c r="T733">
        <f t="shared" si="114"/>
        <v>1</v>
      </c>
      <c r="U733">
        <f t="shared" si="115"/>
        <v>1</v>
      </c>
      <c r="V733">
        <f t="shared" si="116"/>
        <v>0</v>
      </c>
      <c r="W733">
        <f t="shared" si="117"/>
        <v>1</v>
      </c>
      <c r="Y733" t="str">
        <f t="shared" si="118"/>
        <v/>
      </c>
    </row>
    <row r="734" spans="8:25">
      <c r="H734">
        <v>502</v>
      </c>
      <c r="I734" s="18">
        <v>25</v>
      </c>
      <c r="J734">
        <v>42</v>
      </c>
      <c r="K734">
        <f t="shared" si="108"/>
        <v>210</v>
      </c>
      <c r="L734" s="39">
        <f t="shared" si="109"/>
        <v>206.1670178918302</v>
      </c>
      <c r="M734">
        <f t="shared" si="110"/>
        <v>405.31337508538434</v>
      </c>
      <c r="N734">
        <f t="shared" si="111"/>
        <v>29246.787448559277</v>
      </c>
      <c r="O734" s="39">
        <f t="shared" si="112"/>
        <v>44789.544850216611</v>
      </c>
      <c r="S734">
        <f t="shared" si="113"/>
        <v>1</v>
      </c>
      <c r="T734">
        <f t="shared" si="114"/>
        <v>1</v>
      </c>
      <c r="U734">
        <f t="shared" si="115"/>
        <v>1</v>
      </c>
      <c r="V734">
        <f t="shared" si="116"/>
        <v>0</v>
      </c>
      <c r="W734">
        <f t="shared" si="117"/>
        <v>1</v>
      </c>
      <c r="Y734" t="str">
        <f t="shared" si="118"/>
        <v/>
      </c>
    </row>
    <row r="735" spans="8:25">
      <c r="H735">
        <v>503</v>
      </c>
      <c r="I735" s="18">
        <v>20</v>
      </c>
      <c r="J735">
        <v>66</v>
      </c>
      <c r="K735">
        <f t="shared" si="108"/>
        <v>330</v>
      </c>
      <c r="L735" s="39">
        <f t="shared" si="109"/>
        <v>207.34511513692635</v>
      </c>
      <c r="M735">
        <f t="shared" si="110"/>
        <v>345.31337508538434</v>
      </c>
      <c r="N735">
        <f t="shared" si="111"/>
        <v>25059.664530389877</v>
      </c>
      <c r="O735" s="39">
        <f t="shared" si="112"/>
        <v>40602.421932047211</v>
      </c>
      <c r="S735">
        <f t="shared" si="113"/>
        <v>1</v>
      </c>
      <c r="T735">
        <f t="shared" si="114"/>
        <v>1</v>
      </c>
      <c r="U735">
        <f t="shared" si="115"/>
        <v>1</v>
      </c>
      <c r="V735">
        <f t="shared" si="116"/>
        <v>0</v>
      </c>
      <c r="W735">
        <f t="shared" si="117"/>
        <v>0</v>
      </c>
      <c r="Y735" t="str">
        <f t="shared" si="118"/>
        <v/>
      </c>
    </row>
    <row r="736" spans="8:25">
      <c r="H736">
        <v>504</v>
      </c>
      <c r="I736" s="18">
        <v>24</v>
      </c>
      <c r="J736">
        <v>46</v>
      </c>
      <c r="K736">
        <f t="shared" si="108"/>
        <v>230</v>
      </c>
      <c r="L736" s="39">
        <f t="shared" si="109"/>
        <v>208.09909737378788</v>
      </c>
      <c r="M736">
        <f t="shared" si="110"/>
        <v>395.31337508538434</v>
      </c>
      <c r="N736">
        <f t="shared" si="111"/>
        <v>28792.524787268943</v>
      </c>
      <c r="O736" s="39">
        <f t="shared" si="112"/>
        <v>44335.282188926278</v>
      </c>
      <c r="S736">
        <f t="shared" si="113"/>
        <v>1</v>
      </c>
      <c r="T736">
        <f t="shared" si="114"/>
        <v>1</v>
      </c>
      <c r="U736">
        <f t="shared" si="115"/>
        <v>1</v>
      </c>
      <c r="V736">
        <f t="shared" si="116"/>
        <v>0</v>
      </c>
      <c r="W736">
        <f t="shared" si="117"/>
        <v>1</v>
      </c>
      <c r="Y736" t="str">
        <f t="shared" si="118"/>
        <v/>
      </c>
    </row>
    <row r="737" spans="8:25">
      <c r="H737">
        <v>505</v>
      </c>
      <c r="I737" s="18">
        <v>18</v>
      </c>
      <c r="J737">
        <v>82</v>
      </c>
      <c r="K737">
        <f t="shared" si="108"/>
        <v>410</v>
      </c>
      <c r="L737" s="39">
        <f t="shared" si="109"/>
        <v>208.66458405143405</v>
      </c>
      <c r="M737">
        <f t="shared" si="110"/>
        <v>305.31337508538434</v>
      </c>
      <c r="N737">
        <f t="shared" si="111"/>
        <v>22297.83094613592</v>
      </c>
      <c r="O737" s="39">
        <f t="shared" si="112"/>
        <v>37840.588347793251</v>
      </c>
      <c r="S737">
        <f t="shared" si="113"/>
        <v>1</v>
      </c>
      <c r="T737">
        <f t="shared" si="114"/>
        <v>1</v>
      </c>
      <c r="U737">
        <f t="shared" si="115"/>
        <v>1</v>
      </c>
      <c r="V737">
        <f t="shared" si="116"/>
        <v>0</v>
      </c>
      <c r="W737">
        <f t="shared" si="117"/>
        <v>0</v>
      </c>
      <c r="Y737" t="str">
        <f t="shared" si="118"/>
        <v/>
      </c>
    </row>
    <row r="738" spans="8:25">
      <c r="H738">
        <v>506</v>
      </c>
      <c r="I738" s="18">
        <v>32</v>
      </c>
      <c r="J738">
        <v>26</v>
      </c>
      <c r="K738">
        <f t="shared" si="108"/>
        <v>130</v>
      </c>
      <c r="L738" s="39">
        <f t="shared" si="109"/>
        <v>209.1044070229367</v>
      </c>
      <c r="M738">
        <f t="shared" si="110"/>
        <v>445.31337508538434</v>
      </c>
      <c r="N738">
        <f t="shared" si="111"/>
        <v>32590.946232814164</v>
      </c>
      <c r="O738" s="39">
        <f t="shared" si="112"/>
        <v>48133.703634471502</v>
      </c>
      <c r="S738">
        <f t="shared" si="113"/>
        <v>1</v>
      </c>
      <c r="T738">
        <f t="shared" si="114"/>
        <v>1</v>
      </c>
      <c r="U738">
        <f t="shared" si="115"/>
        <v>0</v>
      </c>
      <c r="V738">
        <f t="shared" si="116"/>
        <v>0</v>
      </c>
      <c r="W738">
        <f t="shared" si="117"/>
        <v>1</v>
      </c>
      <c r="Y738" t="str">
        <f t="shared" si="118"/>
        <v/>
      </c>
    </row>
    <row r="739" spans="8:25">
      <c r="H739">
        <v>507</v>
      </c>
      <c r="I739" s="18">
        <v>28</v>
      </c>
      <c r="J739">
        <v>34</v>
      </c>
      <c r="K739">
        <f t="shared" si="108"/>
        <v>170</v>
      </c>
      <c r="L739" s="39">
        <f t="shared" si="109"/>
        <v>209.35573443522381</v>
      </c>
      <c r="M739">
        <f t="shared" si="110"/>
        <v>425.31337508538434</v>
      </c>
      <c r="N739">
        <f t="shared" si="111"/>
        <v>31164.627902143562</v>
      </c>
      <c r="O739" s="39">
        <f t="shared" si="112"/>
        <v>46707.385303800897</v>
      </c>
      <c r="S739">
        <f t="shared" si="113"/>
        <v>1</v>
      </c>
      <c r="T739">
        <f t="shared" si="114"/>
        <v>1</v>
      </c>
      <c r="U739">
        <f t="shared" si="115"/>
        <v>0</v>
      </c>
      <c r="V739">
        <f t="shared" si="116"/>
        <v>0</v>
      </c>
      <c r="W739">
        <f t="shared" si="117"/>
        <v>1</v>
      </c>
      <c r="Y739" t="str">
        <f t="shared" si="118"/>
        <v/>
      </c>
    </row>
    <row r="740" spans="8:25">
      <c r="H740">
        <v>508</v>
      </c>
      <c r="I740" s="18">
        <v>30</v>
      </c>
      <c r="J740">
        <v>30</v>
      </c>
      <c r="K740">
        <f t="shared" si="108"/>
        <v>150</v>
      </c>
      <c r="L740" s="39">
        <f t="shared" si="109"/>
        <v>212.05750411731103</v>
      </c>
      <c r="M740">
        <f t="shared" si="110"/>
        <v>435.31337508538434</v>
      </c>
      <c r="N740">
        <f t="shared" si="111"/>
        <v>32309.013740321308</v>
      </c>
      <c r="O740" s="39">
        <f t="shared" si="112"/>
        <v>47851.771141978643</v>
      </c>
      <c r="S740">
        <f t="shared" si="113"/>
        <v>1</v>
      </c>
      <c r="T740">
        <f t="shared" si="114"/>
        <v>1</v>
      </c>
      <c r="U740">
        <f t="shared" si="115"/>
        <v>0</v>
      </c>
      <c r="V740">
        <f t="shared" si="116"/>
        <v>0</v>
      </c>
      <c r="W740">
        <f t="shared" si="117"/>
        <v>1</v>
      </c>
      <c r="Y740" t="str">
        <f t="shared" si="118"/>
        <v/>
      </c>
    </row>
    <row r="741" spans="8:25">
      <c r="H741">
        <v>509</v>
      </c>
      <c r="I741" s="18">
        <v>26</v>
      </c>
      <c r="J741">
        <v>40</v>
      </c>
      <c r="K741">
        <f t="shared" si="108"/>
        <v>200</v>
      </c>
      <c r="L741" s="39">
        <f t="shared" si="109"/>
        <v>212.37166338267002</v>
      </c>
      <c r="M741">
        <f t="shared" si="110"/>
        <v>410.31337508538434</v>
      </c>
      <c r="N741">
        <f t="shared" si="111"/>
        <v>30498.626891264161</v>
      </c>
      <c r="O741" s="39">
        <f t="shared" si="112"/>
        <v>46041.384292921495</v>
      </c>
      <c r="S741">
        <f t="shared" si="113"/>
        <v>1</v>
      </c>
      <c r="T741">
        <f t="shared" si="114"/>
        <v>1</v>
      </c>
      <c r="U741">
        <f t="shared" si="115"/>
        <v>0</v>
      </c>
      <c r="V741">
        <f t="shared" si="116"/>
        <v>0</v>
      </c>
      <c r="W741">
        <f t="shared" si="117"/>
        <v>1</v>
      </c>
      <c r="Y741" t="str">
        <f t="shared" si="118"/>
        <v/>
      </c>
    </row>
    <row r="742" spans="8:25">
      <c r="H742">
        <v>510</v>
      </c>
      <c r="I742" s="18">
        <v>22</v>
      </c>
      <c r="J742">
        <v>56</v>
      </c>
      <c r="K742">
        <f t="shared" si="108"/>
        <v>280</v>
      </c>
      <c r="L742" s="39">
        <f t="shared" si="109"/>
        <v>212.87431820724441</v>
      </c>
      <c r="M742">
        <f t="shared" si="110"/>
        <v>370.31337508538434</v>
      </c>
      <c r="N742">
        <f t="shared" si="111"/>
        <v>27590.572535513667</v>
      </c>
      <c r="O742" s="39">
        <f t="shared" si="112"/>
        <v>43133.329937171002</v>
      </c>
      <c r="S742">
        <f t="shared" si="113"/>
        <v>1</v>
      </c>
      <c r="T742">
        <f t="shared" si="114"/>
        <v>1</v>
      </c>
      <c r="U742">
        <f t="shared" si="115"/>
        <v>1</v>
      </c>
      <c r="V742">
        <f t="shared" si="116"/>
        <v>0</v>
      </c>
      <c r="W742">
        <f t="shared" si="117"/>
        <v>1</v>
      </c>
      <c r="Y742" t="str">
        <f t="shared" si="118"/>
        <v/>
      </c>
    </row>
    <row r="743" spans="8:25">
      <c r="H743">
        <v>511</v>
      </c>
      <c r="I743" s="18">
        <v>20</v>
      </c>
      <c r="J743">
        <v>68</v>
      </c>
      <c r="K743">
        <f t="shared" si="108"/>
        <v>340</v>
      </c>
      <c r="L743" s="39">
        <f t="shared" si="109"/>
        <v>213.62830044410595</v>
      </c>
      <c r="M743">
        <f t="shared" si="110"/>
        <v>340.31337508538434</v>
      </c>
      <c r="N743">
        <f t="shared" si="111"/>
        <v>25445.198778260874</v>
      </c>
      <c r="O743" s="39">
        <f t="shared" si="112"/>
        <v>40987.956179918212</v>
      </c>
      <c r="S743">
        <f t="shared" si="113"/>
        <v>1</v>
      </c>
      <c r="T743">
        <f t="shared" si="114"/>
        <v>1</v>
      </c>
      <c r="U743">
        <f t="shared" si="115"/>
        <v>1</v>
      </c>
      <c r="V743">
        <f t="shared" si="116"/>
        <v>0</v>
      </c>
      <c r="W743">
        <f t="shared" si="117"/>
        <v>0</v>
      </c>
      <c r="Y743" t="str">
        <f t="shared" si="118"/>
        <v/>
      </c>
    </row>
    <row r="744" spans="8:25">
      <c r="H744">
        <v>512</v>
      </c>
      <c r="I744" s="18">
        <v>18</v>
      </c>
      <c r="J744">
        <v>84</v>
      </c>
      <c r="K744">
        <f t="shared" si="108"/>
        <v>420</v>
      </c>
      <c r="L744" s="39">
        <f t="shared" si="109"/>
        <v>213.75396415024954</v>
      </c>
      <c r="M744">
        <f t="shared" si="110"/>
        <v>300.31337508538434</v>
      </c>
      <c r="N744">
        <f t="shared" si="111"/>
        <v>22467.611044144589</v>
      </c>
      <c r="O744" s="39">
        <f t="shared" si="112"/>
        <v>38010.368445801927</v>
      </c>
      <c r="S744">
        <f t="shared" si="113"/>
        <v>1</v>
      </c>
      <c r="T744">
        <f t="shared" si="114"/>
        <v>1</v>
      </c>
      <c r="U744">
        <f t="shared" si="115"/>
        <v>1</v>
      </c>
      <c r="V744">
        <f t="shared" si="116"/>
        <v>0</v>
      </c>
      <c r="W744">
        <f t="shared" si="117"/>
        <v>0</v>
      </c>
      <c r="Y744" t="str">
        <f t="shared" si="118"/>
        <v/>
      </c>
    </row>
    <row r="745" spans="8:25">
      <c r="H745">
        <v>513</v>
      </c>
      <c r="I745" s="18">
        <v>25</v>
      </c>
      <c r="J745">
        <v>44</v>
      </c>
      <c r="K745">
        <f t="shared" ref="K745:K808" si="119">$F$230+$F$231*(J745-2)/2</f>
        <v>220</v>
      </c>
      <c r="L745" s="39">
        <f t="shared" ref="L745:L808" si="120">J745*0.25*PI()*(I745/10)^2</f>
        <v>215.98449493429825</v>
      </c>
      <c r="M745">
        <f t="shared" ref="M745:M808" si="121">$F$233-(K745+$F$232)/2</f>
        <v>400.31337508538434</v>
      </c>
      <c r="N745">
        <f t="shared" ref="N745:N808" si="122">L745*$F$235*M745*0.001</f>
        <v>30261.518746641366</v>
      </c>
      <c r="O745" s="39">
        <f t="shared" ref="O745:O808" si="123">N745+$F$237</f>
        <v>45804.276148298697</v>
      </c>
      <c r="S745">
        <f t="shared" ref="S745:S808" si="124">IF(L745&lt;$F$236,1,0)</f>
        <v>1</v>
      </c>
      <c r="T745">
        <f t="shared" ref="T745:T808" si="125">IF(O745&gt;$F$234,1,0)</f>
        <v>1</v>
      </c>
      <c r="U745">
        <f t="shared" ref="U745:U808" si="126">IF(I745&lt;=$F$238,1,0)</f>
        <v>1</v>
      </c>
      <c r="V745">
        <f t="shared" ref="V745:V808" si="127">IF(J745&lt;=$F$239,1,0)</f>
        <v>0</v>
      </c>
      <c r="W745">
        <f t="shared" ref="W745:W808" si="128">IF(K745&lt;=$F$240,1,0)</f>
        <v>1</v>
      </c>
      <c r="Y745" t="str">
        <f t="shared" ref="Y745:Y808" si="129">IF(SUM(S745:W745)=5,H745,"")</f>
        <v/>
      </c>
    </row>
    <row r="746" spans="8:25">
      <c r="H746">
        <v>514</v>
      </c>
      <c r="I746" s="18">
        <v>24</v>
      </c>
      <c r="J746">
        <v>48</v>
      </c>
      <c r="K746">
        <f t="shared" si="119"/>
        <v>240</v>
      </c>
      <c r="L746" s="39">
        <f t="shared" si="120"/>
        <v>217.14688421612649</v>
      </c>
      <c r="M746">
        <f t="shared" si="121"/>
        <v>390.31337508538434</v>
      </c>
      <c r="N746">
        <f t="shared" si="122"/>
        <v>29664.366643685029</v>
      </c>
      <c r="O746" s="39">
        <f t="shared" si="123"/>
        <v>45207.124045342367</v>
      </c>
      <c r="S746">
        <f t="shared" si="124"/>
        <v>1</v>
      </c>
      <c r="T746">
        <f t="shared" si="125"/>
        <v>1</v>
      </c>
      <c r="U746">
        <f t="shared" si="126"/>
        <v>1</v>
      </c>
      <c r="V746">
        <f t="shared" si="127"/>
        <v>0</v>
      </c>
      <c r="W746">
        <f t="shared" si="128"/>
        <v>1</v>
      </c>
      <c r="Y746" t="str">
        <f t="shared" si="129"/>
        <v/>
      </c>
    </row>
    <row r="747" spans="8:25">
      <c r="H747">
        <v>515</v>
      </c>
      <c r="I747" s="18">
        <v>34</v>
      </c>
      <c r="J747">
        <v>24</v>
      </c>
      <c r="K747">
        <f t="shared" si="119"/>
        <v>120</v>
      </c>
      <c r="L747" s="39">
        <f t="shared" si="120"/>
        <v>217.90086645298803</v>
      </c>
      <c r="M747">
        <f t="shared" si="121"/>
        <v>450.31337508538434</v>
      </c>
      <c r="N747">
        <f t="shared" si="122"/>
        <v>34343.286112266127</v>
      </c>
      <c r="O747" s="39">
        <f t="shared" si="123"/>
        <v>49886.043513923461</v>
      </c>
      <c r="S747">
        <f t="shared" si="124"/>
        <v>1</v>
      </c>
      <c r="T747">
        <f t="shared" si="125"/>
        <v>1</v>
      </c>
      <c r="U747">
        <f t="shared" si="126"/>
        <v>0</v>
      </c>
      <c r="V747">
        <f t="shared" si="127"/>
        <v>0</v>
      </c>
      <c r="W747">
        <f t="shared" si="128"/>
        <v>1</v>
      </c>
      <c r="Y747" t="str">
        <f t="shared" si="129"/>
        <v/>
      </c>
    </row>
    <row r="748" spans="8:25">
      <c r="H748">
        <v>516</v>
      </c>
      <c r="I748" s="18">
        <v>18</v>
      </c>
      <c r="J748">
        <v>86</v>
      </c>
      <c r="K748">
        <f t="shared" si="119"/>
        <v>430</v>
      </c>
      <c r="L748" s="39">
        <f t="shared" si="120"/>
        <v>218.84334424906498</v>
      </c>
      <c r="M748">
        <f t="shared" si="121"/>
        <v>295.31337508538434</v>
      </c>
      <c r="N748">
        <f t="shared" si="122"/>
        <v>22619.578311807407</v>
      </c>
      <c r="O748" s="39">
        <f t="shared" si="123"/>
        <v>38162.335713464738</v>
      </c>
      <c r="S748">
        <f t="shared" si="124"/>
        <v>1</v>
      </c>
      <c r="T748">
        <f t="shared" si="125"/>
        <v>1</v>
      </c>
      <c r="U748">
        <f t="shared" si="126"/>
        <v>1</v>
      </c>
      <c r="V748">
        <f t="shared" si="127"/>
        <v>0</v>
      </c>
      <c r="W748">
        <f t="shared" si="128"/>
        <v>0</v>
      </c>
      <c r="Y748" t="str">
        <f t="shared" si="129"/>
        <v/>
      </c>
    </row>
    <row r="749" spans="8:25">
      <c r="H749">
        <v>517</v>
      </c>
      <c r="I749" s="18">
        <v>20</v>
      </c>
      <c r="J749">
        <v>70</v>
      </c>
      <c r="K749">
        <f t="shared" si="119"/>
        <v>350</v>
      </c>
      <c r="L749" s="39">
        <f t="shared" si="120"/>
        <v>219.91148575128551</v>
      </c>
      <c r="M749">
        <f t="shared" si="121"/>
        <v>335.31337508538434</v>
      </c>
      <c r="N749">
        <f t="shared" si="122"/>
        <v>25808.741877556735</v>
      </c>
      <c r="O749" s="39">
        <f t="shared" si="123"/>
        <v>41351.499279214069</v>
      </c>
      <c r="S749">
        <f t="shared" si="124"/>
        <v>1</v>
      </c>
      <c r="T749">
        <f t="shared" si="125"/>
        <v>1</v>
      </c>
      <c r="U749">
        <f t="shared" si="126"/>
        <v>1</v>
      </c>
      <c r="V749">
        <f t="shared" si="127"/>
        <v>0</v>
      </c>
      <c r="W749">
        <f t="shared" si="128"/>
        <v>0</v>
      </c>
      <c r="Y749" t="str">
        <f t="shared" si="129"/>
        <v/>
      </c>
    </row>
    <row r="750" spans="8:25">
      <c r="H750">
        <v>518</v>
      </c>
      <c r="I750" s="18">
        <v>22</v>
      </c>
      <c r="J750">
        <v>58</v>
      </c>
      <c r="K750">
        <f t="shared" si="119"/>
        <v>290</v>
      </c>
      <c r="L750" s="39">
        <f t="shared" si="120"/>
        <v>220.47697242893173</v>
      </c>
      <c r="M750">
        <f t="shared" si="121"/>
        <v>365.31337508538434</v>
      </c>
      <c r="N750">
        <f t="shared" si="122"/>
        <v>28190.1154243171</v>
      </c>
      <c r="O750" s="39">
        <f t="shared" si="123"/>
        <v>43732.872825974438</v>
      </c>
      <c r="S750">
        <f t="shared" si="124"/>
        <v>1</v>
      </c>
      <c r="T750">
        <f t="shared" si="125"/>
        <v>1</v>
      </c>
      <c r="U750">
        <f t="shared" si="126"/>
        <v>1</v>
      </c>
      <c r="V750">
        <f t="shared" si="127"/>
        <v>0</v>
      </c>
      <c r="W750">
        <f t="shared" si="128"/>
        <v>1</v>
      </c>
      <c r="Y750" t="str">
        <f t="shared" si="129"/>
        <v/>
      </c>
    </row>
    <row r="751" spans="8:25">
      <c r="H751">
        <v>519</v>
      </c>
      <c r="I751" s="18">
        <v>28</v>
      </c>
      <c r="J751">
        <v>36</v>
      </c>
      <c r="K751">
        <f t="shared" si="119"/>
        <v>180</v>
      </c>
      <c r="L751" s="39">
        <f t="shared" si="120"/>
        <v>221.67077763729577</v>
      </c>
      <c r="M751">
        <f t="shared" si="121"/>
        <v>420.31337508538434</v>
      </c>
      <c r="N751">
        <f t="shared" si="122"/>
        <v>32609.917447286738</v>
      </c>
      <c r="O751" s="39">
        <f t="shared" si="123"/>
        <v>48152.674848944072</v>
      </c>
      <c r="S751">
        <f t="shared" si="124"/>
        <v>1</v>
      </c>
      <c r="T751">
        <f t="shared" si="125"/>
        <v>1</v>
      </c>
      <c r="U751">
        <f t="shared" si="126"/>
        <v>0</v>
      </c>
      <c r="V751">
        <f t="shared" si="127"/>
        <v>0</v>
      </c>
      <c r="W751">
        <f t="shared" si="128"/>
        <v>1</v>
      </c>
      <c r="Y751" t="str">
        <f t="shared" si="129"/>
        <v/>
      </c>
    </row>
    <row r="752" spans="8:25">
      <c r="H752">
        <v>520</v>
      </c>
      <c r="I752" s="18">
        <v>45</v>
      </c>
      <c r="J752">
        <v>14</v>
      </c>
      <c r="K752">
        <f t="shared" si="119"/>
        <v>70</v>
      </c>
      <c r="L752" s="39">
        <f t="shared" si="120"/>
        <v>222.66037932317658</v>
      </c>
      <c r="M752">
        <f t="shared" si="121"/>
        <v>475.31337508538434</v>
      </c>
      <c r="N752">
        <f t="shared" si="122"/>
        <v>37041.709737861842</v>
      </c>
      <c r="O752" s="39">
        <f t="shared" si="123"/>
        <v>52584.467139519176</v>
      </c>
      <c r="S752">
        <f t="shared" si="124"/>
        <v>1</v>
      </c>
      <c r="T752">
        <f t="shared" si="125"/>
        <v>1</v>
      </c>
      <c r="U752">
        <f t="shared" si="126"/>
        <v>0</v>
      </c>
      <c r="V752">
        <f t="shared" si="127"/>
        <v>1</v>
      </c>
      <c r="W752">
        <f t="shared" si="128"/>
        <v>1</v>
      </c>
      <c r="Y752" t="str">
        <f t="shared" si="129"/>
        <v/>
      </c>
    </row>
    <row r="753" spans="8:25">
      <c r="H753">
        <v>521</v>
      </c>
      <c r="I753" s="18">
        <v>26</v>
      </c>
      <c r="J753">
        <v>42</v>
      </c>
      <c r="K753">
        <f t="shared" si="119"/>
        <v>210</v>
      </c>
      <c r="L753" s="39">
        <f t="shared" si="120"/>
        <v>222.99024655180355</v>
      </c>
      <c r="M753">
        <f t="shared" si="121"/>
        <v>405.31337508538434</v>
      </c>
      <c r="N753">
        <f t="shared" si="122"/>
        <v>31633.325304361719</v>
      </c>
      <c r="O753" s="39">
        <f t="shared" si="123"/>
        <v>47176.08270601905</v>
      </c>
      <c r="S753">
        <f t="shared" si="124"/>
        <v>1</v>
      </c>
      <c r="T753">
        <f t="shared" si="125"/>
        <v>1</v>
      </c>
      <c r="U753">
        <f t="shared" si="126"/>
        <v>0</v>
      </c>
      <c r="V753">
        <f t="shared" si="127"/>
        <v>0</v>
      </c>
      <c r="W753">
        <f t="shared" si="128"/>
        <v>1</v>
      </c>
      <c r="Y753" t="str">
        <f t="shared" si="129"/>
        <v/>
      </c>
    </row>
    <row r="754" spans="8:25">
      <c r="H754">
        <v>522</v>
      </c>
      <c r="I754" s="18">
        <v>36</v>
      </c>
      <c r="J754">
        <v>22</v>
      </c>
      <c r="K754">
        <f t="shared" si="119"/>
        <v>110</v>
      </c>
      <c r="L754" s="39">
        <f t="shared" si="120"/>
        <v>223.93272434788045</v>
      </c>
      <c r="M754">
        <f t="shared" si="121"/>
        <v>455.31337508538434</v>
      </c>
      <c r="N754">
        <f t="shared" si="122"/>
        <v>35685.84758021446</v>
      </c>
      <c r="O754" s="39">
        <f t="shared" si="123"/>
        <v>51228.604981871795</v>
      </c>
      <c r="S754">
        <f t="shared" si="124"/>
        <v>1</v>
      </c>
      <c r="T754">
        <f t="shared" si="125"/>
        <v>1</v>
      </c>
      <c r="U754">
        <f t="shared" si="126"/>
        <v>0</v>
      </c>
      <c r="V754">
        <f t="shared" si="127"/>
        <v>0</v>
      </c>
      <c r="W754">
        <f t="shared" si="128"/>
        <v>1</v>
      </c>
      <c r="Y754" t="str">
        <f t="shared" si="129"/>
        <v/>
      </c>
    </row>
    <row r="755" spans="8:25">
      <c r="H755">
        <v>523</v>
      </c>
      <c r="I755" s="18">
        <v>18</v>
      </c>
      <c r="J755">
        <v>88</v>
      </c>
      <c r="K755">
        <f t="shared" si="119"/>
        <v>440</v>
      </c>
      <c r="L755" s="39">
        <f t="shared" si="120"/>
        <v>223.93272434788045</v>
      </c>
      <c r="M755">
        <f t="shared" si="121"/>
        <v>290.31337508538434</v>
      </c>
      <c r="N755">
        <f t="shared" si="122"/>
        <v>22753.732749124367</v>
      </c>
      <c r="O755" s="39">
        <f t="shared" si="123"/>
        <v>38296.490150781698</v>
      </c>
      <c r="S755">
        <f t="shared" si="124"/>
        <v>1</v>
      </c>
      <c r="T755">
        <f t="shared" si="125"/>
        <v>1</v>
      </c>
      <c r="U755">
        <f t="shared" si="126"/>
        <v>1</v>
      </c>
      <c r="V755">
        <f t="shared" si="127"/>
        <v>0</v>
      </c>
      <c r="W755">
        <f t="shared" si="128"/>
        <v>0</v>
      </c>
      <c r="Y755" t="str">
        <f t="shared" si="129"/>
        <v/>
      </c>
    </row>
    <row r="756" spans="8:25">
      <c r="H756">
        <v>524</v>
      </c>
      <c r="I756" s="18">
        <v>32</v>
      </c>
      <c r="J756">
        <v>28</v>
      </c>
      <c r="K756">
        <f t="shared" si="119"/>
        <v>140</v>
      </c>
      <c r="L756" s="39">
        <f t="shared" si="120"/>
        <v>225.1893614093164</v>
      </c>
      <c r="M756">
        <f t="shared" si="121"/>
        <v>440.31337508538434</v>
      </c>
      <c r="N756">
        <f t="shared" si="122"/>
        <v>34703.860714410475</v>
      </c>
      <c r="O756" s="39">
        <f t="shared" si="123"/>
        <v>50246.61811606781</v>
      </c>
      <c r="S756">
        <f t="shared" si="124"/>
        <v>1</v>
      </c>
      <c r="T756">
        <f t="shared" si="125"/>
        <v>1</v>
      </c>
      <c r="U756">
        <f t="shared" si="126"/>
        <v>0</v>
      </c>
      <c r="V756">
        <f t="shared" si="127"/>
        <v>0</v>
      </c>
      <c r="W756">
        <f t="shared" si="128"/>
        <v>1</v>
      </c>
      <c r="Y756" t="str">
        <f t="shared" si="129"/>
        <v/>
      </c>
    </row>
    <row r="757" spans="8:25">
      <c r="H757">
        <v>525</v>
      </c>
      <c r="I757" s="18">
        <v>25</v>
      </c>
      <c r="J757">
        <v>46</v>
      </c>
      <c r="K757">
        <f t="shared" si="119"/>
        <v>230</v>
      </c>
      <c r="L757" s="39">
        <f t="shared" si="120"/>
        <v>225.80197197676637</v>
      </c>
      <c r="M757">
        <f t="shared" si="121"/>
        <v>395.31337508538434</v>
      </c>
      <c r="N757">
        <f t="shared" si="122"/>
        <v>31241.888875074812</v>
      </c>
      <c r="O757" s="39">
        <f t="shared" si="123"/>
        <v>46784.64627673215</v>
      </c>
      <c r="S757">
        <f t="shared" si="124"/>
        <v>1</v>
      </c>
      <c r="T757">
        <f t="shared" si="125"/>
        <v>1</v>
      </c>
      <c r="U757">
        <f t="shared" si="126"/>
        <v>1</v>
      </c>
      <c r="V757">
        <f t="shared" si="127"/>
        <v>0</v>
      </c>
      <c r="W757">
        <f t="shared" si="128"/>
        <v>1</v>
      </c>
      <c r="Y757" t="str">
        <f t="shared" si="129"/>
        <v/>
      </c>
    </row>
    <row r="758" spans="8:25">
      <c r="H758">
        <v>526</v>
      </c>
      <c r="I758" s="18">
        <v>40</v>
      </c>
      <c r="J758">
        <v>18</v>
      </c>
      <c r="K758">
        <f t="shared" si="119"/>
        <v>90</v>
      </c>
      <c r="L758" s="39">
        <f t="shared" si="120"/>
        <v>226.1946710584651</v>
      </c>
      <c r="M758">
        <f t="shared" si="121"/>
        <v>465.31337508538434</v>
      </c>
      <c r="N758">
        <f t="shared" si="122"/>
        <v>36837.992035789946</v>
      </c>
      <c r="O758" s="39">
        <f t="shared" si="123"/>
        <v>52380.749437447281</v>
      </c>
      <c r="S758">
        <f t="shared" si="124"/>
        <v>1</v>
      </c>
      <c r="T758">
        <f t="shared" si="125"/>
        <v>1</v>
      </c>
      <c r="U758">
        <f t="shared" si="126"/>
        <v>0</v>
      </c>
      <c r="V758">
        <f t="shared" si="127"/>
        <v>1</v>
      </c>
      <c r="W758">
        <f t="shared" si="128"/>
        <v>1</v>
      </c>
      <c r="Y758" t="str">
        <f t="shared" si="129"/>
        <v/>
      </c>
    </row>
    <row r="759" spans="8:25">
      <c r="H759">
        <v>527</v>
      </c>
      <c r="I759" s="18">
        <v>30</v>
      </c>
      <c r="J759">
        <v>32</v>
      </c>
      <c r="K759">
        <f t="shared" si="119"/>
        <v>160</v>
      </c>
      <c r="L759" s="39">
        <f t="shared" si="120"/>
        <v>226.1946710584651</v>
      </c>
      <c r="M759">
        <f t="shared" si="121"/>
        <v>430.31337508538434</v>
      </c>
      <c r="N759">
        <f t="shared" si="122"/>
        <v>34067.107315323745</v>
      </c>
      <c r="O759" s="39">
        <f t="shared" si="123"/>
        <v>49609.864716981079</v>
      </c>
      <c r="S759">
        <f t="shared" si="124"/>
        <v>1</v>
      </c>
      <c r="T759">
        <f t="shared" si="125"/>
        <v>1</v>
      </c>
      <c r="U759">
        <f t="shared" si="126"/>
        <v>0</v>
      </c>
      <c r="V759">
        <f t="shared" si="127"/>
        <v>0</v>
      </c>
      <c r="W759">
        <f t="shared" si="128"/>
        <v>1</v>
      </c>
      <c r="Y759" t="str">
        <f t="shared" si="129"/>
        <v/>
      </c>
    </row>
    <row r="760" spans="8:25">
      <c r="H760">
        <v>528</v>
      </c>
      <c r="I760" s="18">
        <v>24</v>
      </c>
      <c r="J760">
        <v>50</v>
      </c>
      <c r="K760">
        <f t="shared" si="119"/>
        <v>250</v>
      </c>
      <c r="L760" s="39">
        <f t="shared" si="120"/>
        <v>226.1946710584651</v>
      </c>
      <c r="M760">
        <f t="shared" si="121"/>
        <v>385.31337508538434</v>
      </c>
      <c r="N760">
        <f t="shared" si="122"/>
        <v>30504.541246152923</v>
      </c>
      <c r="O760" s="39">
        <f t="shared" si="123"/>
        <v>46047.298647810254</v>
      </c>
      <c r="S760">
        <f t="shared" si="124"/>
        <v>1</v>
      </c>
      <c r="T760">
        <f t="shared" si="125"/>
        <v>1</v>
      </c>
      <c r="U760">
        <f t="shared" si="126"/>
        <v>1</v>
      </c>
      <c r="V760">
        <f t="shared" si="127"/>
        <v>0</v>
      </c>
      <c r="W760">
        <f t="shared" si="128"/>
        <v>1</v>
      </c>
      <c r="Y760" t="str">
        <f t="shared" si="129"/>
        <v/>
      </c>
    </row>
    <row r="761" spans="8:25">
      <c r="H761">
        <v>529</v>
      </c>
      <c r="I761" s="18">
        <v>20</v>
      </c>
      <c r="J761">
        <v>72</v>
      </c>
      <c r="K761">
        <f t="shared" si="119"/>
        <v>360</v>
      </c>
      <c r="L761" s="39">
        <f t="shared" si="120"/>
        <v>226.1946710584651</v>
      </c>
      <c r="M761">
        <f t="shared" si="121"/>
        <v>330.31337508538434</v>
      </c>
      <c r="N761">
        <f t="shared" si="122"/>
        <v>26150.29382827747</v>
      </c>
      <c r="O761" s="39">
        <f t="shared" si="123"/>
        <v>41693.051229934805</v>
      </c>
      <c r="S761">
        <f t="shared" si="124"/>
        <v>1</v>
      </c>
      <c r="T761">
        <f t="shared" si="125"/>
        <v>1</v>
      </c>
      <c r="U761">
        <f t="shared" si="126"/>
        <v>1</v>
      </c>
      <c r="V761">
        <f t="shared" si="127"/>
        <v>0</v>
      </c>
      <c r="W761">
        <f t="shared" si="128"/>
        <v>0</v>
      </c>
      <c r="Y761" t="str">
        <f t="shared" si="129"/>
        <v/>
      </c>
    </row>
    <row r="762" spans="8:25">
      <c r="H762">
        <v>530</v>
      </c>
      <c r="I762" s="18">
        <v>38</v>
      </c>
      <c r="J762">
        <v>20</v>
      </c>
      <c r="K762">
        <f t="shared" si="119"/>
        <v>100</v>
      </c>
      <c r="L762" s="39">
        <f t="shared" si="120"/>
        <v>226.82298958918307</v>
      </c>
      <c r="M762">
        <f t="shared" si="121"/>
        <v>460.31337508538434</v>
      </c>
      <c r="N762">
        <f t="shared" si="122"/>
        <v>36543.379559663845</v>
      </c>
      <c r="O762" s="39">
        <f t="shared" si="123"/>
        <v>52086.136961321179</v>
      </c>
      <c r="S762">
        <f t="shared" si="124"/>
        <v>1</v>
      </c>
      <c r="T762">
        <f t="shared" si="125"/>
        <v>1</v>
      </c>
      <c r="U762">
        <f t="shared" si="126"/>
        <v>0</v>
      </c>
      <c r="V762">
        <f t="shared" si="127"/>
        <v>1</v>
      </c>
      <c r="W762">
        <f t="shared" si="128"/>
        <v>1</v>
      </c>
      <c r="Y762" t="str">
        <f t="shared" si="129"/>
        <v/>
      </c>
    </row>
    <row r="763" spans="8:25">
      <c r="H763">
        <v>531</v>
      </c>
      <c r="I763" s="18">
        <v>22</v>
      </c>
      <c r="J763">
        <v>60</v>
      </c>
      <c r="K763">
        <f t="shared" si="119"/>
        <v>300</v>
      </c>
      <c r="L763" s="39">
        <f t="shared" si="120"/>
        <v>228.07962665061899</v>
      </c>
      <c r="M763">
        <f t="shared" si="121"/>
        <v>360.31337508538434</v>
      </c>
      <c r="N763">
        <f t="shared" si="122"/>
        <v>28763.049023344614</v>
      </c>
      <c r="O763" s="39">
        <f t="shared" si="123"/>
        <v>44305.806425001952</v>
      </c>
      <c r="S763">
        <f t="shared" si="124"/>
        <v>1</v>
      </c>
      <c r="T763">
        <f t="shared" si="125"/>
        <v>1</v>
      </c>
      <c r="U763">
        <f t="shared" si="126"/>
        <v>1</v>
      </c>
      <c r="V763">
        <f t="shared" si="127"/>
        <v>0</v>
      </c>
      <c r="W763">
        <f t="shared" si="128"/>
        <v>1</v>
      </c>
      <c r="Y763" t="str">
        <f t="shared" si="129"/>
        <v/>
      </c>
    </row>
    <row r="764" spans="8:25">
      <c r="H764">
        <v>532</v>
      </c>
      <c r="I764" s="18">
        <v>18</v>
      </c>
      <c r="J764">
        <v>90</v>
      </c>
      <c r="K764">
        <f t="shared" si="119"/>
        <v>450</v>
      </c>
      <c r="L764" s="39">
        <f t="shared" si="120"/>
        <v>229.02210444669595</v>
      </c>
      <c r="M764">
        <f t="shared" si="121"/>
        <v>285.31337508538434</v>
      </c>
      <c r="N764">
        <f t="shared" si="122"/>
        <v>22870.074356095483</v>
      </c>
      <c r="O764" s="39">
        <f t="shared" si="123"/>
        <v>38412.831757752821</v>
      </c>
      <c r="S764">
        <f t="shared" si="124"/>
        <v>1</v>
      </c>
      <c r="T764">
        <f t="shared" si="125"/>
        <v>1</v>
      </c>
      <c r="U764">
        <f t="shared" si="126"/>
        <v>1</v>
      </c>
      <c r="V764">
        <f t="shared" si="127"/>
        <v>0</v>
      </c>
      <c r="W764">
        <f t="shared" si="128"/>
        <v>0</v>
      </c>
      <c r="Y764" t="str">
        <f t="shared" si="129"/>
        <v/>
      </c>
    </row>
    <row r="765" spans="8:25">
      <c r="H765">
        <v>533</v>
      </c>
      <c r="I765" s="18">
        <v>20</v>
      </c>
      <c r="J765">
        <v>74</v>
      </c>
      <c r="K765">
        <f t="shared" si="119"/>
        <v>370</v>
      </c>
      <c r="L765" s="39">
        <f t="shared" si="120"/>
        <v>232.4778563656447</v>
      </c>
      <c r="M765">
        <f t="shared" si="121"/>
        <v>325.31337508538434</v>
      </c>
      <c r="N765">
        <f t="shared" si="122"/>
        <v>26469.85463042308</v>
      </c>
      <c r="O765" s="39">
        <f t="shared" si="123"/>
        <v>42012.612032080418</v>
      </c>
      <c r="S765">
        <f t="shared" si="124"/>
        <v>1</v>
      </c>
      <c r="T765">
        <f t="shared" si="125"/>
        <v>1</v>
      </c>
      <c r="U765">
        <f t="shared" si="126"/>
        <v>1</v>
      </c>
      <c r="V765">
        <f t="shared" si="127"/>
        <v>0</v>
      </c>
      <c r="W765">
        <f t="shared" si="128"/>
        <v>0</v>
      </c>
      <c r="Y765" t="str">
        <f t="shared" si="129"/>
        <v/>
      </c>
    </row>
    <row r="766" spans="8:25">
      <c r="H766">
        <v>534</v>
      </c>
      <c r="I766" s="18">
        <v>26</v>
      </c>
      <c r="J766">
        <v>44</v>
      </c>
      <c r="K766">
        <f t="shared" si="119"/>
        <v>220</v>
      </c>
      <c r="L766" s="39">
        <f t="shared" si="120"/>
        <v>233.60882972093702</v>
      </c>
      <c r="M766">
        <f t="shared" si="121"/>
        <v>400.31337508538434</v>
      </c>
      <c r="N766">
        <f t="shared" si="122"/>
        <v>32730.858676367301</v>
      </c>
      <c r="O766" s="39">
        <f t="shared" si="123"/>
        <v>48273.616078024635</v>
      </c>
      <c r="S766">
        <f t="shared" si="124"/>
        <v>1</v>
      </c>
      <c r="T766">
        <f t="shared" si="125"/>
        <v>1</v>
      </c>
      <c r="U766">
        <f t="shared" si="126"/>
        <v>0</v>
      </c>
      <c r="V766">
        <f t="shared" si="127"/>
        <v>0</v>
      </c>
      <c r="W766">
        <f t="shared" si="128"/>
        <v>1</v>
      </c>
      <c r="Y766" t="str">
        <f t="shared" si="129"/>
        <v/>
      </c>
    </row>
    <row r="767" spans="8:25">
      <c r="H767">
        <v>535</v>
      </c>
      <c r="I767" s="18">
        <v>28</v>
      </c>
      <c r="J767">
        <v>38</v>
      </c>
      <c r="K767">
        <f t="shared" si="119"/>
        <v>190</v>
      </c>
      <c r="L767" s="39">
        <f t="shared" si="120"/>
        <v>233.98582083936773</v>
      </c>
      <c r="M767">
        <f t="shared" si="121"/>
        <v>415.31337508538434</v>
      </c>
      <c r="N767">
        <f t="shared" si="122"/>
        <v>34012.10434122265</v>
      </c>
      <c r="O767" s="39">
        <f t="shared" si="123"/>
        <v>49554.861742879984</v>
      </c>
      <c r="S767">
        <f t="shared" si="124"/>
        <v>1</v>
      </c>
      <c r="T767">
        <f t="shared" si="125"/>
        <v>1</v>
      </c>
      <c r="U767">
        <f t="shared" si="126"/>
        <v>0</v>
      </c>
      <c r="V767">
        <f t="shared" si="127"/>
        <v>0</v>
      </c>
      <c r="W767">
        <f t="shared" si="128"/>
        <v>1</v>
      </c>
      <c r="Y767" t="str">
        <f t="shared" si="129"/>
        <v/>
      </c>
    </row>
    <row r="768" spans="8:25">
      <c r="H768">
        <v>536</v>
      </c>
      <c r="I768" s="18">
        <v>18</v>
      </c>
      <c r="J768">
        <v>92</v>
      </c>
      <c r="K768">
        <f t="shared" si="119"/>
        <v>460</v>
      </c>
      <c r="L768" s="39">
        <f t="shared" si="120"/>
        <v>234.11148454551139</v>
      </c>
      <c r="M768">
        <f t="shared" si="121"/>
        <v>280.31337508538434</v>
      </c>
      <c r="N768">
        <f t="shared" si="122"/>
        <v>22968.603132720735</v>
      </c>
      <c r="O768" s="39">
        <f t="shared" si="123"/>
        <v>38511.360534378065</v>
      </c>
      <c r="S768">
        <f t="shared" si="124"/>
        <v>1</v>
      </c>
      <c r="T768">
        <f t="shared" si="125"/>
        <v>1</v>
      </c>
      <c r="U768">
        <f t="shared" si="126"/>
        <v>1</v>
      </c>
      <c r="V768">
        <f t="shared" si="127"/>
        <v>0</v>
      </c>
      <c r="W768">
        <f t="shared" si="128"/>
        <v>0</v>
      </c>
      <c r="Y768" t="str">
        <f t="shared" si="129"/>
        <v/>
      </c>
    </row>
    <row r="769" spans="8:25">
      <c r="H769">
        <v>537</v>
      </c>
      <c r="I769" s="18">
        <v>24</v>
      </c>
      <c r="J769">
        <v>52</v>
      </c>
      <c r="K769">
        <f t="shared" si="119"/>
        <v>260</v>
      </c>
      <c r="L769" s="39">
        <f t="shared" si="120"/>
        <v>235.24245790080371</v>
      </c>
      <c r="M769">
        <f t="shared" si="121"/>
        <v>380.31337508538434</v>
      </c>
      <c r="N769">
        <f t="shared" si="122"/>
        <v>31313.048594672637</v>
      </c>
      <c r="O769" s="39">
        <f t="shared" si="123"/>
        <v>46855.805996329975</v>
      </c>
      <c r="S769">
        <f t="shared" si="124"/>
        <v>1</v>
      </c>
      <c r="T769">
        <f t="shared" si="125"/>
        <v>1</v>
      </c>
      <c r="U769">
        <f t="shared" si="126"/>
        <v>1</v>
      </c>
      <c r="V769">
        <f t="shared" si="127"/>
        <v>0</v>
      </c>
      <c r="W769">
        <f t="shared" si="128"/>
        <v>1</v>
      </c>
      <c r="Y769" t="str">
        <f t="shared" si="129"/>
        <v/>
      </c>
    </row>
    <row r="770" spans="8:25">
      <c r="H770">
        <v>538</v>
      </c>
      <c r="I770" s="18">
        <v>50</v>
      </c>
      <c r="J770">
        <v>12</v>
      </c>
      <c r="K770">
        <f t="shared" si="119"/>
        <v>60</v>
      </c>
      <c r="L770" s="39">
        <f t="shared" si="120"/>
        <v>235.61944901923448</v>
      </c>
      <c r="M770">
        <f t="shared" si="121"/>
        <v>480.31337508538434</v>
      </c>
      <c r="N770">
        <f t="shared" si="122"/>
        <v>39609.91047796551</v>
      </c>
      <c r="O770" s="39">
        <f t="shared" si="123"/>
        <v>55152.667879622844</v>
      </c>
      <c r="S770">
        <f t="shared" si="124"/>
        <v>1</v>
      </c>
      <c r="T770">
        <f t="shared" si="125"/>
        <v>1</v>
      </c>
      <c r="U770">
        <f t="shared" si="126"/>
        <v>0</v>
      </c>
      <c r="V770">
        <f t="shared" si="127"/>
        <v>1</v>
      </c>
      <c r="W770">
        <f t="shared" si="128"/>
        <v>1</v>
      </c>
      <c r="Y770" t="str">
        <f t="shared" si="129"/>
        <v/>
      </c>
    </row>
    <row r="771" spans="8:25">
      <c r="H771">
        <v>539</v>
      </c>
      <c r="I771" s="18">
        <v>25</v>
      </c>
      <c r="J771">
        <v>48</v>
      </c>
      <c r="K771">
        <f t="shared" si="119"/>
        <v>240</v>
      </c>
      <c r="L771" s="39">
        <f t="shared" si="120"/>
        <v>235.61944901923448</v>
      </c>
      <c r="M771">
        <f t="shared" si="121"/>
        <v>390.31337508538434</v>
      </c>
      <c r="N771">
        <f t="shared" si="122"/>
        <v>32187.897833859624</v>
      </c>
      <c r="O771" s="39">
        <f t="shared" si="123"/>
        <v>47730.655235516955</v>
      </c>
      <c r="S771">
        <f t="shared" si="124"/>
        <v>1</v>
      </c>
      <c r="T771">
        <f t="shared" si="125"/>
        <v>1</v>
      </c>
      <c r="U771">
        <f t="shared" si="126"/>
        <v>1</v>
      </c>
      <c r="V771">
        <f t="shared" si="127"/>
        <v>0</v>
      </c>
      <c r="W771">
        <f t="shared" si="128"/>
        <v>1</v>
      </c>
      <c r="Y771" t="str">
        <f t="shared" si="129"/>
        <v/>
      </c>
    </row>
    <row r="772" spans="8:25">
      <c r="H772">
        <v>540</v>
      </c>
      <c r="I772" s="18">
        <v>22</v>
      </c>
      <c r="J772">
        <v>62</v>
      </c>
      <c r="K772">
        <f t="shared" si="119"/>
        <v>310</v>
      </c>
      <c r="L772" s="39">
        <f t="shared" si="120"/>
        <v>235.68228087230631</v>
      </c>
      <c r="M772">
        <f t="shared" si="121"/>
        <v>355.31337508538434</v>
      </c>
      <c r="N772">
        <f t="shared" si="122"/>
        <v>29309.373332596235</v>
      </c>
      <c r="O772" s="39">
        <f t="shared" si="123"/>
        <v>44852.130734253573</v>
      </c>
      <c r="S772">
        <f t="shared" si="124"/>
        <v>1</v>
      </c>
      <c r="T772">
        <f t="shared" si="125"/>
        <v>1</v>
      </c>
      <c r="U772">
        <f t="shared" si="126"/>
        <v>1</v>
      </c>
      <c r="V772">
        <f t="shared" si="127"/>
        <v>0</v>
      </c>
      <c r="W772">
        <f t="shared" si="128"/>
        <v>0</v>
      </c>
      <c r="Y772" t="str">
        <f t="shared" si="129"/>
        <v/>
      </c>
    </row>
    <row r="773" spans="8:25">
      <c r="H773">
        <v>541</v>
      </c>
      <c r="I773" s="18">
        <v>34</v>
      </c>
      <c r="J773">
        <v>26</v>
      </c>
      <c r="K773">
        <f t="shared" si="119"/>
        <v>130</v>
      </c>
      <c r="L773" s="39">
        <f t="shared" si="120"/>
        <v>236.05927199073705</v>
      </c>
      <c r="M773">
        <f t="shared" si="121"/>
        <v>445.31337508538434</v>
      </c>
      <c r="N773">
        <f t="shared" si="122"/>
        <v>36792.122895637847</v>
      </c>
      <c r="O773" s="39">
        <f t="shared" si="123"/>
        <v>52334.880297295182</v>
      </c>
      <c r="S773">
        <f t="shared" si="124"/>
        <v>1</v>
      </c>
      <c r="T773">
        <f t="shared" si="125"/>
        <v>1</v>
      </c>
      <c r="U773">
        <f t="shared" si="126"/>
        <v>0</v>
      </c>
      <c r="V773">
        <f t="shared" si="127"/>
        <v>0</v>
      </c>
      <c r="W773">
        <f t="shared" si="128"/>
        <v>1</v>
      </c>
      <c r="Y773" t="str">
        <f t="shared" si="129"/>
        <v/>
      </c>
    </row>
    <row r="774" spans="8:25">
      <c r="H774">
        <v>542</v>
      </c>
      <c r="I774" s="18">
        <v>20</v>
      </c>
      <c r="J774">
        <v>76</v>
      </c>
      <c r="K774">
        <f t="shared" si="119"/>
        <v>380</v>
      </c>
      <c r="L774" s="39">
        <f t="shared" si="120"/>
        <v>238.76104167282426</v>
      </c>
      <c r="M774">
        <f t="shared" si="121"/>
        <v>320.31337508538434</v>
      </c>
      <c r="N774">
        <f t="shared" si="122"/>
        <v>26767.424283993554</v>
      </c>
      <c r="O774" s="39">
        <f t="shared" si="123"/>
        <v>42310.181685650889</v>
      </c>
      <c r="S774">
        <f t="shared" si="124"/>
        <v>1</v>
      </c>
      <c r="T774">
        <f t="shared" si="125"/>
        <v>1</v>
      </c>
      <c r="U774">
        <f t="shared" si="126"/>
        <v>1</v>
      </c>
      <c r="V774">
        <f t="shared" si="127"/>
        <v>0</v>
      </c>
      <c r="W774">
        <f t="shared" si="128"/>
        <v>0</v>
      </c>
      <c r="Y774" t="str">
        <f t="shared" si="129"/>
        <v/>
      </c>
    </row>
    <row r="775" spans="8:25">
      <c r="H775">
        <v>543</v>
      </c>
      <c r="I775" s="18">
        <v>18</v>
      </c>
      <c r="J775">
        <v>94</v>
      </c>
      <c r="K775">
        <f t="shared" si="119"/>
        <v>470</v>
      </c>
      <c r="L775" s="39">
        <f t="shared" si="120"/>
        <v>239.20086464432688</v>
      </c>
      <c r="M775">
        <f t="shared" si="121"/>
        <v>275.31337508538434</v>
      </c>
      <c r="N775">
        <f t="shared" si="122"/>
        <v>23049.319079000135</v>
      </c>
      <c r="O775" s="39">
        <f t="shared" si="123"/>
        <v>38592.076480657473</v>
      </c>
      <c r="S775">
        <f t="shared" si="124"/>
        <v>1</v>
      </c>
      <c r="T775">
        <f t="shared" si="125"/>
        <v>1</v>
      </c>
      <c r="U775">
        <f t="shared" si="126"/>
        <v>1</v>
      </c>
      <c r="V775">
        <f t="shared" si="127"/>
        <v>0</v>
      </c>
      <c r="W775">
        <f t="shared" si="128"/>
        <v>0</v>
      </c>
      <c r="Y775" t="str">
        <f t="shared" si="129"/>
        <v/>
      </c>
    </row>
    <row r="776" spans="8:25">
      <c r="H776">
        <v>544</v>
      </c>
      <c r="I776" s="18">
        <v>30</v>
      </c>
      <c r="J776">
        <v>34</v>
      </c>
      <c r="K776">
        <f t="shared" si="119"/>
        <v>170</v>
      </c>
      <c r="L776" s="39">
        <f t="shared" si="120"/>
        <v>240.33183799961918</v>
      </c>
      <c r="M776">
        <f t="shared" si="121"/>
        <v>425.31337508538434</v>
      </c>
      <c r="N776">
        <f t="shared" si="122"/>
        <v>35775.72080603215</v>
      </c>
      <c r="O776" s="39">
        <f t="shared" si="123"/>
        <v>51318.478207689484</v>
      </c>
      <c r="S776">
        <f t="shared" si="124"/>
        <v>0</v>
      </c>
      <c r="T776">
        <f t="shared" si="125"/>
        <v>1</v>
      </c>
      <c r="U776">
        <f t="shared" si="126"/>
        <v>0</v>
      </c>
      <c r="V776">
        <f t="shared" si="127"/>
        <v>0</v>
      </c>
      <c r="W776">
        <f t="shared" si="128"/>
        <v>1</v>
      </c>
      <c r="Y776" t="str">
        <f t="shared" si="129"/>
        <v/>
      </c>
    </row>
    <row r="777" spans="8:25">
      <c r="H777">
        <v>545</v>
      </c>
      <c r="I777" s="18">
        <v>32</v>
      </c>
      <c r="J777">
        <v>30</v>
      </c>
      <c r="K777">
        <f t="shared" si="119"/>
        <v>150</v>
      </c>
      <c r="L777" s="39">
        <f t="shared" si="120"/>
        <v>241.27431579569614</v>
      </c>
      <c r="M777">
        <f t="shared" si="121"/>
        <v>435.31337508538434</v>
      </c>
      <c r="N777">
        <f t="shared" si="122"/>
        <v>36760.47785565447</v>
      </c>
      <c r="O777" s="39">
        <f t="shared" si="123"/>
        <v>52303.235257311804</v>
      </c>
      <c r="S777">
        <f t="shared" si="124"/>
        <v>0</v>
      </c>
      <c r="T777">
        <f t="shared" si="125"/>
        <v>1</v>
      </c>
      <c r="U777">
        <f t="shared" si="126"/>
        <v>0</v>
      </c>
      <c r="V777">
        <f t="shared" si="127"/>
        <v>0</v>
      </c>
      <c r="W777">
        <f t="shared" si="128"/>
        <v>1</v>
      </c>
      <c r="Y777" t="str">
        <f t="shared" si="129"/>
        <v/>
      </c>
    </row>
    <row r="778" spans="8:25">
      <c r="H778">
        <v>546</v>
      </c>
      <c r="I778" s="18">
        <v>22</v>
      </c>
      <c r="J778">
        <v>64</v>
      </c>
      <c r="K778">
        <f t="shared" si="119"/>
        <v>320</v>
      </c>
      <c r="L778" s="39">
        <f t="shared" si="120"/>
        <v>243.28493509399362</v>
      </c>
      <c r="M778">
        <f t="shared" si="121"/>
        <v>350.31337508538434</v>
      </c>
      <c r="N778">
        <f t="shared" si="122"/>
        <v>29829.088352071954</v>
      </c>
      <c r="O778" s="39">
        <f t="shared" si="123"/>
        <v>45371.845753729285</v>
      </c>
      <c r="S778">
        <f t="shared" si="124"/>
        <v>0</v>
      </c>
      <c r="T778">
        <f t="shared" si="125"/>
        <v>1</v>
      </c>
      <c r="U778">
        <f t="shared" si="126"/>
        <v>1</v>
      </c>
      <c r="V778">
        <f t="shared" si="127"/>
        <v>0</v>
      </c>
      <c r="W778">
        <f t="shared" si="128"/>
        <v>0</v>
      </c>
      <c r="Y778" t="str">
        <f t="shared" si="129"/>
        <v/>
      </c>
    </row>
    <row r="779" spans="8:25">
      <c r="H779">
        <v>547</v>
      </c>
      <c r="I779" s="18">
        <v>26</v>
      </c>
      <c r="J779">
        <v>46</v>
      </c>
      <c r="K779">
        <f t="shared" si="119"/>
        <v>230</v>
      </c>
      <c r="L779" s="39">
        <f t="shared" si="120"/>
        <v>244.22741289007053</v>
      </c>
      <c r="M779">
        <f t="shared" si="121"/>
        <v>395.31337508538434</v>
      </c>
      <c r="N779">
        <f t="shared" si="122"/>
        <v>33791.227007280919</v>
      </c>
      <c r="O779" s="39">
        <f t="shared" si="123"/>
        <v>49333.984408938253</v>
      </c>
      <c r="S779">
        <f t="shared" si="124"/>
        <v>0</v>
      </c>
      <c r="T779">
        <f t="shared" si="125"/>
        <v>1</v>
      </c>
      <c r="U779">
        <f t="shared" si="126"/>
        <v>0</v>
      </c>
      <c r="V779">
        <f t="shared" si="127"/>
        <v>0</v>
      </c>
      <c r="W779">
        <f t="shared" si="128"/>
        <v>1</v>
      </c>
      <c r="Y779" t="str">
        <f t="shared" si="129"/>
        <v/>
      </c>
    </row>
    <row r="780" spans="8:25">
      <c r="H780">
        <v>548</v>
      </c>
      <c r="I780" s="18">
        <v>24</v>
      </c>
      <c r="J780">
        <v>54</v>
      </c>
      <c r="K780">
        <f t="shared" si="119"/>
        <v>270</v>
      </c>
      <c r="L780" s="39">
        <f t="shared" si="120"/>
        <v>244.2902447431423</v>
      </c>
      <c r="M780">
        <f t="shared" si="121"/>
        <v>375.31337508538434</v>
      </c>
      <c r="N780">
        <f t="shared" si="122"/>
        <v>32089.888689244159</v>
      </c>
      <c r="O780" s="39">
        <f t="shared" si="123"/>
        <v>47632.646090901493</v>
      </c>
      <c r="S780">
        <f t="shared" si="124"/>
        <v>0</v>
      </c>
      <c r="T780">
        <f t="shared" si="125"/>
        <v>1</v>
      </c>
      <c r="U780">
        <f t="shared" si="126"/>
        <v>1</v>
      </c>
      <c r="V780">
        <f t="shared" si="127"/>
        <v>0</v>
      </c>
      <c r="W780">
        <f t="shared" si="128"/>
        <v>1</v>
      </c>
      <c r="Y780" t="str">
        <f t="shared" si="129"/>
        <v/>
      </c>
    </row>
    <row r="781" spans="8:25">
      <c r="H781">
        <v>549</v>
      </c>
      <c r="I781" s="18">
        <v>36</v>
      </c>
      <c r="J781">
        <v>24</v>
      </c>
      <c r="K781">
        <f t="shared" si="119"/>
        <v>120</v>
      </c>
      <c r="L781" s="39">
        <f t="shared" si="120"/>
        <v>244.29024474314232</v>
      </c>
      <c r="M781">
        <f t="shared" si="121"/>
        <v>450.31337508538434</v>
      </c>
      <c r="N781">
        <f t="shared" si="122"/>
        <v>38502.507613751644</v>
      </c>
      <c r="O781" s="39">
        <f t="shared" si="123"/>
        <v>54045.265015408979</v>
      </c>
      <c r="S781">
        <f t="shared" si="124"/>
        <v>0</v>
      </c>
      <c r="T781">
        <f t="shared" si="125"/>
        <v>1</v>
      </c>
      <c r="U781">
        <f t="shared" si="126"/>
        <v>0</v>
      </c>
      <c r="V781">
        <f t="shared" si="127"/>
        <v>0</v>
      </c>
      <c r="W781">
        <f t="shared" si="128"/>
        <v>1</v>
      </c>
      <c r="Y781" t="str">
        <f t="shared" si="129"/>
        <v/>
      </c>
    </row>
    <row r="782" spans="8:25">
      <c r="H782">
        <v>550</v>
      </c>
      <c r="I782" s="18">
        <v>18</v>
      </c>
      <c r="J782">
        <v>96</v>
      </c>
      <c r="K782">
        <f t="shared" si="119"/>
        <v>480</v>
      </c>
      <c r="L782" s="39">
        <f t="shared" si="120"/>
        <v>244.29024474314232</v>
      </c>
      <c r="M782">
        <f t="shared" si="121"/>
        <v>270.31337508538434</v>
      </c>
      <c r="N782">
        <f t="shared" si="122"/>
        <v>23112.222194933678</v>
      </c>
      <c r="O782" s="39">
        <f t="shared" si="123"/>
        <v>38654.979596591016</v>
      </c>
      <c r="S782">
        <f t="shared" si="124"/>
        <v>0</v>
      </c>
      <c r="T782">
        <f t="shared" si="125"/>
        <v>1</v>
      </c>
      <c r="U782">
        <f t="shared" si="126"/>
        <v>1</v>
      </c>
      <c r="V782">
        <f t="shared" si="127"/>
        <v>0</v>
      </c>
      <c r="W782">
        <f t="shared" si="128"/>
        <v>0</v>
      </c>
      <c r="Y782" t="str">
        <f t="shared" si="129"/>
        <v/>
      </c>
    </row>
    <row r="783" spans="8:25">
      <c r="H783">
        <v>551</v>
      </c>
      <c r="I783" s="18">
        <v>20</v>
      </c>
      <c r="J783">
        <v>78</v>
      </c>
      <c r="K783">
        <f t="shared" si="119"/>
        <v>390</v>
      </c>
      <c r="L783" s="39">
        <f t="shared" si="120"/>
        <v>245.04422698000386</v>
      </c>
      <c r="M783">
        <f t="shared" si="121"/>
        <v>315.31337508538434</v>
      </c>
      <c r="N783">
        <f t="shared" si="122"/>
        <v>27043.002788988902</v>
      </c>
      <c r="O783" s="39">
        <f t="shared" si="123"/>
        <v>42585.760190646237</v>
      </c>
      <c r="S783">
        <f t="shared" si="124"/>
        <v>0</v>
      </c>
      <c r="T783">
        <f t="shared" si="125"/>
        <v>1</v>
      </c>
      <c r="U783">
        <f t="shared" si="126"/>
        <v>1</v>
      </c>
      <c r="V783">
        <f t="shared" si="127"/>
        <v>0</v>
      </c>
      <c r="W783">
        <f t="shared" si="128"/>
        <v>0</v>
      </c>
      <c r="Y783" t="str">
        <f t="shared" si="129"/>
        <v/>
      </c>
    </row>
    <row r="784" spans="8:25">
      <c r="H784">
        <v>552</v>
      </c>
      <c r="I784" s="18">
        <v>25</v>
      </c>
      <c r="J784">
        <v>50</v>
      </c>
      <c r="K784">
        <f t="shared" si="119"/>
        <v>250</v>
      </c>
      <c r="L784" s="39">
        <f t="shared" si="120"/>
        <v>245.43692606170259</v>
      </c>
      <c r="M784">
        <f t="shared" si="121"/>
        <v>385.31337508538434</v>
      </c>
      <c r="N784">
        <f t="shared" si="122"/>
        <v>33099.545622995793</v>
      </c>
      <c r="O784" s="39">
        <f t="shared" si="123"/>
        <v>48642.303024653127</v>
      </c>
      <c r="S784">
        <f t="shared" si="124"/>
        <v>0</v>
      </c>
      <c r="T784">
        <f t="shared" si="125"/>
        <v>1</v>
      </c>
      <c r="U784">
        <f t="shared" si="126"/>
        <v>1</v>
      </c>
      <c r="V784">
        <f t="shared" si="127"/>
        <v>0</v>
      </c>
      <c r="W784">
        <f t="shared" si="128"/>
        <v>1</v>
      </c>
      <c r="Y784" t="str">
        <f t="shared" si="129"/>
        <v/>
      </c>
    </row>
    <row r="785" spans="8:25">
      <c r="H785">
        <v>553</v>
      </c>
      <c r="I785" s="18">
        <v>28</v>
      </c>
      <c r="J785">
        <v>40</v>
      </c>
      <c r="K785">
        <f t="shared" si="119"/>
        <v>200</v>
      </c>
      <c r="L785" s="39">
        <f t="shared" si="120"/>
        <v>246.30086404143975</v>
      </c>
      <c r="M785">
        <f t="shared" si="121"/>
        <v>410.31337508538434</v>
      </c>
      <c r="N785">
        <f t="shared" si="122"/>
        <v>35371.188583951334</v>
      </c>
      <c r="O785" s="39">
        <f t="shared" si="123"/>
        <v>50913.945985608669</v>
      </c>
      <c r="S785">
        <f t="shared" si="124"/>
        <v>0</v>
      </c>
      <c r="T785">
        <f t="shared" si="125"/>
        <v>1</v>
      </c>
      <c r="U785">
        <f t="shared" si="126"/>
        <v>0</v>
      </c>
      <c r="V785">
        <f t="shared" si="127"/>
        <v>0</v>
      </c>
      <c r="W785">
        <f t="shared" si="128"/>
        <v>1</v>
      </c>
      <c r="Y785" t="str">
        <f t="shared" si="129"/>
        <v/>
      </c>
    </row>
    <row r="786" spans="8:25">
      <c r="H786">
        <v>554</v>
      </c>
      <c r="I786" s="18">
        <v>18</v>
      </c>
      <c r="J786">
        <v>98</v>
      </c>
      <c r="K786">
        <f t="shared" si="119"/>
        <v>490</v>
      </c>
      <c r="L786" s="39">
        <f t="shared" si="120"/>
        <v>249.37962484195776</v>
      </c>
      <c r="M786">
        <f t="shared" si="121"/>
        <v>265.31337508538434</v>
      </c>
      <c r="N786">
        <f t="shared" si="122"/>
        <v>23157.312480521367</v>
      </c>
      <c r="O786" s="39">
        <f t="shared" si="123"/>
        <v>38700.069882178701</v>
      </c>
      <c r="S786">
        <f t="shared" si="124"/>
        <v>0</v>
      </c>
      <c r="T786">
        <f t="shared" si="125"/>
        <v>1</v>
      </c>
      <c r="U786">
        <f t="shared" si="126"/>
        <v>1</v>
      </c>
      <c r="V786">
        <f t="shared" si="127"/>
        <v>0</v>
      </c>
      <c r="W786">
        <f t="shared" si="128"/>
        <v>0</v>
      </c>
      <c r="Y786" t="str">
        <f t="shared" si="129"/>
        <v/>
      </c>
    </row>
    <row r="787" spans="8:25">
      <c r="H787">
        <v>555</v>
      </c>
      <c r="I787" s="18">
        <v>38</v>
      </c>
      <c r="J787">
        <v>22</v>
      </c>
      <c r="K787">
        <f t="shared" si="119"/>
        <v>110</v>
      </c>
      <c r="L787" s="39">
        <f t="shared" si="120"/>
        <v>249.50528854810133</v>
      </c>
      <c r="M787">
        <f t="shared" si="121"/>
        <v>455.31337508538434</v>
      </c>
      <c r="N787">
        <f t="shared" si="122"/>
        <v>39761.083260671054</v>
      </c>
      <c r="O787" s="39">
        <f t="shared" si="123"/>
        <v>55303.840662328388</v>
      </c>
      <c r="S787">
        <f t="shared" si="124"/>
        <v>0</v>
      </c>
      <c r="T787">
        <f t="shared" si="125"/>
        <v>1</v>
      </c>
      <c r="U787">
        <f t="shared" si="126"/>
        <v>0</v>
      </c>
      <c r="V787">
        <f t="shared" si="127"/>
        <v>0</v>
      </c>
      <c r="W787">
        <f t="shared" si="128"/>
        <v>1</v>
      </c>
      <c r="Y787" t="str">
        <f t="shared" si="129"/>
        <v/>
      </c>
    </row>
    <row r="788" spans="8:25">
      <c r="H788">
        <v>556</v>
      </c>
      <c r="I788" s="18">
        <v>22</v>
      </c>
      <c r="J788">
        <v>66</v>
      </c>
      <c r="K788">
        <f t="shared" si="119"/>
        <v>330</v>
      </c>
      <c r="L788" s="39">
        <f t="shared" si="120"/>
        <v>250.88758931568091</v>
      </c>
      <c r="M788">
        <f t="shared" si="121"/>
        <v>345.31337508538434</v>
      </c>
      <c r="N788">
        <f t="shared" si="122"/>
        <v>30322.194081771759</v>
      </c>
      <c r="O788" s="39">
        <f t="shared" si="123"/>
        <v>45864.951483429089</v>
      </c>
      <c r="S788">
        <f t="shared" si="124"/>
        <v>0</v>
      </c>
      <c r="T788">
        <f t="shared" si="125"/>
        <v>1</v>
      </c>
      <c r="U788">
        <f t="shared" si="126"/>
        <v>1</v>
      </c>
      <c r="V788">
        <f t="shared" si="127"/>
        <v>0</v>
      </c>
      <c r="W788">
        <f t="shared" si="128"/>
        <v>0</v>
      </c>
      <c r="Y788" t="str">
        <f t="shared" si="129"/>
        <v/>
      </c>
    </row>
    <row r="789" spans="8:25">
      <c r="H789">
        <v>557</v>
      </c>
      <c r="I789" s="18">
        <v>40</v>
      </c>
      <c r="J789">
        <v>20</v>
      </c>
      <c r="K789">
        <f t="shared" si="119"/>
        <v>100</v>
      </c>
      <c r="L789" s="39">
        <f t="shared" si="120"/>
        <v>251.32741228718345</v>
      </c>
      <c r="M789">
        <f t="shared" si="121"/>
        <v>460.31337508538434</v>
      </c>
      <c r="N789">
        <f t="shared" si="122"/>
        <v>40491.279290486258</v>
      </c>
      <c r="O789" s="39">
        <f t="shared" si="123"/>
        <v>56034.036692143593</v>
      </c>
      <c r="S789">
        <f t="shared" si="124"/>
        <v>0</v>
      </c>
      <c r="T789">
        <f t="shared" si="125"/>
        <v>1</v>
      </c>
      <c r="U789">
        <f t="shared" si="126"/>
        <v>0</v>
      </c>
      <c r="V789">
        <f t="shared" si="127"/>
        <v>1</v>
      </c>
      <c r="W789">
        <f t="shared" si="128"/>
        <v>1</v>
      </c>
      <c r="Y789" t="str">
        <f t="shared" si="129"/>
        <v/>
      </c>
    </row>
    <row r="790" spans="8:25">
      <c r="H790">
        <v>558</v>
      </c>
      <c r="I790" s="18">
        <v>20</v>
      </c>
      <c r="J790">
        <v>80</v>
      </c>
      <c r="K790">
        <f t="shared" si="119"/>
        <v>400</v>
      </c>
      <c r="L790" s="39">
        <f t="shared" si="120"/>
        <v>251.32741228718345</v>
      </c>
      <c r="M790">
        <f t="shared" si="121"/>
        <v>310.31337508538434</v>
      </c>
      <c r="N790">
        <f t="shared" si="122"/>
        <v>27296.590145409125</v>
      </c>
      <c r="O790" s="39">
        <f t="shared" si="123"/>
        <v>42839.347547066456</v>
      </c>
      <c r="S790">
        <f t="shared" si="124"/>
        <v>0</v>
      </c>
      <c r="T790">
        <f t="shared" si="125"/>
        <v>1</v>
      </c>
      <c r="U790">
        <f t="shared" si="126"/>
        <v>1</v>
      </c>
      <c r="V790">
        <f t="shared" si="127"/>
        <v>0</v>
      </c>
      <c r="W790">
        <f t="shared" si="128"/>
        <v>0</v>
      </c>
      <c r="Y790" t="str">
        <f t="shared" si="129"/>
        <v/>
      </c>
    </row>
    <row r="791" spans="8:25">
      <c r="H791">
        <v>559</v>
      </c>
      <c r="I791" s="18">
        <v>24</v>
      </c>
      <c r="J791">
        <v>56</v>
      </c>
      <c r="K791">
        <f t="shared" si="119"/>
        <v>280</v>
      </c>
      <c r="L791" s="39">
        <f t="shared" si="120"/>
        <v>253.33803158548091</v>
      </c>
      <c r="M791">
        <f t="shared" si="121"/>
        <v>370.31337508538434</v>
      </c>
      <c r="N791">
        <f t="shared" si="122"/>
        <v>32835.061529867497</v>
      </c>
      <c r="O791" s="39">
        <f t="shared" si="123"/>
        <v>48377.818931524831</v>
      </c>
      <c r="S791">
        <f t="shared" si="124"/>
        <v>0</v>
      </c>
      <c r="T791">
        <f t="shared" si="125"/>
        <v>1</v>
      </c>
      <c r="U791">
        <f t="shared" si="126"/>
        <v>1</v>
      </c>
      <c r="V791">
        <f t="shared" si="127"/>
        <v>0</v>
      </c>
      <c r="W791">
        <f t="shared" si="128"/>
        <v>1</v>
      </c>
      <c r="Y791" t="str">
        <f t="shared" si="129"/>
        <v/>
      </c>
    </row>
    <row r="792" spans="8:25">
      <c r="H792">
        <v>560</v>
      </c>
      <c r="I792" s="18">
        <v>34</v>
      </c>
      <c r="J792">
        <v>28</v>
      </c>
      <c r="K792">
        <f t="shared" si="119"/>
        <v>140</v>
      </c>
      <c r="L792" s="39">
        <f t="shared" si="120"/>
        <v>254.21767752848604</v>
      </c>
      <c r="M792">
        <f t="shared" si="121"/>
        <v>440.31337508538434</v>
      </c>
      <c r="N792">
        <f t="shared" si="122"/>
        <v>39177.405259627441</v>
      </c>
      <c r="O792" s="39">
        <f t="shared" si="123"/>
        <v>54720.162661284776</v>
      </c>
      <c r="S792">
        <f t="shared" si="124"/>
        <v>0</v>
      </c>
      <c r="T792">
        <f t="shared" si="125"/>
        <v>1</v>
      </c>
      <c r="U792">
        <f t="shared" si="126"/>
        <v>0</v>
      </c>
      <c r="V792">
        <f t="shared" si="127"/>
        <v>0</v>
      </c>
      <c r="W792">
        <f t="shared" si="128"/>
        <v>1</v>
      </c>
      <c r="Y792" t="str">
        <f t="shared" si="129"/>
        <v/>
      </c>
    </row>
    <row r="793" spans="8:25">
      <c r="H793">
        <v>561</v>
      </c>
      <c r="I793" s="18">
        <v>45</v>
      </c>
      <c r="J793">
        <v>16</v>
      </c>
      <c r="K793">
        <f t="shared" si="119"/>
        <v>80</v>
      </c>
      <c r="L793" s="39">
        <f t="shared" si="120"/>
        <v>254.46900494077323</v>
      </c>
      <c r="M793">
        <f t="shared" si="121"/>
        <v>470.31337508538434</v>
      </c>
      <c r="N793">
        <f t="shared" si="122"/>
        <v>41888.061798910036</v>
      </c>
      <c r="O793" s="39">
        <f t="shared" si="123"/>
        <v>57430.81920056737</v>
      </c>
      <c r="S793">
        <f t="shared" si="124"/>
        <v>0</v>
      </c>
      <c r="T793">
        <f t="shared" si="125"/>
        <v>1</v>
      </c>
      <c r="U793">
        <f t="shared" si="126"/>
        <v>0</v>
      </c>
      <c r="V793">
        <f t="shared" si="127"/>
        <v>1</v>
      </c>
      <c r="W793">
        <f t="shared" si="128"/>
        <v>1</v>
      </c>
      <c r="Y793" t="str">
        <f t="shared" si="129"/>
        <v/>
      </c>
    </row>
    <row r="794" spans="8:25">
      <c r="H794">
        <v>562</v>
      </c>
      <c r="I794" s="18">
        <v>30</v>
      </c>
      <c r="J794">
        <v>36</v>
      </c>
      <c r="K794">
        <f t="shared" si="119"/>
        <v>180</v>
      </c>
      <c r="L794" s="39">
        <f t="shared" si="120"/>
        <v>254.46900494077323</v>
      </c>
      <c r="M794">
        <f t="shared" si="121"/>
        <v>420.31337508538434</v>
      </c>
      <c r="N794">
        <f t="shared" si="122"/>
        <v>37434.854212446502</v>
      </c>
      <c r="O794" s="39">
        <f t="shared" si="123"/>
        <v>52977.611614103836</v>
      </c>
      <c r="S794">
        <f t="shared" si="124"/>
        <v>0</v>
      </c>
      <c r="T794">
        <f t="shared" si="125"/>
        <v>1</v>
      </c>
      <c r="U794">
        <f t="shared" si="126"/>
        <v>0</v>
      </c>
      <c r="V794">
        <f t="shared" si="127"/>
        <v>0</v>
      </c>
      <c r="W794">
        <f t="shared" si="128"/>
        <v>1</v>
      </c>
      <c r="Y794" t="str">
        <f t="shared" si="129"/>
        <v/>
      </c>
    </row>
    <row r="795" spans="8:25">
      <c r="H795">
        <v>563</v>
      </c>
      <c r="I795" s="18">
        <v>18</v>
      </c>
      <c r="J795">
        <v>100</v>
      </c>
      <c r="K795">
        <f t="shared" si="119"/>
        <v>500</v>
      </c>
      <c r="L795" s="39">
        <f t="shared" si="120"/>
        <v>254.46900494077326</v>
      </c>
      <c r="M795">
        <f t="shared" si="121"/>
        <v>260.31337508538434</v>
      </c>
      <c r="N795">
        <f t="shared" si="122"/>
        <v>23184.589935763212</v>
      </c>
      <c r="O795" s="39">
        <f t="shared" si="123"/>
        <v>38727.34733742055</v>
      </c>
      <c r="S795">
        <f t="shared" si="124"/>
        <v>0</v>
      </c>
      <c r="T795">
        <f t="shared" si="125"/>
        <v>1</v>
      </c>
      <c r="U795">
        <f t="shared" si="126"/>
        <v>1</v>
      </c>
      <c r="V795">
        <f t="shared" si="127"/>
        <v>0</v>
      </c>
      <c r="W795">
        <f t="shared" si="128"/>
        <v>0</v>
      </c>
      <c r="Y795" t="str">
        <f t="shared" si="129"/>
        <v/>
      </c>
    </row>
    <row r="796" spans="8:25">
      <c r="H796">
        <v>564</v>
      </c>
      <c r="I796" s="18">
        <v>26</v>
      </c>
      <c r="J796">
        <v>48</v>
      </c>
      <c r="K796">
        <f t="shared" si="119"/>
        <v>240</v>
      </c>
      <c r="L796" s="39">
        <f t="shared" si="120"/>
        <v>254.84599605920405</v>
      </c>
      <c r="M796">
        <f t="shared" si="121"/>
        <v>390.31337508538434</v>
      </c>
      <c r="N796">
        <f t="shared" si="122"/>
        <v>34814.430297102568</v>
      </c>
      <c r="O796" s="39">
        <f t="shared" si="123"/>
        <v>50357.187698759903</v>
      </c>
      <c r="S796">
        <f t="shared" si="124"/>
        <v>0</v>
      </c>
      <c r="T796">
        <f t="shared" si="125"/>
        <v>1</v>
      </c>
      <c r="U796">
        <f t="shared" si="126"/>
        <v>0</v>
      </c>
      <c r="V796">
        <f t="shared" si="127"/>
        <v>0</v>
      </c>
      <c r="W796">
        <f t="shared" si="128"/>
        <v>1</v>
      </c>
      <c r="Y796" t="str">
        <f t="shared" si="129"/>
        <v/>
      </c>
    </row>
    <row r="797" spans="8:25">
      <c r="H797">
        <v>565</v>
      </c>
      <c r="I797" s="18">
        <v>25</v>
      </c>
      <c r="J797">
        <v>52</v>
      </c>
      <c r="K797">
        <f t="shared" si="119"/>
        <v>260</v>
      </c>
      <c r="L797" s="39">
        <f t="shared" si="120"/>
        <v>255.25440310417071</v>
      </c>
      <c r="M797">
        <f t="shared" si="121"/>
        <v>380.31337508538434</v>
      </c>
      <c r="N797">
        <f t="shared" si="122"/>
        <v>33976.832242483331</v>
      </c>
      <c r="O797" s="39">
        <f t="shared" si="123"/>
        <v>49519.589644140666</v>
      </c>
      <c r="S797">
        <f t="shared" si="124"/>
        <v>0</v>
      </c>
      <c r="T797">
        <f t="shared" si="125"/>
        <v>1</v>
      </c>
      <c r="U797">
        <f t="shared" si="126"/>
        <v>1</v>
      </c>
      <c r="V797">
        <f t="shared" si="127"/>
        <v>0</v>
      </c>
      <c r="W797">
        <f t="shared" si="128"/>
        <v>1</v>
      </c>
      <c r="Y797" t="str">
        <f t="shared" si="129"/>
        <v/>
      </c>
    </row>
    <row r="798" spans="8:25">
      <c r="H798">
        <v>566</v>
      </c>
      <c r="I798" s="18">
        <v>32</v>
      </c>
      <c r="J798">
        <v>32</v>
      </c>
      <c r="K798">
        <f t="shared" si="119"/>
        <v>160</v>
      </c>
      <c r="L798" s="39">
        <f t="shared" si="120"/>
        <v>257.35927018207587</v>
      </c>
      <c r="M798">
        <f t="shared" si="121"/>
        <v>430.31337508538434</v>
      </c>
      <c r="N798">
        <f t="shared" si="122"/>
        <v>38760.797656546136</v>
      </c>
      <c r="O798" s="39">
        <f t="shared" si="123"/>
        <v>54303.55505820347</v>
      </c>
      <c r="S798">
        <f t="shared" si="124"/>
        <v>0</v>
      </c>
      <c r="T798">
        <f t="shared" si="125"/>
        <v>1</v>
      </c>
      <c r="U798">
        <f t="shared" si="126"/>
        <v>0</v>
      </c>
      <c r="V798">
        <f t="shared" si="127"/>
        <v>0</v>
      </c>
      <c r="W798">
        <f t="shared" si="128"/>
        <v>1</v>
      </c>
      <c r="Y798" t="str">
        <f t="shared" si="129"/>
        <v/>
      </c>
    </row>
    <row r="799" spans="8:25">
      <c r="H799">
        <v>567</v>
      </c>
      <c r="I799" s="18">
        <v>20</v>
      </c>
      <c r="J799">
        <v>82</v>
      </c>
      <c r="K799">
        <f t="shared" si="119"/>
        <v>410</v>
      </c>
      <c r="L799" s="39">
        <f t="shared" si="120"/>
        <v>257.61059759436301</v>
      </c>
      <c r="M799">
        <f t="shared" si="121"/>
        <v>305.31337508538434</v>
      </c>
      <c r="N799">
        <f t="shared" si="122"/>
        <v>27528.186353254216</v>
      </c>
      <c r="O799" s="39">
        <f t="shared" si="123"/>
        <v>43070.943754911554</v>
      </c>
      <c r="S799">
        <f t="shared" si="124"/>
        <v>0</v>
      </c>
      <c r="T799">
        <f t="shared" si="125"/>
        <v>1</v>
      </c>
      <c r="U799">
        <f t="shared" si="126"/>
        <v>1</v>
      </c>
      <c r="V799">
        <f t="shared" si="127"/>
        <v>0</v>
      </c>
      <c r="W799">
        <f t="shared" si="128"/>
        <v>0</v>
      </c>
      <c r="Y799" t="str">
        <f t="shared" si="129"/>
        <v/>
      </c>
    </row>
    <row r="800" spans="8:25">
      <c r="H800">
        <v>568</v>
      </c>
      <c r="I800" s="18">
        <v>22</v>
      </c>
      <c r="J800">
        <v>68</v>
      </c>
      <c r="K800">
        <f t="shared" si="119"/>
        <v>340</v>
      </c>
      <c r="L800" s="39">
        <f t="shared" si="120"/>
        <v>258.49024353736826</v>
      </c>
      <c r="M800">
        <f t="shared" si="121"/>
        <v>340.31337508538434</v>
      </c>
      <c r="N800">
        <f t="shared" si="122"/>
        <v>30788.690521695658</v>
      </c>
      <c r="O800" s="39">
        <f t="shared" si="123"/>
        <v>46331.447923352993</v>
      </c>
      <c r="S800">
        <f t="shared" si="124"/>
        <v>0</v>
      </c>
      <c r="T800">
        <f t="shared" si="125"/>
        <v>1</v>
      </c>
      <c r="U800">
        <f t="shared" si="126"/>
        <v>1</v>
      </c>
      <c r="V800">
        <f t="shared" si="127"/>
        <v>0</v>
      </c>
      <c r="W800">
        <f t="shared" si="128"/>
        <v>0</v>
      </c>
      <c r="Y800" t="str">
        <f t="shared" si="129"/>
        <v/>
      </c>
    </row>
    <row r="801" spans="8:25">
      <c r="H801">
        <v>569</v>
      </c>
      <c r="I801" s="18">
        <v>28</v>
      </c>
      <c r="J801">
        <v>42</v>
      </c>
      <c r="K801">
        <f t="shared" si="119"/>
        <v>210</v>
      </c>
      <c r="L801" s="39">
        <f t="shared" si="120"/>
        <v>258.61590724351174</v>
      </c>
      <c r="M801">
        <f t="shared" si="121"/>
        <v>405.31337508538434</v>
      </c>
      <c r="N801">
        <f t="shared" si="122"/>
        <v>36687.170175472762</v>
      </c>
      <c r="O801" s="39">
        <f t="shared" si="123"/>
        <v>52229.927577130096</v>
      </c>
      <c r="S801">
        <f t="shared" si="124"/>
        <v>0</v>
      </c>
      <c r="T801">
        <f t="shared" si="125"/>
        <v>1</v>
      </c>
      <c r="U801">
        <f t="shared" si="126"/>
        <v>0</v>
      </c>
      <c r="V801">
        <f t="shared" si="127"/>
        <v>0</v>
      </c>
      <c r="W801">
        <f t="shared" si="128"/>
        <v>1</v>
      </c>
      <c r="Y801" t="str">
        <f t="shared" si="129"/>
        <v/>
      </c>
    </row>
    <row r="802" spans="8:25">
      <c r="H802">
        <v>570</v>
      </c>
      <c r="I802" s="18">
        <v>24</v>
      </c>
      <c r="J802">
        <v>58</v>
      </c>
      <c r="K802">
        <f t="shared" si="119"/>
        <v>290</v>
      </c>
      <c r="L802" s="39">
        <f t="shared" si="120"/>
        <v>262.38581842781952</v>
      </c>
      <c r="M802">
        <f t="shared" si="121"/>
        <v>365.31337508538434</v>
      </c>
      <c r="N802">
        <f t="shared" si="122"/>
        <v>33548.567116542654</v>
      </c>
      <c r="O802" s="39">
        <f t="shared" si="123"/>
        <v>49091.324518199988</v>
      </c>
      <c r="S802">
        <f t="shared" si="124"/>
        <v>0</v>
      </c>
      <c r="T802">
        <f t="shared" si="125"/>
        <v>1</v>
      </c>
      <c r="U802">
        <f t="shared" si="126"/>
        <v>1</v>
      </c>
      <c r="V802">
        <f t="shared" si="127"/>
        <v>0</v>
      </c>
      <c r="W802">
        <f t="shared" si="128"/>
        <v>1</v>
      </c>
      <c r="Y802" t="str">
        <f t="shared" si="129"/>
        <v/>
      </c>
    </row>
    <row r="803" spans="8:25">
      <c r="H803">
        <v>571</v>
      </c>
      <c r="I803" s="18">
        <v>20</v>
      </c>
      <c r="J803">
        <v>84</v>
      </c>
      <c r="K803">
        <f t="shared" si="119"/>
        <v>420</v>
      </c>
      <c r="L803" s="39">
        <f t="shared" si="120"/>
        <v>263.89378290154264</v>
      </c>
      <c r="M803">
        <f t="shared" si="121"/>
        <v>300.31337508538434</v>
      </c>
      <c r="N803">
        <f t="shared" si="122"/>
        <v>27737.791412524188</v>
      </c>
      <c r="O803" s="39">
        <f t="shared" si="123"/>
        <v>43280.548814181522</v>
      </c>
      <c r="S803">
        <f t="shared" si="124"/>
        <v>0</v>
      </c>
      <c r="T803">
        <f t="shared" si="125"/>
        <v>1</v>
      </c>
      <c r="U803">
        <f t="shared" si="126"/>
        <v>1</v>
      </c>
      <c r="V803">
        <f t="shared" si="127"/>
        <v>0</v>
      </c>
      <c r="W803">
        <f t="shared" si="128"/>
        <v>0</v>
      </c>
      <c r="Y803" t="str">
        <f t="shared" si="129"/>
        <v/>
      </c>
    </row>
    <row r="804" spans="8:25">
      <c r="H804">
        <v>572</v>
      </c>
      <c r="I804" s="18">
        <v>36</v>
      </c>
      <c r="J804">
        <v>26</v>
      </c>
      <c r="K804">
        <f t="shared" si="119"/>
        <v>130</v>
      </c>
      <c r="L804" s="39">
        <f t="shared" si="120"/>
        <v>264.64776513840422</v>
      </c>
      <c r="M804">
        <f t="shared" si="121"/>
        <v>445.31337508538434</v>
      </c>
      <c r="N804">
        <f t="shared" si="122"/>
        <v>41247.916325905411</v>
      </c>
      <c r="O804" s="39">
        <f t="shared" si="123"/>
        <v>56790.673727562746</v>
      </c>
      <c r="S804">
        <f t="shared" si="124"/>
        <v>0</v>
      </c>
      <c r="T804">
        <f t="shared" si="125"/>
        <v>1</v>
      </c>
      <c r="U804">
        <f t="shared" si="126"/>
        <v>0</v>
      </c>
      <c r="V804">
        <f t="shared" si="127"/>
        <v>0</v>
      </c>
      <c r="W804">
        <f t="shared" si="128"/>
        <v>1</v>
      </c>
      <c r="Y804" t="str">
        <f t="shared" si="129"/>
        <v/>
      </c>
    </row>
    <row r="805" spans="8:25">
      <c r="H805">
        <v>573</v>
      </c>
      <c r="I805" s="18">
        <v>25</v>
      </c>
      <c r="J805">
        <v>54</v>
      </c>
      <c r="K805">
        <f t="shared" si="119"/>
        <v>270</v>
      </c>
      <c r="L805" s="39">
        <f t="shared" si="120"/>
        <v>265.07188014663876</v>
      </c>
      <c r="M805">
        <f t="shared" si="121"/>
        <v>375.31337508538434</v>
      </c>
      <c r="N805">
        <f t="shared" si="122"/>
        <v>34819.757692322215</v>
      </c>
      <c r="O805" s="39">
        <f t="shared" si="123"/>
        <v>50362.515093979549</v>
      </c>
      <c r="S805">
        <f t="shared" si="124"/>
        <v>0</v>
      </c>
      <c r="T805">
        <f t="shared" si="125"/>
        <v>1</v>
      </c>
      <c r="U805">
        <f t="shared" si="126"/>
        <v>1</v>
      </c>
      <c r="V805">
        <f t="shared" si="127"/>
        <v>0</v>
      </c>
      <c r="W805">
        <f t="shared" si="128"/>
        <v>1</v>
      </c>
      <c r="Y805" t="str">
        <f t="shared" si="129"/>
        <v/>
      </c>
    </row>
    <row r="806" spans="8:25">
      <c r="H806">
        <v>574</v>
      </c>
      <c r="I806" s="18">
        <v>26</v>
      </c>
      <c r="J806">
        <v>50</v>
      </c>
      <c r="K806">
        <f t="shared" si="119"/>
        <v>250</v>
      </c>
      <c r="L806" s="39">
        <f t="shared" si="120"/>
        <v>265.46457922833758</v>
      </c>
      <c r="M806">
        <f t="shared" si="121"/>
        <v>385.31337508538434</v>
      </c>
      <c r="N806">
        <f t="shared" si="122"/>
        <v>35800.468545832264</v>
      </c>
      <c r="O806" s="39">
        <f t="shared" si="123"/>
        <v>51343.225947489598</v>
      </c>
      <c r="S806">
        <f t="shared" si="124"/>
        <v>0</v>
      </c>
      <c r="T806">
        <f t="shared" si="125"/>
        <v>1</v>
      </c>
      <c r="U806">
        <f t="shared" si="126"/>
        <v>0</v>
      </c>
      <c r="V806">
        <f t="shared" si="127"/>
        <v>0</v>
      </c>
      <c r="W806">
        <f t="shared" si="128"/>
        <v>1</v>
      </c>
      <c r="Y806" t="str">
        <f t="shared" si="129"/>
        <v/>
      </c>
    </row>
    <row r="807" spans="8:25">
      <c r="H807">
        <v>575</v>
      </c>
      <c r="I807" s="18">
        <v>22</v>
      </c>
      <c r="J807">
        <v>70</v>
      </c>
      <c r="K807">
        <f t="shared" si="119"/>
        <v>350</v>
      </c>
      <c r="L807" s="39">
        <f t="shared" si="120"/>
        <v>266.09289775905552</v>
      </c>
      <c r="M807">
        <f t="shared" si="121"/>
        <v>335.31337508538434</v>
      </c>
      <c r="N807">
        <f t="shared" si="122"/>
        <v>31228.577671843657</v>
      </c>
      <c r="O807" s="39">
        <f t="shared" si="123"/>
        <v>46771.335073500988</v>
      </c>
      <c r="S807">
        <f t="shared" si="124"/>
        <v>0</v>
      </c>
      <c r="T807">
        <f t="shared" si="125"/>
        <v>1</v>
      </c>
      <c r="U807">
        <f t="shared" si="126"/>
        <v>1</v>
      </c>
      <c r="V807">
        <f t="shared" si="127"/>
        <v>0</v>
      </c>
      <c r="W807">
        <f t="shared" si="128"/>
        <v>0</v>
      </c>
      <c r="Y807" t="str">
        <f t="shared" si="129"/>
        <v/>
      </c>
    </row>
    <row r="808" spans="8:25">
      <c r="H808">
        <v>576</v>
      </c>
      <c r="I808" s="18">
        <v>30</v>
      </c>
      <c r="J808">
        <v>38</v>
      </c>
      <c r="K808">
        <f t="shared" si="119"/>
        <v>190</v>
      </c>
      <c r="L808" s="39">
        <f t="shared" si="120"/>
        <v>268.60617188192731</v>
      </c>
      <c r="M808">
        <f t="shared" si="121"/>
        <v>415.31337508538434</v>
      </c>
      <c r="N808">
        <f t="shared" si="122"/>
        <v>39044.50753456683</v>
      </c>
      <c r="O808" s="39">
        <f t="shared" si="123"/>
        <v>54587.264936224165</v>
      </c>
      <c r="S808">
        <f t="shared" si="124"/>
        <v>0</v>
      </c>
      <c r="T808">
        <f t="shared" si="125"/>
        <v>1</v>
      </c>
      <c r="U808">
        <f t="shared" si="126"/>
        <v>0</v>
      </c>
      <c r="V808">
        <f t="shared" si="127"/>
        <v>0</v>
      </c>
      <c r="W808">
        <f t="shared" si="128"/>
        <v>1</v>
      </c>
      <c r="Y808" t="str">
        <f t="shared" si="129"/>
        <v/>
      </c>
    </row>
    <row r="809" spans="8:25">
      <c r="H809">
        <v>577</v>
      </c>
      <c r="I809" s="18">
        <v>20</v>
      </c>
      <c r="J809">
        <v>86</v>
      </c>
      <c r="K809">
        <f t="shared" ref="K809:K872" si="130">$F$230+$F$231*(J809-2)/2</f>
        <v>430</v>
      </c>
      <c r="L809" s="39">
        <f t="shared" ref="L809:L872" si="131">J809*0.25*PI()*(I809/10)^2</f>
        <v>270.1769682087222</v>
      </c>
      <c r="M809">
        <f t="shared" ref="M809:M872" si="132">$F$233-(K809+$F$232)/2</f>
        <v>295.31337508538434</v>
      </c>
      <c r="N809">
        <f t="shared" ref="N809:N872" si="133">L809*$F$235*M809*0.001</f>
        <v>27925.40532321902</v>
      </c>
      <c r="O809" s="39">
        <f t="shared" ref="O809:O872" si="134">N809+$F$237</f>
        <v>43468.162724876354</v>
      </c>
      <c r="S809">
        <f t="shared" ref="S809:S872" si="135">IF(L809&lt;$F$236,1,0)</f>
        <v>0</v>
      </c>
      <c r="T809">
        <f t="shared" ref="T809:T872" si="136">IF(O809&gt;$F$234,1,0)</f>
        <v>1</v>
      </c>
      <c r="U809">
        <f t="shared" ref="U809:U872" si="137">IF(I809&lt;=$F$238,1,0)</f>
        <v>1</v>
      </c>
      <c r="V809">
        <f t="shared" ref="V809:V872" si="138">IF(J809&lt;=$F$239,1,0)</f>
        <v>0</v>
      </c>
      <c r="W809">
        <f t="shared" ref="W809:W872" si="139">IF(K809&lt;=$F$240,1,0)</f>
        <v>0</v>
      </c>
      <c r="Y809" t="str">
        <f t="shared" ref="Y809:Y872" si="140">IF(SUM(S809:W809)=5,H809,"")</f>
        <v/>
      </c>
    </row>
    <row r="810" spans="8:25">
      <c r="H810">
        <v>578</v>
      </c>
      <c r="I810" s="18">
        <v>28</v>
      </c>
      <c r="J810">
        <v>44</v>
      </c>
      <c r="K810">
        <f t="shared" si="130"/>
        <v>220</v>
      </c>
      <c r="L810" s="39">
        <f t="shared" si="131"/>
        <v>270.93095044558368</v>
      </c>
      <c r="M810">
        <f t="shared" si="132"/>
        <v>400.31337508538434</v>
      </c>
      <c r="N810">
        <f t="shared" si="133"/>
        <v>37960.049115786918</v>
      </c>
      <c r="O810" s="39">
        <f t="shared" si="134"/>
        <v>53502.806517444253</v>
      </c>
      <c r="S810">
        <f t="shared" si="135"/>
        <v>0</v>
      </c>
      <c r="T810">
        <f t="shared" si="136"/>
        <v>1</v>
      </c>
      <c r="U810">
        <f t="shared" si="137"/>
        <v>0</v>
      </c>
      <c r="V810">
        <f t="shared" si="138"/>
        <v>0</v>
      </c>
      <c r="W810">
        <f t="shared" si="139"/>
        <v>1</v>
      </c>
      <c r="Y810" t="str">
        <f t="shared" si="140"/>
        <v/>
      </c>
    </row>
    <row r="811" spans="8:25">
      <c r="H811">
        <v>579</v>
      </c>
      <c r="I811" s="18">
        <v>24</v>
      </c>
      <c r="J811">
        <v>60</v>
      </c>
      <c r="K811">
        <f t="shared" si="130"/>
        <v>300</v>
      </c>
      <c r="L811" s="39">
        <f t="shared" si="131"/>
        <v>271.43360527015807</v>
      </c>
      <c r="M811">
        <f t="shared" si="132"/>
        <v>360.31337508538434</v>
      </c>
      <c r="N811">
        <f t="shared" si="133"/>
        <v>34230.405449269616</v>
      </c>
      <c r="O811" s="39">
        <f t="shared" si="134"/>
        <v>49773.16285092695</v>
      </c>
      <c r="S811">
        <f t="shared" si="135"/>
        <v>0</v>
      </c>
      <c r="T811">
        <f t="shared" si="136"/>
        <v>1</v>
      </c>
      <c r="U811">
        <f t="shared" si="137"/>
        <v>1</v>
      </c>
      <c r="V811">
        <f t="shared" si="138"/>
        <v>0</v>
      </c>
      <c r="W811">
        <f t="shared" si="139"/>
        <v>1</v>
      </c>
      <c r="Y811" t="str">
        <f t="shared" si="140"/>
        <v/>
      </c>
    </row>
    <row r="812" spans="8:25">
      <c r="H812">
        <v>580</v>
      </c>
      <c r="I812" s="18">
        <v>38</v>
      </c>
      <c r="J812">
        <v>24</v>
      </c>
      <c r="K812">
        <f t="shared" si="130"/>
        <v>120</v>
      </c>
      <c r="L812" s="39">
        <f t="shared" si="131"/>
        <v>272.18758750701966</v>
      </c>
      <c r="M812">
        <f t="shared" si="132"/>
        <v>450.31337508538434</v>
      </c>
      <c r="N812">
        <f t="shared" si="133"/>
        <v>42899.398915322054</v>
      </c>
      <c r="O812" s="39">
        <f t="shared" si="134"/>
        <v>58442.156316979388</v>
      </c>
      <c r="S812">
        <f t="shared" si="135"/>
        <v>0</v>
      </c>
      <c r="T812">
        <f t="shared" si="136"/>
        <v>1</v>
      </c>
      <c r="U812">
        <f t="shared" si="137"/>
        <v>0</v>
      </c>
      <c r="V812">
        <f t="shared" si="138"/>
        <v>0</v>
      </c>
      <c r="W812">
        <f t="shared" si="139"/>
        <v>1</v>
      </c>
      <c r="Y812" t="str">
        <f t="shared" si="140"/>
        <v/>
      </c>
    </row>
    <row r="813" spans="8:25">
      <c r="H813">
        <v>581</v>
      </c>
      <c r="I813" s="18">
        <v>34</v>
      </c>
      <c r="J813">
        <v>30</v>
      </c>
      <c r="K813">
        <f t="shared" si="130"/>
        <v>150</v>
      </c>
      <c r="L813" s="39">
        <f t="shared" si="131"/>
        <v>272.37608306623503</v>
      </c>
      <c r="M813">
        <f t="shared" si="132"/>
        <v>435.31337508538434</v>
      </c>
      <c r="N813">
        <f t="shared" si="133"/>
        <v>41499.133204234917</v>
      </c>
      <c r="O813" s="39">
        <f t="shared" si="134"/>
        <v>57041.890605892251</v>
      </c>
      <c r="S813">
        <f t="shared" si="135"/>
        <v>0</v>
      </c>
      <c r="T813">
        <f t="shared" si="136"/>
        <v>1</v>
      </c>
      <c r="U813">
        <f t="shared" si="137"/>
        <v>0</v>
      </c>
      <c r="V813">
        <f t="shared" si="138"/>
        <v>0</v>
      </c>
      <c r="W813">
        <f t="shared" si="139"/>
        <v>1</v>
      </c>
      <c r="Y813" t="str">
        <f t="shared" si="140"/>
        <v/>
      </c>
    </row>
    <row r="814" spans="8:25">
      <c r="H814">
        <v>582</v>
      </c>
      <c r="I814" s="18">
        <v>32</v>
      </c>
      <c r="J814">
        <v>34</v>
      </c>
      <c r="K814">
        <f t="shared" si="130"/>
        <v>170</v>
      </c>
      <c r="L814" s="39">
        <f t="shared" si="131"/>
        <v>273.44422456845564</v>
      </c>
      <c r="M814">
        <f t="shared" si="132"/>
        <v>425.31337508538434</v>
      </c>
      <c r="N814">
        <f t="shared" si="133"/>
        <v>40704.820117085474</v>
      </c>
      <c r="O814" s="39">
        <f t="shared" si="134"/>
        <v>56247.577518742808</v>
      </c>
      <c r="S814">
        <f t="shared" si="135"/>
        <v>0</v>
      </c>
      <c r="T814">
        <f t="shared" si="136"/>
        <v>1</v>
      </c>
      <c r="U814">
        <f t="shared" si="137"/>
        <v>0</v>
      </c>
      <c r="V814">
        <f t="shared" si="138"/>
        <v>0</v>
      </c>
      <c r="W814">
        <f t="shared" si="139"/>
        <v>1</v>
      </c>
      <c r="Y814" t="str">
        <f t="shared" si="140"/>
        <v/>
      </c>
    </row>
    <row r="815" spans="8:25">
      <c r="H815">
        <v>583</v>
      </c>
      <c r="I815" s="18">
        <v>22</v>
      </c>
      <c r="J815">
        <v>72</v>
      </c>
      <c r="K815">
        <f t="shared" si="130"/>
        <v>360</v>
      </c>
      <c r="L815" s="39">
        <f t="shared" si="131"/>
        <v>273.69555198074283</v>
      </c>
      <c r="M815">
        <f t="shared" si="132"/>
        <v>330.31337508538434</v>
      </c>
      <c r="N815">
        <f t="shared" si="133"/>
        <v>31641.855532215748</v>
      </c>
      <c r="O815" s="39">
        <f t="shared" si="134"/>
        <v>47184.612933873083</v>
      </c>
      <c r="S815">
        <f t="shared" si="135"/>
        <v>0</v>
      </c>
      <c r="T815">
        <f t="shared" si="136"/>
        <v>1</v>
      </c>
      <c r="U815">
        <f t="shared" si="137"/>
        <v>1</v>
      </c>
      <c r="V815">
        <f t="shared" si="138"/>
        <v>0</v>
      </c>
      <c r="W815">
        <f t="shared" si="139"/>
        <v>0</v>
      </c>
      <c r="Y815" t="str">
        <f t="shared" si="140"/>
        <v/>
      </c>
    </row>
    <row r="816" spans="8:25">
      <c r="H816">
        <v>584</v>
      </c>
      <c r="I816" s="18">
        <v>50</v>
      </c>
      <c r="J816">
        <v>14</v>
      </c>
      <c r="K816">
        <f t="shared" si="130"/>
        <v>70</v>
      </c>
      <c r="L816" s="39">
        <f t="shared" si="131"/>
        <v>274.88935718910687</v>
      </c>
      <c r="M816">
        <f t="shared" si="132"/>
        <v>475.31337508538434</v>
      </c>
      <c r="N816">
        <f t="shared" si="133"/>
        <v>45730.505849212146</v>
      </c>
      <c r="O816" s="39">
        <f t="shared" si="134"/>
        <v>61273.263250869481</v>
      </c>
      <c r="S816">
        <f t="shared" si="135"/>
        <v>0</v>
      </c>
      <c r="T816">
        <f t="shared" si="136"/>
        <v>1</v>
      </c>
      <c r="U816">
        <f t="shared" si="137"/>
        <v>0</v>
      </c>
      <c r="V816">
        <f t="shared" si="138"/>
        <v>1</v>
      </c>
      <c r="W816">
        <f t="shared" si="139"/>
        <v>1</v>
      </c>
      <c r="Y816" t="str">
        <f t="shared" si="140"/>
        <v/>
      </c>
    </row>
    <row r="817" spans="8:25">
      <c r="H817">
        <v>585</v>
      </c>
      <c r="I817" s="18">
        <v>25</v>
      </c>
      <c r="J817">
        <v>56</v>
      </c>
      <c r="K817">
        <f t="shared" si="130"/>
        <v>280</v>
      </c>
      <c r="L817" s="39">
        <f t="shared" si="131"/>
        <v>274.88935718910687</v>
      </c>
      <c r="M817">
        <f t="shared" si="132"/>
        <v>370.31337508538434</v>
      </c>
      <c r="N817">
        <f t="shared" si="133"/>
        <v>35628.321972512473</v>
      </c>
      <c r="O817" s="39">
        <f t="shared" si="134"/>
        <v>51171.079374169807</v>
      </c>
      <c r="S817">
        <f t="shared" si="135"/>
        <v>0</v>
      </c>
      <c r="T817">
        <f t="shared" si="136"/>
        <v>1</v>
      </c>
      <c r="U817">
        <f t="shared" si="137"/>
        <v>1</v>
      </c>
      <c r="V817">
        <f t="shared" si="138"/>
        <v>0</v>
      </c>
      <c r="W817">
        <f t="shared" si="139"/>
        <v>1</v>
      </c>
      <c r="Y817" t="str">
        <f t="shared" si="140"/>
        <v/>
      </c>
    </row>
    <row r="818" spans="8:25">
      <c r="H818">
        <v>586</v>
      </c>
      <c r="I818" s="18">
        <v>26</v>
      </c>
      <c r="J818">
        <v>52</v>
      </c>
      <c r="K818">
        <f t="shared" si="130"/>
        <v>260</v>
      </c>
      <c r="L818" s="39">
        <f t="shared" si="131"/>
        <v>276.08316239747109</v>
      </c>
      <c r="M818">
        <f t="shared" si="132"/>
        <v>380.31337508538434</v>
      </c>
      <c r="N818">
        <f t="shared" si="133"/>
        <v>36749.341753469977</v>
      </c>
      <c r="O818" s="39">
        <f t="shared" si="134"/>
        <v>52292.099155127311</v>
      </c>
      <c r="S818">
        <f t="shared" si="135"/>
        <v>0</v>
      </c>
      <c r="T818">
        <f t="shared" si="136"/>
        <v>1</v>
      </c>
      <c r="U818">
        <f t="shared" si="137"/>
        <v>0</v>
      </c>
      <c r="V818">
        <f t="shared" si="138"/>
        <v>0</v>
      </c>
      <c r="W818">
        <f t="shared" si="139"/>
        <v>1</v>
      </c>
      <c r="Y818" t="str">
        <f t="shared" si="140"/>
        <v/>
      </c>
    </row>
    <row r="819" spans="8:25">
      <c r="H819">
        <v>587</v>
      </c>
      <c r="I819" s="18">
        <v>40</v>
      </c>
      <c r="J819">
        <v>22</v>
      </c>
      <c r="K819">
        <f t="shared" si="130"/>
        <v>110</v>
      </c>
      <c r="L819" s="39">
        <f t="shared" si="131"/>
        <v>276.46015351590177</v>
      </c>
      <c r="M819">
        <f t="shared" si="132"/>
        <v>455.31337508538434</v>
      </c>
      <c r="N819">
        <f t="shared" si="133"/>
        <v>44056.601950882046</v>
      </c>
      <c r="O819" s="39">
        <f t="shared" si="134"/>
        <v>59599.359352539381</v>
      </c>
      <c r="S819">
        <f t="shared" si="135"/>
        <v>0</v>
      </c>
      <c r="T819">
        <f t="shared" si="136"/>
        <v>1</v>
      </c>
      <c r="U819">
        <f t="shared" si="137"/>
        <v>0</v>
      </c>
      <c r="V819">
        <f t="shared" si="138"/>
        <v>0</v>
      </c>
      <c r="W819">
        <f t="shared" si="139"/>
        <v>1</v>
      </c>
      <c r="Y819" t="str">
        <f t="shared" si="140"/>
        <v/>
      </c>
    </row>
    <row r="820" spans="8:25">
      <c r="H820">
        <v>588</v>
      </c>
      <c r="I820" s="18">
        <v>20</v>
      </c>
      <c r="J820">
        <v>88</v>
      </c>
      <c r="K820">
        <f t="shared" si="130"/>
        <v>440</v>
      </c>
      <c r="L820" s="39">
        <f t="shared" si="131"/>
        <v>276.46015351590177</v>
      </c>
      <c r="M820">
        <f t="shared" si="132"/>
        <v>290.31337508538434</v>
      </c>
      <c r="N820">
        <f t="shared" si="133"/>
        <v>28091.028085338723</v>
      </c>
      <c r="O820" s="39">
        <f t="shared" si="134"/>
        <v>43633.785486996057</v>
      </c>
      <c r="S820">
        <f t="shared" si="135"/>
        <v>0</v>
      </c>
      <c r="T820">
        <f t="shared" si="136"/>
        <v>1</v>
      </c>
      <c r="U820">
        <f t="shared" si="137"/>
        <v>1</v>
      </c>
      <c r="V820">
        <f t="shared" si="138"/>
        <v>0</v>
      </c>
      <c r="W820">
        <f t="shared" si="139"/>
        <v>0</v>
      </c>
      <c r="Y820" t="str">
        <f t="shared" si="140"/>
        <v/>
      </c>
    </row>
    <row r="821" spans="8:25">
      <c r="H821">
        <v>589</v>
      </c>
      <c r="I821" s="18">
        <v>24</v>
      </c>
      <c r="J821">
        <v>62</v>
      </c>
      <c r="K821">
        <f t="shared" si="130"/>
        <v>310</v>
      </c>
      <c r="L821" s="39">
        <f t="shared" si="131"/>
        <v>280.48139211249674</v>
      </c>
      <c r="M821">
        <f t="shared" si="132"/>
        <v>355.31337508538434</v>
      </c>
      <c r="N821">
        <f t="shared" si="133"/>
        <v>34880.576528048412</v>
      </c>
      <c r="O821" s="39">
        <f t="shared" si="134"/>
        <v>50423.333929705746</v>
      </c>
      <c r="S821">
        <f t="shared" si="135"/>
        <v>0</v>
      </c>
      <c r="T821">
        <f t="shared" si="136"/>
        <v>1</v>
      </c>
      <c r="U821">
        <f t="shared" si="137"/>
        <v>1</v>
      </c>
      <c r="V821">
        <f t="shared" si="138"/>
        <v>0</v>
      </c>
      <c r="W821">
        <f t="shared" si="139"/>
        <v>0</v>
      </c>
      <c r="Y821" t="str">
        <f t="shared" si="140"/>
        <v/>
      </c>
    </row>
    <row r="822" spans="8:25">
      <c r="H822">
        <v>590</v>
      </c>
      <c r="I822" s="18">
        <v>22</v>
      </c>
      <c r="J822">
        <v>74</v>
      </c>
      <c r="K822">
        <f t="shared" si="130"/>
        <v>370</v>
      </c>
      <c r="L822" s="39">
        <f t="shared" si="131"/>
        <v>281.29820620243015</v>
      </c>
      <c r="M822">
        <f t="shared" si="132"/>
        <v>325.31337508538434</v>
      </c>
      <c r="N822">
        <f t="shared" si="133"/>
        <v>32028.524102811931</v>
      </c>
      <c r="O822" s="39">
        <f t="shared" si="134"/>
        <v>47571.281504469269</v>
      </c>
      <c r="S822">
        <f t="shared" si="135"/>
        <v>0</v>
      </c>
      <c r="T822">
        <f t="shared" si="136"/>
        <v>1</v>
      </c>
      <c r="U822">
        <f t="shared" si="137"/>
        <v>1</v>
      </c>
      <c r="V822">
        <f t="shared" si="138"/>
        <v>0</v>
      </c>
      <c r="W822">
        <f t="shared" si="139"/>
        <v>0</v>
      </c>
      <c r="Y822" t="str">
        <f t="shared" si="140"/>
        <v/>
      </c>
    </row>
    <row r="823" spans="8:25">
      <c r="H823">
        <v>591</v>
      </c>
      <c r="I823" s="18">
        <v>30</v>
      </c>
      <c r="J823">
        <v>40</v>
      </c>
      <c r="K823">
        <f t="shared" si="130"/>
        <v>200</v>
      </c>
      <c r="L823" s="39">
        <f t="shared" si="131"/>
        <v>282.74333882308139</v>
      </c>
      <c r="M823">
        <f t="shared" si="132"/>
        <v>410.31337508538434</v>
      </c>
      <c r="N823">
        <f t="shared" si="133"/>
        <v>40604.680772393112</v>
      </c>
      <c r="O823" s="39">
        <f t="shared" si="134"/>
        <v>56147.438174050447</v>
      </c>
      <c r="S823">
        <f t="shared" si="135"/>
        <v>0</v>
      </c>
      <c r="T823">
        <f t="shared" si="136"/>
        <v>1</v>
      </c>
      <c r="U823">
        <f t="shared" si="137"/>
        <v>0</v>
      </c>
      <c r="V823">
        <f t="shared" si="138"/>
        <v>0</v>
      </c>
      <c r="W823">
        <f t="shared" si="139"/>
        <v>1</v>
      </c>
      <c r="Y823" t="str">
        <f t="shared" si="140"/>
        <v/>
      </c>
    </row>
    <row r="824" spans="8:25">
      <c r="H824">
        <v>592</v>
      </c>
      <c r="I824" s="18">
        <v>20</v>
      </c>
      <c r="J824">
        <v>90</v>
      </c>
      <c r="K824">
        <f t="shared" si="130"/>
        <v>450</v>
      </c>
      <c r="L824" s="39">
        <f t="shared" si="131"/>
        <v>282.74333882308139</v>
      </c>
      <c r="M824">
        <f t="shared" si="132"/>
        <v>285.31337508538434</v>
      </c>
      <c r="N824">
        <f t="shared" si="133"/>
        <v>28234.659698883304</v>
      </c>
      <c r="O824" s="39">
        <f t="shared" si="134"/>
        <v>43777.417100540639</v>
      </c>
      <c r="S824">
        <f t="shared" si="135"/>
        <v>0</v>
      </c>
      <c r="T824">
        <f t="shared" si="136"/>
        <v>1</v>
      </c>
      <c r="U824">
        <f t="shared" si="137"/>
        <v>1</v>
      </c>
      <c r="V824">
        <f t="shared" si="138"/>
        <v>0</v>
      </c>
      <c r="W824">
        <f t="shared" si="139"/>
        <v>0</v>
      </c>
      <c r="Y824" t="str">
        <f t="shared" si="140"/>
        <v/>
      </c>
    </row>
    <row r="825" spans="8:25">
      <c r="H825">
        <v>593</v>
      </c>
      <c r="I825" s="18">
        <v>28</v>
      </c>
      <c r="J825">
        <v>46</v>
      </c>
      <c r="K825">
        <f t="shared" si="130"/>
        <v>230</v>
      </c>
      <c r="L825" s="39">
        <f t="shared" si="131"/>
        <v>283.24599364765572</v>
      </c>
      <c r="M825">
        <f t="shared" si="132"/>
        <v>395.31337508538434</v>
      </c>
      <c r="N825">
        <f t="shared" si="133"/>
        <v>39189.82540489384</v>
      </c>
      <c r="O825" s="39">
        <f t="shared" si="134"/>
        <v>54732.582806551174</v>
      </c>
      <c r="S825">
        <f t="shared" si="135"/>
        <v>0</v>
      </c>
      <c r="T825">
        <f t="shared" si="136"/>
        <v>1</v>
      </c>
      <c r="U825">
        <f t="shared" si="137"/>
        <v>0</v>
      </c>
      <c r="V825">
        <f t="shared" si="138"/>
        <v>0</v>
      </c>
      <c r="W825">
        <f t="shared" si="139"/>
        <v>1</v>
      </c>
      <c r="Y825" t="str">
        <f t="shared" si="140"/>
        <v/>
      </c>
    </row>
    <row r="826" spans="8:25">
      <c r="H826">
        <v>594</v>
      </c>
      <c r="I826" s="18">
        <v>25</v>
      </c>
      <c r="J826">
        <v>58</v>
      </c>
      <c r="K826">
        <f t="shared" si="130"/>
        <v>290</v>
      </c>
      <c r="L826" s="39">
        <f t="shared" si="131"/>
        <v>284.70683423157499</v>
      </c>
      <c r="M826">
        <f t="shared" si="132"/>
        <v>365.31337508538434</v>
      </c>
      <c r="N826">
        <f t="shared" si="133"/>
        <v>36402.525083054097</v>
      </c>
      <c r="O826" s="39">
        <f t="shared" si="134"/>
        <v>51945.282484711432</v>
      </c>
      <c r="S826">
        <f t="shared" si="135"/>
        <v>0</v>
      </c>
      <c r="T826">
        <f t="shared" si="136"/>
        <v>1</v>
      </c>
      <c r="U826">
        <f t="shared" si="137"/>
        <v>1</v>
      </c>
      <c r="V826">
        <f t="shared" si="138"/>
        <v>0</v>
      </c>
      <c r="W826">
        <f t="shared" si="139"/>
        <v>1</v>
      </c>
      <c r="Y826" t="str">
        <f t="shared" si="140"/>
        <v/>
      </c>
    </row>
    <row r="827" spans="8:25">
      <c r="H827">
        <v>595</v>
      </c>
      <c r="I827" s="18">
        <v>36</v>
      </c>
      <c r="J827">
        <v>28</v>
      </c>
      <c r="K827">
        <f t="shared" si="130"/>
        <v>140</v>
      </c>
      <c r="L827" s="39">
        <f t="shared" si="131"/>
        <v>285.00528553366604</v>
      </c>
      <c r="M827">
        <f t="shared" si="132"/>
        <v>440.31337508538434</v>
      </c>
      <c r="N827">
        <f t="shared" si="133"/>
        <v>43922.073716675754</v>
      </c>
      <c r="O827" s="39">
        <f t="shared" si="134"/>
        <v>59464.831118333088</v>
      </c>
      <c r="S827">
        <f t="shared" si="135"/>
        <v>0</v>
      </c>
      <c r="T827">
        <f t="shared" si="136"/>
        <v>1</v>
      </c>
      <c r="U827">
        <f t="shared" si="137"/>
        <v>0</v>
      </c>
      <c r="V827">
        <f t="shared" si="138"/>
        <v>0</v>
      </c>
      <c r="W827">
        <f t="shared" si="139"/>
        <v>1</v>
      </c>
      <c r="Y827" t="str">
        <f t="shared" si="140"/>
        <v/>
      </c>
    </row>
    <row r="828" spans="8:25">
      <c r="H828">
        <v>596</v>
      </c>
      <c r="I828" s="18">
        <v>45</v>
      </c>
      <c r="J828">
        <v>18</v>
      </c>
      <c r="K828">
        <f t="shared" si="130"/>
        <v>90</v>
      </c>
      <c r="L828" s="39">
        <f t="shared" si="131"/>
        <v>286.27763055836988</v>
      </c>
      <c r="M828">
        <f t="shared" si="132"/>
        <v>465.31337508538434</v>
      </c>
      <c r="N828">
        <f t="shared" si="133"/>
        <v>46623.083670296648</v>
      </c>
      <c r="O828" s="39">
        <f t="shared" si="134"/>
        <v>62165.841071953982</v>
      </c>
      <c r="S828">
        <f t="shared" si="135"/>
        <v>0</v>
      </c>
      <c r="T828">
        <f t="shared" si="136"/>
        <v>1</v>
      </c>
      <c r="U828">
        <f t="shared" si="137"/>
        <v>0</v>
      </c>
      <c r="V828">
        <f t="shared" si="138"/>
        <v>1</v>
      </c>
      <c r="W828">
        <f t="shared" si="139"/>
        <v>1</v>
      </c>
      <c r="Y828" t="str">
        <f t="shared" si="140"/>
        <v/>
      </c>
    </row>
    <row r="829" spans="8:25">
      <c r="H829">
        <v>597</v>
      </c>
      <c r="I829" s="18">
        <v>26</v>
      </c>
      <c r="J829">
        <v>54</v>
      </c>
      <c r="K829">
        <f t="shared" si="130"/>
        <v>270</v>
      </c>
      <c r="L829" s="39">
        <f t="shared" si="131"/>
        <v>286.70174556660453</v>
      </c>
      <c r="M829">
        <f t="shared" si="132"/>
        <v>375.31337508538434</v>
      </c>
      <c r="N829">
        <f t="shared" si="133"/>
        <v>37661.049920015714</v>
      </c>
      <c r="O829" s="39">
        <f t="shared" si="134"/>
        <v>53203.807321673048</v>
      </c>
      <c r="S829">
        <f t="shared" si="135"/>
        <v>0</v>
      </c>
      <c r="T829">
        <f t="shared" si="136"/>
        <v>1</v>
      </c>
      <c r="U829">
        <f t="shared" si="137"/>
        <v>0</v>
      </c>
      <c r="V829">
        <f t="shared" si="138"/>
        <v>0</v>
      </c>
      <c r="W829">
        <f t="shared" si="139"/>
        <v>1</v>
      </c>
      <c r="Y829" t="str">
        <f t="shared" si="140"/>
        <v/>
      </c>
    </row>
    <row r="830" spans="8:25">
      <c r="H830">
        <v>598</v>
      </c>
      <c r="I830" s="18">
        <v>22</v>
      </c>
      <c r="J830">
        <v>76</v>
      </c>
      <c r="K830">
        <f t="shared" si="130"/>
        <v>380</v>
      </c>
      <c r="L830" s="39">
        <f t="shared" si="131"/>
        <v>288.90086042411741</v>
      </c>
      <c r="M830">
        <f t="shared" si="132"/>
        <v>320.31337508538434</v>
      </c>
      <c r="N830">
        <f t="shared" si="133"/>
        <v>32388.583383632205</v>
      </c>
      <c r="O830" s="39">
        <f t="shared" si="134"/>
        <v>47931.34078528954</v>
      </c>
      <c r="S830">
        <f t="shared" si="135"/>
        <v>0</v>
      </c>
      <c r="T830">
        <f t="shared" si="136"/>
        <v>1</v>
      </c>
      <c r="U830">
        <f t="shared" si="137"/>
        <v>1</v>
      </c>
      <c r="V830">
        <f t="shared" si="138"/>
        <v>0</v>
      </c>
      <c r="W830">
        <f t="shared" si="139"/>
        <v>0</v>
      </c>
      <c r="Y830" t="str">
        <f t="shared" si="140"/>
        <v/>
      </c>
    </row>
    <row r="831" spans="8:25">
      <c r="H831">
        <v>599</v>
      </c>
      <c r="I831" s="18">
        <v>20</v>
      </c>
      <c r="J831">
        <v>92</v>
      </c>
      <c r="K831">
        <f t="shared" si="130"/>
        <v>460</v>
      </c>
      <c r="L831" s="39">
        <f t="shared" si="131"/>
        <v>289.02652413026095</v>
      </c>
      <c r="M831">
        <f t="shared" si="132"/>
        <v>280.31337508538434</v>
      </c>
      <c r="N831">
        <f t="shared" si="133"/>
        <v>28356.300163852757</v>
      </c>
      <c r="O831" s="39">
        <f t="shared" si="134"/>
        <v>43899.057565510091</v>
      </c>
      <c r="S831">
        <f t="shared" si="135"/>
        <v>0</v>
      </c>
      <c r="T831">
        <f t="shared" si="136"/>
        <v>1</v>
      </c>
      <c r="U831">
        <f t="shared" si="137"/>
        <v>1</v>
      </c>
      <c r="V831">
        <f t="shared" si="138"/>
        <v>0</v>
      </c>
      <c r="W831">
        <f t="shared" si="139"/>
        <v>0</v>
      </c>
      <c r="Y831" t="str">
        <f t="shared" si="140"/>
        <v/>
      </c>
    </row>
    <row r="832" spans="8:25">
      <c r="H832">
        <v>600</v>
      </c>
      <c r="I832" s="18">
        <v>24</v>
      </c>
      <c r="J832">
        <v>64</v>
      </c>
      <c r="K832">
        <f t="shared" si="130"/>
        <v>320</v>
      </c>
      <c r="L832" s="39">
        <f t="shared" si="131"/>
        <v>289.52917895483534</v>
      </c>
      <c r="M832">
        <f t="shared" si="132"/>
        <v>350.31337508538434</v>
      </c>
      <c r="N832">
        <f t="shared" si="133"/>
        <v>35499.080352879013</v>
      </c>
      <c r="O832" s="39">
        <f t="shared" si="134"/>
        <v>51041.837754536347</v>
      </c>
      <c r="S832">
        <f t="shared" si="135"/>
        <v>0</v>
      </c>
      <c r="T832">
        <f t="shared" si="136"/>
        <v>1</v>
      </c>
      <c r="U832">
        <f t="shared" si="137"/>
        <v>1</v>
      </c>
      <c r="V832">
        <f t="shared" si="138"/>
        <v>0</v>
      </c>
      <c r="W832">
        <f t="shared" si="139"/>
        <v>0</v>
      </c>
      <c r="Y832" t="str">
        <f t="shared" si="140"/>
        <v/>
      </c>
    </row>
    <row r="833" spans="8:25">
      <c r="H833">
        <v>601</v>
      </c>
      <c r="I833" s="18">
        <v>32</v>
      </c>
      <c r="J833">
        <v>36</v>
      </c>
      <c r="K833">
        <f t="shared" si="130"/>
        <v>180</v>
      </c>
      <c r="L833" s="39">
        <f t="shared" si="131"/>
        <v>289.5291789548354</v>
      </c>
      <c r="M833">
        <f t="shared" si="132"/>
        <v>420.31337508538434</v>
      </c>
      <c r="N833">
        <f t="shared" si="133"/>
        <v>42592.54523727249</v>
      </c>
      <c r="O833" s="39">
        <f t="shared" si="134"/>
        <v>58135.302638929825</v>
      </c>
      <c r="S833">
        <f t="shared" si="135"/>
        <v>0</v>
      </c>
      <c r="T833">
        <f t="shared" si="136"/>
        <v>1</v>
      </c>
      <c r="U833">
        <f t="shared" si="137"/>
        <v>0</v>
      </c>
      <c r="V833">
        <f t="shared" si="138"/>
        <v>0</v>
      </c>
      <c r="W833">
        <f t="shared" si="139"/>
        <v>1</v>
      </c>
      <c r="Y833" t="str">
        <f t="shared" si="140"/>
        <v/>
      </c>
    </row>
    <row r="834" spans="8:25">
      <c r="H834">
        <v>602</v>
      </c>
      <c r="I834" s="18">
        <v>34</v>
      </c>
      <c r="J834">
        <v>32</v>
      </c>
      <c r="K834">
        <f t="shared" si="130"/>
        <v>160</v>
      </c>
      <c r="L834" s="39">
        <f t="shared" si="131"/>
        <v>290.53448860398402</v>
      </c>
      <c r="M834">
        <f t="shared" si="132"/>
        <v>430.31337508538434</v>
      </c>
      <c r="N834">
        <f t="shared" si="133"/>
        <v>43757.306729460281</v>
      </c>
      <c r="O834" s="39">
        <f t="shared" si="134"/>
        <v>59300.064131117615</v>
      </c>
      <c r="S834">
        <f t="shared" si="135"/>
        <v>0</v>
      </c>
      <c r="T834">
        <f t="shared" si="136"/>
        <v>1</v>
      </c>
      <c r="U834">
        <f t="shared" si="137"/>
        <v>0</v>
      </c>
      <c r="V834">
        <f t="shared" si="138"/>
        <v>0</v>
      </c>
      <c r="W834">
        <f t="shared" si="139"/>
        <v>1</v>
      </c>
      <c r="Y834" t="str">
        <f t="shared" si="140"/>
        <v/>
      </c>
    </row>
    <row r="835" spans="8:25">
      <c r="H835">
        <v>603</v>
      </c>
      <c r="I835" s="18">
        <v>25</v>
      </c>
      <c r="J835">
        <v>60</v>
      </c>
      <c r="K835">
        <f t="shared" si="130"/>
        <v>300</v>
      </c>
      <c r="L835" s="39">
        <f t="shared" si="131"/>
        <v>294.5243112740431</v>
      </c>
      <c r="M835">
        <f t="shared" si="132"/>
        <v>360.31337508538434</v>
      </c>
      <c r="N835">
        <f t="shared" si="133"/>
        <v>37142.367023947074</v>
      </c>
      <c r="O835" s="39">
        <f t="shared" si="134"/>
        <v>52685.124425604408</v>
      </c>
      <c r="S835">
        <f t="shared" si="135"/>
        <v>0</v>
      </c>
      <c r="T835">
        <f t="shared" si="136"/>
        <v>1</v>
      </c>
      <c r="U835">
        <f t="shared" si="137"/>
        <v>1</v>
      </c>
      <c r="V835">
        <f t="shared" si="138"/>
        <v>0</v>
      </c>
      <c r="W835">
        <f t="shared" si="139"/>
        <v>1</v>
      </c>
      <c r="Y835" t="str">
        <f t="shared" si="140"/>
        <v/>
      </c>
    </row>
    <row r="836" spans="8:25">
      <c r="H836">
        <v>604</v>
      </c>
      <c r="I836" s="18">
        <v>38</v>
      </c>
      <c r="J836">
        <v>26</v>
      </c>
      <c r="K836">
        <f t="shared" si="130"/>
        <v>130</v>
      </c>
      <c r="L836" s="39">
        <f t="shared" si="131"/>
        <v>294.86988646593801</v>
      </c>
      <c r="M836">
        <f t="shared" si="132"/>
        <v>445.31337508538434</v>
      </c>
      <c r="N836">
        <f t="shared" si="133"/>
        <v>45958.326523616837</v>
      </c>
      <c r="O836" s="39">
        <f t="shared" si="134"/>
        <v>61501.083925274172</v>
      </c>
      <c r="S836">
        <f t="shared" si="135"/>
        <v>0</v>
      </c>
      <c r="T836">
        <f t="shared" si="136"/>
        <v>1</v>
      </c>
      <c r="U836">
        <f t="shared" si="137"/>
        <v>0</v>
      </c>
      <c r="V836">
        <f t="shared" si="138"/>
        <v>0</v>
      </c>
      <c r="W836">
        <f t="shared" si="139"/>
        <v>1</v>
      </c>
      <c r="Y836" t="str">
        <f t="shared" si="140"/>
        <v/>
      </c>
    </row>
    <row r="837" spans="8:25">
      <c r="H837">
        <v>605</v>
      </c>
      <c r="I837" s="18">
        <v>20</v>
      </c>
      <c r="J837">
        <v>94</v>
      </c>
      <c r="K837">
        <f t="shared" si="130"/>
        <v>470</v>
      </c>
      <c r="L837" s="39">
        <f t="shared" si="131"/>
        <v>295.30970943744057</v>
      </c>
      <c r="M837">
        <f t="shared" si="132"/>
        <v>275.31337508538434</v>
      </c>
      <c r="N837">
        <f t="shared" si="133"/>
        <v>28455.94948024708</v>
      </c>
      <c r="O837" s="39">
        <f t="shared" si="134"/>
        <v>43998.706881904414</v>
      </c>
      <c r="S837">
        <f t="shared" si="135"/>
        <v>0</v>
      </c>
      <c r="T837">
        <f t="shared" si="136"/>
        <v>1</v>
      </c>
      <c r="U837">
        <f t="shared" si="137"/>
        <v>1</v>
      </c>
      <c r="V837">
        <f t="shared" si="138"/>
        <v>0</v>
      </c>
      <c r="W837">
        <f t="shared" si="139"/>
        <v>0</v>
      </c>
      <c r="Y837" t="str">
        <f t="shared" si="140"/>
        <v/>
      </c>
    </row>
    <row r="838" spans="8:25">
      <c r="H838">
        <v>606</v>
      </c>
      <c r="I838" s="18">
        <v>28</v>
      </c>
      <c r="J838">
        <v>48</v>
      </c>
      <c r="K838">
        <f t="shared" si="130"/>
        <v>240</v>
      </c>
      <c r="L838" s="39">
        <f t="shared" si="131"/>
        <v>295.56103684972771</v>
      </c>
      <c r="M838">
        <f t="shared" si="132"/>
        <v>390.31337508538434</v>
      </c>
      <c r="N838">
        <f t="shared" si="133"/>
        <v>40376.499042793504</v>
      </c>
      <c r="O838" s="39">
        <f t="shared" si="134"/>
        <v>55919.256444450839</v>
      </c>
      <c r="S838">
        <f t="shared" si="135"/>
        <v>0</v>
      </c>
      <c r="T838">
        <f t="shared" si="136"/>
        <v>1</v>
      </c>
      <c r="U838">
        <f t="shared" si="137"/>
        <v>0</v>
      </c>
      <c r="V838">
        <f t="shared" si="138"/>
        <v>0</v>
      </c>
      <c r="W838">
        <f t="shared" si="139"/>
        <v>1</v>
      </c>
      <c r="Y838" t="str">
        <f t="shared" si="140"/>
        <v/>
      </c>
    </row>
    <row r="839" spans="8:25">
      <c r="H839">
        <v>607</v>
      </c>
      <c r="I839" s="18">
        <v>22</v>
      </c>
      <c r="J839">
        <v>78</v>
      </c>
      <c r="K839">
        <f t="shared" si="130"/>
        <v>390</v>
      </c>
      <c r="L839" s="39">
        <f t="shared" si="131"/>
        <v>296.50351464580473</v>
      </c>
      <c r="M839">
        <f t="shared" si="132"/>
        <v>315.31337508538434</v>
      </c>
      <c r="N839">
        <f t="shared" si="133"/>
        <v>32722.033374676583</v>
      </c>
      <c r="O839" s="39">
        <f t="shared" si="134"/>
        <v>48264.790776333917</v>
      </c>
      <c r="S839">
        <f t="shared" si="135"/>
        <v>0</v>
      </c>
      <c r="T839">
        <f t="shared" si="136"/>
        <v>1</v>
      </c>
      <c r="U839">
        <f t="shared" si="137"/>
        <v>1</v>
      </c>
      <c r="V839">
        <f t="shared" si="138"/>
        <v>0</v>
      </c>
      <c r="W839">
        <f t="shared" si="139"/>
        <v>0</v>
      </c>
      <c r="Y839" t="str">
        <f t="shared" si="140"/>
        <v/>
      </c>
    </row>
    <row r="840" spans="8:25">
      <c r="H840">
        <v>608</v>
      </c>
      <c r="I840" s="18">
        <v>30</v>
      </c>
      <c r="J840">
        <v>42</v>
      </c>
      <c r="K840">
        <f t="shared" si="130"/>
        <v>210</v>
      </c>
      <c r="L840" s="39">
        <f t="shared" si="131"/>
        <v>296.88050576423547</v>
      </c>
      <c r="M840">
        <f t="shared" si="132"/>
        <v>405.31337508538434</v>
      </c>
      <c r="N840">
        <f t="shared" si="133"/>
        <v>42115.373925925371</v>
      </c>
      <c r="O840" s="39">
        <f t="shared" si="134"/>
        <v>57658.131327582705</v>
      </c>
      <c r="S840">
        <f t="shared" si="135"/>
        <v>0</v>
      </c>
      <c r="T840">
        <f t="shared" si="136"/>
        <v>1</v>
      </c>
      <c r="U840">
        <f t="shared" si="137"/>
        <v>0</v>
      </c>
      <c r="V840">
        <f t="shared" si="138"/>
        <v>0</v>
      </c>
      <c r="W840">
        <f t="shared" si="139"/>
        <v>1</v>
      </c>
      <c r="Y840" t="str">
        <f t="shared" si="140"/>
        <v/>
      </c>
    </row>
    <row r="841" spans="8:25">
      <c r="H841">
        <v>609</v>
      </c>
      <c r="I841" s="18">
        <v>26</v>
      </c>
      <c r="J841">
        <v>56</v>
      </c>
      <c r="K841">
        <f t="shared" si="130"/>
        <v>280</v>
      </c>
      <c r="L841" s="39">
        <f t="shared" si="131"/>
        <v>297.32032873573803</v>
      </c>
      <c r="M841">
        <f t="shared" si="132"/>
        <v>370.31337508538434</v>
      </c>
      <c r="N841">
        <f t="shared" si="133"/>
        <v>38535.593045469504</v>
      </c>
      <c r="O841" s="39">
        <f t="shared" si="134"/>
        <v>54078.350447126839</v>
      </c>
      <c r="S841">
        <f t="shared" si="135"/>
        <v>0</v>
      </c>
      <c r="T841">
        <f t="shared" si="136"/>
        <v>1</v>
      </c>
      <c r="U841">
        <f t="shared" si="137"/>
        <v>0</v>
      </c>
      <c r="V841">
        <f t="shared" si="138"/>
        <v>0</v>
      </c>
      <c r="W841">
        <f t="shared" si="139"/>
        <v>1</v>
      </c>
      <c r="Y841" t="str">
        <f t="shared" si="140"/>
        <v/>
      </c>
    </row>
    <row r="842" spans="8:25">
      <c r="H842">
        <v>610</v>
      </c>
      <c r="I842" s="18">
        <v>24</v>
      </c>
      <c r="J842">
        <v>66</v>
      </c>
      <c r="K842">
        <f t="shared" si="130"/>
        <v>330</v>
      </c>
      <c r="L842" s="39">
        <f t="shared" si="131"/>
        <v>298.57696579717395</v>
      </c>
      <c r="M842">
        <f t="shared" si="132"/>
        <v>345.31337508538434</v>
      </c>
      <c r="N842">
        <f t="shared" si="133"/>
        <v>36085.916923761426</v>
      </c>
      <c r="O842" s="39">
        <f t="shared" si="134"/>
        <v>51628.67432541876</v>
      </c>
      <c r="S842">
        <f t="shared" si="135"/>
        <v>0</v>
      </c>
      <c r="T842">
        <f t="shared" si="136"/>
        <v>1</v>
      </c>
      <c r="U842">
        <f t="shared" si="137"/>
        <v>1</v>
      </c>
      <c r="V842">
        <f t="shared" si="138"/>
        <v>0</v>
      </c>
      <c r="W842">
        <f t="shared" si="139"/>
        <v>0</v>
      </c>
      <c r="Y842" t="str">
        <f t="shared" si="140"/>
        <v/>
      </c>
    </row>
    <row r="843" spans="8:25">
      <c r="H843">
        <v>611</v>
      </c>
      <c r="I843" s="18">
        <v>40</v>
      </c>
      <c r="J843">
        <v>24</v>
      </c>
      <c r="K843">
        <f t="shared" si="130"/>
        <v>120</v>
      </c>
      <c r="L843" s="39">
        <f t="shared" si="131"/>
        <v>301.59289474462014</v>
      </c>
      <c r="M843">
        <f t="shared" si="132"/>
        <v>450.31337508538434</v>
      </c>
      <c r="N843">
        <f t="shared" si="133"/>
        <v>47533.96001697734</v>
      </c>
      <c r="O843" s="39">
        <f t="shared" si="134"/>
        <v>63076.717418634675</v>
      </c>
      <c r="S843">
        <f t="shared" si="135"/>
        <v>0</v>
      </c>
      <c r="T843">
        <f t="shared" si="136"/>
        <v>1</v>
      </c>
      <c r="U843">
        <f t="shared" si="137"/>
        <v>0</v>
      </c>
      <c r="V843">
        <f t="shared" si="138"/>
        <v>0</v>
      </c>
      <c r="W843">
        <f t="shared" si="139"/>
        <v>1</v>
      </c>
      <c r="Y843" t="str">
        <f t="shared" si="140"/>
        <v/>
      </c>
    </row>
    <row r="844" spans="8:25">
      <c r="H844">
        <v>612</v>
      </c>
      <c r="I844" s="18">
        <v>20</v>
      </c>
      <c r="J844">
        <v>96</v>
      </c>
      <c r="K844">
        <f t="shared" si="130"/>
        <v>480</v>
      </c>
      <c r="L844" s="39">
        <f t="shared" si="131"/>
        <v>301.59289474462014</v>
      </c>
      <c r="M844">
        <f t="shared" si="132"/>
        <v>270.31337508538434</v>
      </c>
      <c r="N844">
        <f t="shared" si="133"/>
        <v>28533.60764806627</v>
      </c>
      <c r="O844" s="39">
        <f t="shared" si="134"/>
        <v>44076.365049723609</v>
      </c>
      <c r="S844">
        <f t="shared" si="135"/>
        <v>0</v>
      </c>
      <c r="T844">
        <f t="shared" si="136"/>
        <v>1</v>
      </c>
      <c r="U844">
        <f t="shared" si="137"/>
        <v>1</v>
      </c>
      <c r="V844">
        <f t="shared" si="138"/>
        <v>0</v>
      </c>
      <c r="W844">
        <f t="shared" si="139"/>
        <v>0</v>
      </c>
      <c r="Y844" t="str">
        <f t="shared" si="140"/>
        <v/>
      </c>
    </row>
    <row r="845" spans="8:25">
      <c r="H845">
        <v>613</v>
      </c>
      <c r="I845" s="18">
        <v>22</v>
      </c>
      <c r="J845">
        <v>80</v>
      </c>
      <c r="K845">
        <f t="shared" si="130"/>
        <v>400</v>
      </c>
      <c r="L845" s="39">
        <f t="shared" si="131"/>
        <v>304.10616886749204</v>
      </c>
      <c r="M845">
        <f t="shared" si="132"/>
        <v>310.31337508538434</v>
      </c>
      <c r="N845">
        <f t="shared" si="133"/>
        <v>33028.874075945052</v>
      </c>
      <c r="O845" s="39">
        <f t="shared" si="134"/>
        <v>48571.631477602386</v>
      </c>
      <c r="S845">
        <f t="shared" si="135"/>
        <v>0</v>
      </c>
      <c r="T845">
        <f t="shared" si="136"/>
        <v>1</v>
      </c>
      <c r="U845">
        <f t="shared" si="137"/>
        <v>1</v>
      </c>
      <c r="V845">
        <f t="shared" si="138"/>
        <v>0</v>
      </c>
      <c r="W845">
        <f t="shared" si="139"/>
        <v>0</v>
      </c>
      <c r="Y845" t="str">
        <f t="shared" si="140"/>
        <v/>
      </c>
    </row>
    <row r="846" spans="8:25">
      <c r="H846">
        <v>614</v>
      </c>
      <c r="I846" s="18">
        <v>25</v>
      </c>
      <c r="J846">
        <v>62</v>
      </c>
      <c r="K846">
        <f t="shared" si="130"/>
        <v>310</v>
      </c>
      <c r="L846" s="39">
        <f t="shared" si="131"/>
        <v>304.34178831651121</v>
      </c>
      <c r="M846">
        <f t="shared" si="132"/>
        <v>355.31337508538434</v>
      </c>
      <c r="N846">
        <f t="shared" si="133"/>
        <v>37847.847795191417</v>
      </c>
      <c r="O846" s="39">
        <f t="shared" si="134"/>
        <v>53390.605196848752</v>
      </c>
      <c r="S846">
        <f t="shared" si="135"/>
        <v>0</v>
      </c>
      <c r="T846">
        <f t="shared" si="136"/>
        <v>1</v>
      </c>
      <c r="U846">
        <f t="shared" si="137"/>
        <v>1</v>
      </c>
      <c r="V846">
        <f t="shared" si="138"/>
        <v>0</v>
      </c>
      <c r="W846">
        <f t="shared" si="139"/>
        <v>0</v>
      </c>
      <c r="Y846" t="str">
        <f t="shared" si="140"/>
        <v/>
      </c>
    </row>
    <row r="847" spans="8:25">
      <c r="H847">
        <v>615</v>
      </c>
      <c r="I847" s="18">
        <v>36</v>
      </c>
      <c r="J847">
        <v>30</v>
      </c>
      <c r="K847">
        <f t="shared" si="130"/>
        <v>150</v>
      </c>
      <c r="L847" s="39">
        <f t="shared" si="131"/>
        <v>305.36280592892791</v>
      </c>
      <c r="M847">
        <f t="shared" si="132"/>
        <v>435.31337508538434</v>
      </c>
      <c r="N847">
        <f t="shared" si="133"/>
        <v>46524.979786062686</v>
      </c>
      <c r="O847" s="39">
        <f t="shared" si="134"/>
        <v>62067.73718772002</v>
      </c>
      <c r="S847">
        <f t="shared" si="135"/>
        <v>0</v>
      </c>
      <c r="T847">
        <f t="shared" si="136"/>
        <v>1</v>
      </c>
      <c r="U847">
        <f t="shared" si="137"/>
        <v>0</v>
      </c>
      <c r="V847">
        <f t="shared" si="138"/>
        <v>0</v>
      </c>
      <c r="W847">
        <f t="shared" si="139"/>
        <v>1</v>
      </c>
      <c r="Y847" t="str">
        <f t="shared" si="140"/>
        <v/>
      </c>
    </row>
    <row r="848" spans="8:25">
      <c r="H848">
        <v>616</v>
      </c>
      <c r="I848" s="18">
        <v>32</v>
      </c>
      <c r="J848">
        <v>38</v>
      </c>
      <c r="K848">
        <f t="shared" si="130"/>
        <v>190</v>
      </c>
      <c r="L848" s="39">
        <f t="shared" si="131"/>
        <v>305.61413334121511</v>
      </c>
      <c r="M848">
        <f t="shared" si="132"/>
        <v>415.31337508538434</v>
      </c>
      <c r="N848">
        <f t="shared" si="133"/>
        <v>44423.973017107157</v>
      </c>
      <c r="O848" s="39">
        <f t="shared" si="134"/>
        <v>59966.730418764491</v>
      </c>
      <c r="S848">
        <f t="shared" si="135"/>
        <v>0</v>
      </c>
      <c r="T848">
        <f t="shared" si="136"/>
        <v>1</v>
      </c>
      <c r="U848">
        <f t="shared" si="137"/>
        <v>0</v>
      </c>
      <c r="V848">
        <f t="shared" si="138"/>
        <v>0</v>
      </c>
      <c r="W848">
        <f t="shared" si="139"/>
        <v>1</v>
      </c>
      <c r="Y848" t="str">
        <f t="shared" si="140"/>
        <v/>
      </c>
    </row>
    <row r="849" spans="8:25">
      <c r="H849">
        <v>617</v>
      </c>
      <c r="I849" s="18">
        <v>24</v>
      </c>
      <c r="J849">
        <v>68</v>
      </c>
      <c r="K849">
        <f t="shared" si="130"/>
        <v>340</v>
      </c>
      <c r="L849" s="39">
        <f t="shared" si="131"/>
        <v>307.62475263951256</v>
      </c>
      <c r="M849">
        <f t="shared" si="132"/>
        <v>340.31337508538434</v>
      </c>
      <c r="N849">
        <f t="shared" si="133"/>
        <v>36641.086240695658</v>
      </c>
      <c r="O849" s="39">
        <f t="shared" si="134"/>
        <v>52183.843642352993</v>
      </c>
      <c r="S849">
        <f t="shared" si="135"/>
        <v>0</v>
      </c>
      <c r="T849">
        <f t="shared" si="136"/>
        <v>1</v>
      </c>
      <c r="U849">
        <f t="shared" si="137"/>
        <v>1</v>
      </c>
      <c r="V849">
        <f t="shared" si="138"/>
        <v>0</v>
      </c>
      <c r="W849">
        <f t="shared" si="139"/>
        <v>0</v>
      </c>
      <c r="Y849" t="str">
        <f t="shared" si="140"/>
        <v/>
      </c>
    </row>
    <row r="850" spans="8:25">
      <c r="H850">
        <v>618</v>
      </c>
      <c r="I850" s="18">
        <v>28</v>
      </c>
      <c r="J850">
        <v>50</v>
      </c>
      <c r="K850">
        <f t="shared" si="130"/>
        <v>250</v>
      </c>
      <c r="L850" s="39">
        <f t="shared" si="131"/>
        <v>307.8760800517997</v>
      </c>
      <c r="M850">
        <f t="shared" si="132"/>
        <v>385.31337508538434</v>
      </c>
      <c r="N850">
        <f t="shared" si="133"/>
        <v>41520.07002948592</v>
      </c>
      <c r="O850" s="39">
        <f t="shared" si="134"/>
        <v>57062.827431143254</v>
      </c>
      <c r="S850">
        <f t="shared" si="135"/>
        <v>0</v>
      </c>
      <c r="T850">
        <f t="shared" si="136"/>
        <v>1</v>
      </c>
      <c r="U850">
        <f t="shared" si="137"/>
        <v>0</v>
      </c>
      <c r="V850">
        <f t="shared" si="138"/>
        <v>0</v>
      </c>
      <c r="W850">
        <f t="shared" si="139"/>
        <v>1</v>
      </c>
      <c r="Y850" t="str">
        <f t="shared" si="140"/>
        <v/>
      </c>
    </row>
    <row r="851" spans="8:25">
      <c r="H851">
        <v>619</v>
      </c>
      <c r="I851" s="18">
        <v>20</v>
      </c>
      <c r="J851">
        <v>98</v>
      </c>
      <c r="K851">
        <f t="shared" si="130"/>
        <v>490</v>
      </c>
      <c r="L851" s="39">
        <f t="shared" si="131"/>
        <v>307.8760800517997</v>
      </c>
      <c r="M851">
        <f t="shared" si="132"/>
        <v>265.31337508538434</v>
      </c>
      <c r="N851">
        <f t="shared" si="133"/>
        <v>28589.274667310332</v>
      </c>
      <c r="O851" s="39">
        <f t="shared" si="134"/>
        <v>44132.032068967666</v>
      </c>
      <c r="S851">
        <f t="shared" si="135"/>
        <v>0</v>
      </c>
      <c r="T851">
        <f t="shared" si="136"/>
        <v>1</v>
      </c>
      <c r="U851">
        <f t="shared" si="137"/>
        <v>1</v>
      </c>
      <c r="V851">
        <f t="shared" si="138"/>
        <v>0</v>
      </c>
      <c r="W851">
        <f t="shared" si="139"/>
        <v>0</v>
      </c>
      <c r="Y851" t="str">
        <f t="shared" si="140"/>
        <v/>
      </c>
    </row>
    <row r="852" spans="8:25">
      <c r="H852">
        <v>620</v>
      </c>
      <c r="I852" s="18">
        <v>26</v>
      </c>
      <c r="J852">
        <v>58</v>
      </c>
      <c r="K852">
        <f t="shared" si="130"/>
        <v>290</v>
      </c>
      <c r="L852" s="39">
        <f t="shared" si="131"/>
        <v>307.93891190487159</v>
      </c>
      <c r="M852">
        <f t="shared" si="132"/>
        <v>365.31337508538434</v>
      </c>
      <c r="N852">
        <f t="shared" si="133"/>
        <v>39372.97112983132</v>
      </c>
      <c r="O852" s="39">
        <f t="shared" si="134"/>
        <v>54915.728531488654</v>
      </c>
      <c r="S852">
        <f t="shared" si="135"/>
        <v>0</v>
      </c>
      <c r="T852">
        <f t="shared" si="136"/>
        <v>1</v>
      </c>
      <c r="U852">
        <f t="shared" si="137"/>
        <v>0</v>
      </c>
      <c r="V852">
        <f t="shared" si="138"/>
        <v>0</v>
      </c>
      <c r="W852">
        <f t="shared" si="139"/>
        <v>1</v>
      </c>
      <c r="Y852" t="str">
        <f t="shared" si="140"/>
        <v/>
      </c>
    </row>
    <row r="853" spans="8:25">
      <c r="H853">
        <v>621</v>
      </c>
      <c r="I853" s="18">
        <v>34</v>
      </c>
      <c r="J853">
        <v>34</v>
      </c>
      <c r="K853">
        <f t="shared" si="130"/>
        <v>170</v>
      </c>
      <c r="L853" s="39">
        <f t="shared" si="131"/>
        <v>308.69289414173306</v>
      </c>
      <c r="M853">
        <f t="shared" si="132"/>
        <v>425.31337508538434</v>
      </c>
      <c r="N853">
        <f t="shared" si="133"/>
        <v>45951.925835303518</v>
      </c>
      <c r="O853" s="39">
        <f t="shared" si="134"/>
        <v>61494.683236960853</v>
      </c>
      <c r="S853">
        <f t="shared" si="135"/>
        <v>0</v>
      </c>
      <c r="T853">
        <f t="shared" si="136"/>
        <v>1</v>
      </c>
      <c r="U853">
        <f t="shared" si="137"/>
        <v>0</v>
      </c>
      <c r="V853">
        <f t="shared" si="138"/>
        <v>0</v>
      </c>
      <c r="W853">
        <f t="shared" si="139"/>
        <v>1</v>
      </c>
      <c r="Y853" t="str">
        <f t="shared" si="140"/>
        <v/>
      </c>
    </row>
    <row r="854" spans="8:25">
      <c r="H854">
        <v>622</v>
      </c>
      <c r="I854" s="18">
        <v>30</v>
      </c>
      <c r="J854">
        <v>44</v>
      </c>
      <c r="K854">
        <f t="shared" si="130"/>
        <v>220</v>
      </c>
      <c r="L854" s="39">
        <f t="shared" si="131"/>
        <v>311.01767270538949</v>
      </c>
      <c r="M854">
        <f t="shared" si="132"/>
        <v>400.31337508538434</v>
      </c>
      <c r="N854">
        <f t="shared" si="133"/>
        <v>43576.586995163561</v>
      </c>
      <c r="O854" s="39">
        <f t="shared" si="134"/>
        <v>59119.344396820896</v>
      </c>
      <c r="S854">
        <f t="shared" si="135"/>
        <v>0</v>
      </c>
      <c r="T854">
        <f t="shared" si="136"/>
        <v>1</v>
      </c>
      <c r="U854">
        <f t="shared" si="137"/>
        <v>0</v>
      </c>
      <c r="V854">
        <f t="shared" si="138"/>
        <v>0</v>
      </c>
      <c r="W854">
        <f t="shared" si="139"/>
        <v>1</v>
      </c>
      <c r="Y854" t="str">
        <f t="shared" si="140"/>
        <v/>
      </c>
    </row>
    <row r="855" spans="8:25">
      <c r="H855">
        <v>623</v>
      </c>
      <c r="I855" s="18">
        <v>22</v>
      </c>
      <c r="J855">
        <v>82</v>
      </c>
      <c r="K855">
        <f t="shared" si="130"/>
        <v>410</v>
      </c>
      <c r="L855" s="39">
        <f t="shared" si="131"/>
        <v>311.7088230891793</v>
      </c>
      <c r="M855">
        <f t="shared" si="132"/>
        <v>305.31337508538434</v>
      </c>
      <c r="N855">
        <f t="shared" si="133"/>
        <v>33309.105487437613</v>
      </c>
      <c r="O855" s="39">
        <f t="shared" si="134"/>
        <v>48851.862889094948</v>
      </c>
      <c r="S855">
        <f t="shared" si="135"/>
        <v>0</v>
      </c>
      <c r="T855">
        <f t="shared" si="136"/>
        <v>1</v>
      </c>
      <c r="U855">
        <f t="shared" si="137"/>
        <v>1</v>
      </c>
      <c r="V855">
        <f t="shared" si="138"/>
        <v>0</v>
      </c>
      <c r="W855">
        <f t="shared" si="139"/>
        <v>0</v>
      </c>
      <c r="Y855" t="str">
        <f t="shared" si="140"/>
        <v/>
      </c>
    </row>
    <row r="856" spans="8:25">
      <c r="H856">
        <v>624</v>
      </c>
      <c r="I856" s="18">
        <v>50</v>
      </c>
      <c r="J856">
        <v>16</v>
      </c>
      <c r="K856">
        <f t="shared" si="130"/>
        <v>80</v>
      </c>
      <c r="L856" s="39">
        <f t="shared" si="131"/>
        <v>314.15926535897933</v>
      </c>
      <c r="M856">
        <f t="shared" si="132"/>
        <v>470.31337508538434</v>
      </c>
      <c r="N856">
        <f t="shared" si="133"/>
        <v>51713.656541864257</v>
      </c>
      <c r="O856" s="39">
        <f t="shared" si="134"/>
        <v>67256.413943521591</v>
      </c>
      <c r="S856">
        <f t="shared" si="135"/>
        <v>0</v>
      </c>
      <c r="T856">
        <f t="shared" si="136"/>
        <v>1</v>
      </c>
      <c r="U856">
        <f t="shared" si="137"/>
        <v>0</v>
      </c>
      <c r="V856">
        <f t="shared" si="138"/>
        <v>1</v>
      </c>
      <c r="W856">
        <f t="shared" si="139"/>
        <v>1</v>
      </c>
      <c r="Y856" t="str">
        <f t="shared" si="140"/>
        <v/>
      </c>
    </row>
    <row r="857" spans="8:25">
      <c r="H857">
        <v>625</v>
      </c>
      <c r="I857" s="18">
        <v>25</v>
      </c>
      <c r="J857">
        <v>64</v>
      </c>
      <c r="K857">
        <f t="shared" si="130"/>
        <v>320</v>
      </c>
      <c r="L857" s="39">
        <f t="shared" si="131"/>
        <v>314.15926535897933</v>
      </c>
      <c r="M857">
        <f t="shared" si="132"/>
        <v>350.31337508538434</v>
      </c>
      <c r="N857">
        <f t="shared" si="133"/>
        <v>38518.96739678712</v>
      </c>
      <c r="O857" s="39">
        <f t="shared" si="134"/>
        <v>54061.724798444455</v>
      </c>
      <c r="S857">
        <f t="shared" si="135"/>
        <v>0</v>
      </c>
      <c r="T857">
        <f t="shared" si="136"/>
        <v>1</v>
      </c>
      <c r="U857">
        <f t="shared" si="137"/>
        <v>1</v>
      </c>
      <c r="V857">
        <f t="shared" si="138"/>
        <v>0</v>
      </c>
      <c r="W857">
        <f t="shared" si="139"/>
        <v>0</v>
      </c>
      <c r="Y857" t="str">
        <f t="shared" si="140"/>
        <v/>
      </c>
    </row>
    <row r="858" spans="8:25">
      <c r="H858">
        <v>626</v>
      </c>
      <c r="I858" s="18">
        <v>20</v>
      </c>
      <c r="J858">
        <v>100</v>
      </c>
      <c r="K858">
        <f t="shared" si="130"/>
        <v>500</v>
      </c>
      <c r="L858" s="39">
        <f t="shared" si="131"/>
        <v>314.15926535897933</v>
      </c>
      <c r="M858">
        <f t="shared" si="132"/>
        <v>260.31337508538434</v>
      </c>
      <c r="N858">
        <f t="shared" si="133"/>
        <v>28622.950537979272</v>
      </c>
      <c r="O858" s="39">
        <f t="shared" si="134"/>
        <v>44165.707939636603</v>
      </c>
      <c r="S858">
        <f t="shared" si="135"/>
        <v>0</v>
      </c>
      <c r="T858">
        <f t="shared" si="136"/>
        <v>1</v>
      </c>
      <c r="U858">
        <f t="shared" si="137"/>
        <v>1</v>
      </c>
      <c r="V858">
        <f t="shared" si="138"/>
        <v>0</v>
      </c>
      <c r="W858">
        <f t="shared" si="139"/>
        <v>0</v>
      </c>
      <c r="Y858" t="str">
        <f t="shared" si="140"/>
        <v/>
      </c>
    </row>
    <row r="859" spans="8:25">
      <c r="H859">
        <v>627</v>
      </c>
      <c r="I859" s="18">
        <v>24</v>
      </c>
      <c r="J859">
        <v>70</v>
      </c>
      <c r="K859">
        <f t="shared" si="130"/>
        <v>350</v>
      </c>
      <c r="L859" s="39">
        <f t="shared" si="131"/>
        <v>316.67253948185112</v>
      </c>
      <c r="M859">
        <f t="shared" si="132"/>
        <v>335.31337508538434</v>
      </c>
      <c r="N859">
        <f t="shared" si="133"/>
        <v>37164.588303681696</v>
      </c>
      <c r="O859" s="39">
        <f t="shared" si="134"/>
        <v>52707.34570533903</v>
      </c>
      <c r="S859">
        <f t="shared" si="135"/>
        <v>0</v>
      </c>
      <c r="T859">
        <f t="shared" si="136"/>
        <v>1</v>
      </c>
      <c r="U859">
        <f t="shared" si="137"/>
        <v>1</v>
      </c>
      <c r="V859">
        <f t="shared" si="138"/>
        <v>0</v>
      </c>
      <c r="W859">
        <f t="shared" si="139"/>
        <v>0</v>
      </c>
      <c r="Y859" t="str">
        <f t="shared" si="140"/>
        <v/>
      </c>
    </row>
    <row r="860" spans="8:25">
      <c r="H860">
        <v>628</v>
      </c>
      <c r="I860" s="18">
        <v>38</v>
      </c>
      <c r="J860">
        <v>28</v>
      </c>
      <c r="K860">
        <f t="shared" si="130"/>
        <v>140</v>
      </c>
      <c r="L860" s="39">
        <f t="shared" si="131"/>
        <v>317.5521854248563</v>
      </c>
      <c r="M860">
        <f t="shared" si="132"/>
        <v>440.31337508538434</v>
      </c>
      <c r="N860">
        <f t="shared" si="133"/>
        <v>48937.866085555397</v>
      </c>
      <c r="O860" s="39">
        <f t="shared" si="134"/>
        <v>64480.623487212732</v>
      </c>
      <c r="S860">
        <f t="shared" si="135"/>
        <v>0</v>
      </c>
      <c r="T860">
        <f t="shared" si="136"/>
        <v>1</v>
      </c>
      <c r="U860">
        <f t="shared" si="137"/>
        <v>0</v>
      </c>
      <c r="V860">
        <f t="shared" si="138"/>
        <v>0</v>
      </c>
      <c r="W860">
        <f t="shared" si="139"/>
        <v>1</v>
      </c>
      <c r="Y860" t="str">
        <f t="shared" si="140"/>
        <v/>
      </c>
    </row>
    <row r="861" spans="8:25">
      <c r="H861">
        <v>629</v>
      </c>
      <c r="I861" s="18">
        <v>45</v>
      </c>
      <c r="J861">
        <v>20</v>
      </c>
      <c r="K861">
        <f t="shared" si="130"/>
        <v>100</v>
      </c>
      <c r="L861" s="39">
        <f t="shared" si="131"/>
        <v>318.08625617596653</v>
      </c>
      <c r="M861">
        <f t="shared" si="132"/>
        <v>460.31337508538434</v>
      </c>
      <c r="N861">
        <f t="shared" si="133"/>
        <v>51246.775352021665</v>
      </c>
      <c r="O861" s="39">
        <f t="shared" si="134"/>
        <v>66789.532753678999</v>
      </c>
      <c r="S861">
        <f t="shared" si="135"/>
        <v>0</v>
      </c>
      <c r="T861">
        <f t="shared" si="136"/>
        <v>1</v>
      </c>
      <c r="U861">
        <f t="shared" si="137"/>
        <v>0</v>
      </c>
      <c r="V861">
        <f t="shared" si="138"/>
        <v>1</v>
      </c>
      <c r="W861">
        <f t="shared" si="139"/>
        <v>1</v>
      </c>
      <c r="Y861" t="str">
        <f t="shared" si="140"/>
        <v/>
      </c>
    </row>
    <row r="862" spans="8:25">
      <c r="H862">
        <v>630</v>
      </c>
      <c r="I862" s="18">
        <v>26</v>
      </c>
      <c r="J862">
        <v>60</v>
      </c>
      <c r="K862">
        <f t="shared" si="130"/>
        <v>300</v>
      </c>
      <c r="L862" s="39">
        <f t="shared" si="131"/>
        <v>318.55749507400503</v>
      </c>
      <c r="M862">
        <f t="shared" si="132"/>
        <v>360.31337508538434</v>
      </c>
      <c r="N862">
        <f t="shared" si="133"/>
        <v>40173.184173101159</v>
      </c>
      <c r="O862" s="39">
        <f t="shared" si="134"/>
        <v>55715.941574758494</v>
      </c>
      <c r="S862">
        <f t="shared" si="135"/>
        <v>0</v>
      </c>
      <c r="T862">
        <f t="shared" si="136"/>
        <v>1</v>
      </c>
      <c r="U862">
        <f t="shared" si="137"/>
        <v>0</v>
      </c>
      <c r="V862">
        <f t="shared" si="138"/>
        <v>0</v>
      </c>
      <c r="W862">
        <f t="shared" si="139"/>
        <v>1</v>
      </c>
      <c r="Y862" t="str">
        <f t="shared" si="140"/>
        <v/>
      </c>
    </row>
    <row r="863" spans="8:25">
      <c r="H863">
        <v>631</v>
      </c>
      <c r="I863" s="18">
        <v>22</v>
      </c>
      <c r="J863">
        <v>84</v>
      </c>
      <c r="K863">
        <f t="shared" si="130"/>
        <v>420</v>
      </c>
      <c r="L863" s="39">
        <f t="shared" si="131"/>
        <v>319.31147731086662</v>
      </c>
      <c r="M863">
        <f t="shared" si="132"/>
        <v>300.31337508538434</v>
      </c>
      <c r="N863">
        <f t="shared" si="133"/>
        <v>33562.727609154266</v>
      </c>
      <c r="O863" s="39">
        <f t="shared" si="134"/>
        <v>49105.485010811601</v>
      </c>
      <c r="S863">
        <f t="shared" si="135"/>
        <v>0</v>
      </c>
      <c r="T863">
        <f t="shared" si="136"/>
        <v>1</v>
      </c>
      <c r="U863">
        <f t="shared" si="137"/>
        <v>1</v>
      </c>
      <c r="V863">
        <f t="shared" si="138"/>
        <v>0</v>
      </c>
      <c r="W863">
        <f t="shared" si="139"/>
        <v>0</v>
      </c>
      <c r="Y863" t="str">
        <f t="shared" si="140"/>
        <v/>
      </c>
    </row>
    <row r="864" spans="8:25">
      <c r="H864">
        <v>632</v>
      </c>
      <c r="I864" s="18">
        <v>28</v>
      </c>
      <c r="J864">
        <v>52</v>
      </c>
      <c r="K864">
        <f t="shared" si="130"/>
        <v>260</v>
      </c>
      <c r="L864" s="39">
        <f t="shared" si="131"/>
        <v>320.19112325387169</v>
      </c>
      <c r="M864">
        <f t="shared" si="132"/>
        <v>380.31337508538434</v>
      </c>
      <c r="N864">
        <f t="shared" si="133"/>
        <v>42620.538364971086</v>
      </c>
      <c r="O864" s="39">
        <f t="shared" si="134"/>
        <v>58163.29576662842</v>
      </c>
      <c r="S864">
        <f t="shared" si="135"/>
        <v>0</v>
      </c>
      <c r="T864">
        <f t="shared" si="136"/>
        <v>1</v>
      </c>
      <c r="U864">
        <f t="shared" si="137"/>
        <v>0</v>
      </c>
      <c r="V864">
        <f t="shared" si="138"/>
        <v>0</v>
      </c>
      <c r="W864">
        <f t="shared" si="139"/>
        <v>1</v>
      </c>
      <c r="Y864" t="str">
        <f t="shared" si="140"/>
        <v/>
      </c>
    </row>
    <row r="865" spans="8:25">
      <c r="H865">
        <v>633</v>
      </c>
      <c r="I865" s="18">
        <v>32</v>
      </c>
      <c r="J865">
        <v>40</v>
      </c>
      <c r="K865">
        <f t="shared" si="130"/>
        <v>200</v>
      </c>
      <c r="L865" s="39">
        <f t="shared" si="131"/>
        <v>321.69908772759487</v>
      </c>
      <c r="M865">
        <f t="shared" si="132"/>
        <v>410.31337508538434</v>
      </c>
      <c r="N865">
        <f t="shared" si="133"/>
        <v>46199.103456589517</v>
      </c>
      <c r="O865" s="39">
        <f t="shared" si="134"/>
        <v>61741.860858246851</v>
      </c>
      <c r="S865">
        <f t="shared" si="135"/>
        <v>0</v>
      </c>
      <c r="T865">
        <f t="shared" si="136"/>
        <v>1</v>
      </c>
      <c r="U865">
        <f t="shared" si="137"/>
        <v>0</v>
      </c>
      <c r="V865">
        <f t="shared" si="138"/>
        <v>0</v>
      </c>
      <c r="W865">
        <f t="shared" si="139"/>
        <v>1</v>
      </c>
      <c r="Y865" t="str">
        <f t="shared" si="140"/>
        <v/>
      </c>
    </row>
    <row r="866" spans="8:25">
      <c r="H866">
        <v>634</v>
      </c>
      <c r="I866" s="18">
        <v>25</v>
      </c>
      <c r="J866">
        <v>66</v>
      </c>
      <c r="K866">
        <f t="shared" si="130"/>
        <v>330</v>
      </c>
      <c r="L866" s="39">
        <f t="shared" si="131"/>
        <v>323.97674240144744</v>
      </c>
      <c r="M866">
        <f t="shared" si="132"/>
        <v>345.31337508538434</v>
      </c>
      <c r="N866">
        <f t="shared" si="133"/>
        <v>39155.725828734183</v>
      </c>
      <c r="O866" s="39">
        <f t="shared" si="134"/>
        <v>54698.483230391517</v>
      </c>
      <c r="S866">
        <f t="shared" si="135"/>
        <v>0</v>
      </c>
      <c r="T866">
        <f t="shared" si="136"/>
        <v>1</v>
      </c>
      <c r="U866">
        <f t="shared" si="137"/>
        <v>1</v>
      </c>
      <c r="V866">
        <f t="shared" si="138"/>
        <v>0</v>
      </c>
      <c r="W866">
        <f t="shared" si="139"/>
        <v>0</v>
      </c>
      <c r="Y866" t="str">
        <f t="shared" si="140"/>
        <v/>
      </c>
    </row>
    <row r="867" spans="8:25">
      <c r="H867">
        <v>635</v>
      </c>
      <c r="I867" s="18">
        <v>30</v>
      </c>
      <c r="J867">
        <v>46</v>
      </c>
      <c r="K867">
        <f t="shared" si="130"/>
        <v>230</v>
      </c>
      <c r="L867" s="39">
        <f t="shared" si="131"/>
        <v>325.15483964654356</v>
      </c>
      <c r="M867">
        <f t="shared" si="132"/>
        <v>395.31337508538434</v>
      </c>
      <c r="N867">
        <f t="shared" si="133"/>
        <v>44988.319980107728</v>
      </c>
      <c r="O867" s="39">
        <f t="shared" si="134"/>
        <v>60531.077381765062</v>
      </c>
      <c r="S867">
        <f t="shared" si="135"/>
        <v>0</v>
      </c>
      <c r="T867">
        <f t="shared" si="136"/>
        <v>1</v>
      </c>
      <c r="U867">
        <f t="shared" si="137"/>
        <v>0</v>
      </c>
      <c r="V867">
        <f t="shared" si="138"/>
        <v>0</v>
      </c>
      <c r="W867">
        <f t="shared" si="139"/>
        <v>1</v>
      </c>
      <c r="Y867" t="str">
        <f t="shared" si="140"/>
        <v/>
      </c>
    </row>
    <row r="868" spans="8:25">
      <c r="H868">
        <v>636</v>
      </c>
      <c r="I868" s="18">
        <v>24</v>
      </c>
      <c r="J868">
        <v>72</v>
      </c>
      <c r="K868">
        <f t="shared" si="130"/>
        <v>360</v>
      </c>
      <c r="L868" s="39">
        <f t="shared" si="131"/>
        <v>325.72032632418973</v>
      </c>
      <c r="M868">
        <f t="shared" si="132"/>
        <v>330.31337508538434</v>
      </c>
      <c r="N868">
        <f t="shared" si="133"/>
        <v>37656.42311271956</v>
      </c>
      <c r="O868" s="39">
        <f t="shared" si="134"/>
        <v>53199.180514376894</v>
      </c>
      <c r="S868">
        <f t="shared" si="135"/>
        <v>0</v>
      </c>
      <c r="T868">
        <f t="shared" si="136"/>
        <v>1</v>
      </c>
      <c r="U868">
        <f t="shared" si="137"/>
        <v>1</v>
      </c>
      <c r="V868">
        <f t="shared" si="138"/>
        <v>0</v>
      </c>
      <c r="W868">
        <f t="shared" si="139"/>
        <v>0</v>
      </c>
      <c r="Y868" t="str">
        <f t="shared" si="140"/>
        <v/>
      </c>
    </row>
    <row r="869" spans="8:25">
      <c r="H869">
        <v>637</v>
      </c>
      <c r="I869" s="18">
        <v>36</v>
      </c>
      <c r="J869">
        <v>32</v>
      </c>
      <c r="K869">
        <f t="shared" si="130"/>
        <v>160</v>
      </c>
      <c r="L869" s="39">
        <f t="shared" si="131"/>
        <v>325.72032632418978</v>
      </c>
      <c r="M869">
        <f t="shared" si="132"/>
        <v>430.31337508538434</v>
      </c>
      <c r="N869">
        <f t="shared" si="133"/>
        <v>49056.634534066201</v>
      </c>
      <c r="O869" s="39">
        <f t="shared" si="134"/>
        <v>64599.391935723535</v>
      </c>
      <c r="S869">
        <f t="shared" si="135"/>
        <v>0</v>
      </c>
      <c r="T869">
        <f t="shared" si="136"/>
        <v>1</v>
      </c>
      <c r="U869">
        <f t="shared" si="137"/>
        <v>0</v>
      </c>
      <c r="V869">
        <f t="shared" si="138"/>
        <v>0</v>
      </c>
      <c r="W869">
        <f t="shared" si="139"/>
        <v>1</v>
      </c>
      <c r="Y869" t="str">
        <f t="shared" si="140"/>
        <v/>
      </c>
    </row>
    <row r="870" spans="8:25">
      <c r="H870">
        <v>638</v>
      </c>
      <c r="I870" s="18">
        <v>40</v>
      </c>
      <c r="J870">
        <v>26</v>
      </c>
      <c r="K870">
        <f t="shared" si="130"/>
        <v>130</v>
      </c>
      <c r="L870" s="39">
        <f t="shared" si="131"/>
        <v>326.72563597333851</v>
      </c>
      <c r="M870">
        <f t="shared" si="132"/>
        <v>445.31337508538434</v>
      </c>
      <c r="N870">
        <f t="shared" si="133"/>
        <v>50923.353488772111</v>
      </c>
      <c r="O870" s="39">
        <f t="shared" si="134"/>
        <v>66466.110890429438</v>
      </c>
      <c r="S870">
        <f t="shared" si="135"/>
        <v>0</v>
      </c>
      <c r="T870">
        <f t="shared" si="136"/>
        <v>1</v>
      </c>
      <c r="U870">
        <f t="shared" si="137"/>
        <v>0</v>
      </c>
      <c r="V870">
        <f t="shared" si="138"/>
        <v>0</v>
      </c>
      <c r="W870">
        <f t="shared" si="139"/>
        <v>1</v>
      </c>
      <c r="Y870" t="str">
        <f t="shared" si="140"/>
        <v/>
      </c>
    </row>
    <row r="871" spans="8:25">
      <c r="H871">
        <v>639</v>
      </c>
      <c r="I871" s="18">
        <v>34</v>
      </c>
      <c r="J871">
        <v>36</v>
      </c>
      <c r="K871">
        <f t="shared" si="130"/>
        <v>180</v>
      </c>
      <c r="L871" s="39">
        <f t="shared" si="131"/>
        <v>326.85129967948205</v>
      </c>
      <c r="M871">
        <f t="shared" si="132"/>
        <v>420.31337508538434</v>
      </c>
      <c r="N871">
        <f t="shared" si="133"/>
        <v>48082.99052176463</v>
      </c>
      <c r="O871" s="39">
        <f t="shared" si="134"/>
        <v>63625.747923421965</v>
      </c>
      <c r="S871">
        <f t="shared" si="135"/>
        <v>0</v>
      </c>
      <c r="T871">
        <f t="shared" si="136"/>
        <v>1</v>
      </c>
      <c r="U871">
        <f t="shared" si="137"/>
        <v>0</v>
      </c>
      <c r="V871">
        <f t="shared" si="138"/>
        <v>0</v>
      </c>
      <c r="W871">
        <f t="shared" si="139"/>
        <v>1</v>
      </c>
      <c r="Y871" t="str">
        <f t="shared" si="140"/>
        <v/>
      </c>
    </row>
    <row r="872" spans="8:25">
      <c r="H872">
        <v>640</v>
      </c>
      <c r="I872" s="18">
        <v>22</v>
      </c>
      <c r="J872">
        <v>86</v>
      </c>
      <c r="K872">
        <f t="shared" si="130"/>
        <v>430</v>
      </c>
      <c r="L872" s="39">
        <f t="shared" si="131"/>
        <v>326.91413153255394</v>
      </c>
      <c r="M872">
        <f t="shared" si="132"/>
        <v>295.31337508538434</v>
      </c>
      <c r="N872">
        <f t="shared" si="133"/>
        <v>33789.740441095026</v>
      </c>
      <c r="O872" s="39">
        <f t="shared" si="134"/>
        <v>49332.49784275236</v>
      </c>
      <c r="S872">
        <f t="shared" si="135"/>
        <v>0</v>
      </c>
      <c r="T872">
        <f t="shared" si="136"/>
        <v>1</v>
      </c>
      <c r="U872">
        <f t="shared" si="137"/>
        <v>1</v>
      </c>
      <c r="V872">
        <f t="shared" si="138"/>
        <v>0</v>
      </c>
      <c r="W872">
        <f t="shared" si="139"/>
        <v>0</v>
      </c>
      <c r="Y872" t="str">
        <f t="shared" si="140"/>
        <v/>
      </c>
    </row>
    <row r="873" spans="8:25">
      <c r="H873">
        <v>641</v>
      </c>
      <c r="I873" s="18">
        <v>26</v>
      </c>
      <c r="J873">
        <v>62</v>
      </c>
      <c r="K873">
        <f t="shared" ref="K873:K936" si="141">$F$230+$F$231*(J873-2)/2</f>
        <v>310</v>
      </c>
      <c r="L873" s="39">
        <f t="shared" ref="L873:L936" si="142">J873*0.25*PI()*(I873/10)^2</f>
        <v>329.17607824313853</v>
      </c>
      <c r="M873">
        <f t="shared" ref="M873:M936" si="143">$F$233-(K873+$F$232)/2</f>
        <v>355.31337508538434</v>
      </c>
      <c r="N873">
        <f t="shared" ref="N873:N936" si="144">L873*$F$235*M873*0.001</f>
        <v>40936.232175279038</v>
      </c>
      <c r="O873" s="39">
        <f t="shared" ref="O873:O936" si="145">N873+$F$237</f>
        <v>56478.989576936372</v>
      </c>
      <c r="S873">
        <f t="shared" ref="S873:S936" si="146">IF(L873&lt;$F$236,1,0)</f>
        <v>0</v>
      </c>
      <c r="T873">
        <f t="shared" ref="T873:T936" si="147">IF(O873&gt;$F$234,1,0)</f>
        <v>1</v>
      </c>
      <c r="U873">
        <f t="shared" ref="U873:U936" si="148">IF(I873&lt;=$F$238,1,0)</f>
        <v>0</v>
      </c>
      <c r="V873">
        <f t="shared" ref="V873:V936" si="149">IF(J873&lt;=$F$239,1,0)</f>
        <v>0</v>
      </c>
      <c r="W873">
        <f t="shared" ref="W873:W936" si="150">IF(K873&lt;=$F$240,1,0)</f>
        <v>0</v>
      </c>
      <c r="Y873" t="str">
        <f t="shared" ref="Y873:Y936" si="151">IF(SUM(S873:W873)=5,H873,"")</f>
        <v/>
      </c>
    </row>
    <row r="874" spans="8:25">
      <c r="H874">
        <v>642</v>
      </c>
      <c r="I874" s="18">
        <v>28</v>
      </c>
      <c r="J874">
        <v>54</v>
      </c>
      <c r="K874">
        <f t="shared" si="141"/>
        <v>270</v>
      </c>
      <c r="L874" s="39">
        <f t="shared" si="142"/>
        <v>332.50616645594363</v>
      </c>
      <c r="M874">
        <f t="shared" si="143"/>
        <v>375.31337508538434</v>
      </c>
      <c r="N874">
        <f t="shared" si="144"/>
        <v>43677.904049248988</v>
      </c>
      <c r="O874" s="39">
        <f t="shared" si="145"/>
        <v>59220.661450906322</v>
      </c>
      <c r="S874">
        <f t="shared" si="146"/>
        <v>0</v>
      </c>
      <c r="T874">
        <f t="shared" si="147"/>
        <v>1</v>
      </c>
      <c r="U874">
        <f t="shared" si="148"/>
        <v>0</v>
      </c>
      <c r="V874">
        <f t="shared" si="149"/>
        <v>0</v>
      </c>
      <c r="W874">
        <f t="shared" si="150"/>
        <v>1</v>
      </c>
      <c r="Y874" t="str">
        <f t="shared" si="151"/>
        <v/>
      </c>
    </row>
    <row r="875" spans="8:25">
      <c r="H875">
        <v>643</v>
      </c>
      <c r="I875" s="18">
        <v>25</v>
      </c>
      <c r="J875">
        <v>68</v>
      </c>
      <c r="K875">
        <f t="shared" si="141"/>
        <v>340</v>
      </c>
      <c r="L875" s="39">
        <f t="shared" si="142"/>
        <v>333.79421944391555</v>
      </c>
      <c r="M875">
        <f t="shared" si="143"/>
        <v>340.31337508538434</v>
      </c>
      <c r="N875">
        <f t="shared" si="144"/>
        <v>39758.123091032619</v>
      </c>
      <c r="O875" s="39">
        <f t="shared" si="145"/>
        <v>55300.880492689954</v>
      </c>
      <c r="S875">
        <f t="shared" si="146"/>
        <v>0</v>
      </c>
      <c r="T875">
        <f t="shared" si="147"/>
        <v>1</v>
      </c>
      <c r="U875">
        <f t="shared" si="148"/>
        <v>1</v>
      </c>
      <c r="V875">
        <f t="shared" si="149"/>
        <v>0</v>
      </c>
      <c r="W875">
        <f t="shared" si="150"/>
        <v>0</v>
      </c>
      <c r="Y875" t="str">
        <f t="shared" si="151"/>
        <v/>
      </c>
    </row>
    <row r="876" spans="8:25">
      <c r="H876">
        <v>644</v>
      </c>
      <c r="I876" s="18">
        <v>22</v>
      </c>
      <c r="J876">
        <v>88</v>
      </c>
      <c r="K876">
        <f t="shared" si="141"/>
        <v>440</v>
      </c>
      <c r="L876" s="39">
        <f t="shared" si="142"/>
        <v>334.5167857542412</v>
      </c>
      <c r="M876">
        <f t="shared" si="143"/>
        <v>290.31337508538434</v>
      </c>
      <c r="N876">
        <f t="shared" si="144"/>
        <v>33990.143983259863</v>
      </c>
      <c r="O876" s="39">
        <f t="shared" si="145"/>
        <v>49532.901384917197</v>
      </c>
      <c r="S876">
        <f t="shared" si="146"/>
        <v>0</v>
      </c>
      <c r="T876">
        <f t="shared" si="147"/>
        <v>1</v>
      </c>
      <c r="U876">
        <f t="shared" si="148"/>
        <v>1</v>
      </c>
      <c r="V876">
        <f t="shared" si="149"/>
        <v>0</v>
      </c>
      <c r="W876">
        <f t="shared" si="150"/>
        <v>0</v>
      </c>
      <c r="Y876" t="str">
        <f t="shared" si="151"/>
        <v/>
      </c>
    </row>
    <row r="877" spans="8:25">
      <c r="H877">
        <v>645</v>
      </c>
      <c r="I877" s="18">
        <v>24</v>
      </c>
      <c r="J877">
        <v>74</v>
      </c>
      <c r="K877">
        <f t="shared" si="141"/>
        <v>370</v>
      </c>
      <c r="L877" s="39">
        <f t="shared" si="142"/>
        <v>334.76811316652834</v>
      </c>
      <c r="M877">
        <f t="shared" si="143"/>
        <v>325.31337508538434</v>
      </c>
      <c r="N877">
        <f t="shared" si="144"/>
        <v>38116.590667809236</v>
      </c>
      <c r="O877" s="39">
        <f t="shared" si="145"/>
        <v>53659.34806946657</v>
      </c>
      <c r="S877">
        <f t="shared" si="146"/>
        <v>0</v>
      </c>
      <c r="T877">
        <f t="shared" si="147"/>
        <v>1</v>
      </c>
      <c r="U877">
        <f t="shared" si="148"/>
        <v>1</v>
      </c>
      <c r="V877">
        <f t="shared" si="149"/>
        <v>0</v>
      </c>
      <c r="W877">
        <f t="shared" si="150"/>
        <v>0</v>
      </c>
      <c r="Y877" t="str">
        <f t="shared" si="151"/>
        <v/>
      </c>
    </row>
    <row r="878" spans="8:25">
      <c r="H878">
        <v>646</v>
      </c>
      <c r="I878" s="18">
        <v>32</v>
      </c>
      <c r="J878">
        <v>42</v>
      </c>
      <c r="K878">
        <f t="shared" si="141"/>
        <v>210</v>
      </c>
      <c r="L878" s="39">
        <f t="shared" si="142"/>
        <v>337.78404211397464</v>
      </c>
      <c r="M878">
        <f t="shared" si="143"/>
        <v>405.31337508538434</v>
      </c>
      <c r="N878">
        <f t="shared" si="144"/>
        <v>47917.936555719534</v>
      </c>
      <c r="O878" s="39">
        <f t="shared" si="145"/>
        <v>63460.693957376869</v>
      </c>
      <c r="S878">
        <f t="shared" si="146"/>
        <v>0</v>
      </c>
      <c r="T878">
        <f t="shared" si="147"/>
        <v>1</v>
      </c>
      <c r="U878">
        <f t="shared" si="148"/>
        <v>0</v>
      </c>
      <c r="V878">
        <f t="shared" si="149"/>
        <v>0</v>
      </c>
      <c r="W878">
        <f t="shared" si="150"/>
        <v>1</v>
      </c>
      <c r="Y878" t="str">
        <f t="shared" si="151"/>
        <v/>
      </c>
    </row>
    <row r="879" spans="8:25">
      <c r="H879">
        <v>647</v>
      </c>
      <c r="I879" s="18">
        <v>30</v>
      </c>
      <c r="J879">
        <v>48</v>
      </c>
      <c r="K879">
        <f t="shared" si="141"/>
        <v>240</v>
      </c>
      <c r="L879" s="39">
        <f t="shared" si="142"/>
        <v>339.29200658769764</v>
      </c>
      <c r="M879">
        <f t="shared" si="143"/>
        <v>390.31337508538434</v>
      </c>
      <c r="N879">
        <f t="shared" si="144"/>
        <v>46350.572880757856</v>
      </c>
      <c r="O879" s="39">
        <f t="shared" si="145"/>
        <v>61893.330282415191</v>
      </c>
      <c r="S879">
        <f t="shared" si="146"/>
        <v>0</v>
      </c>
      <c r="T879">
        <f t="shared" si="147"/>
        <v>1</v>
      </c>
      <c r="U879">
        <f t="shared" si="148"/>
        <v>0</v>
      </c>
      <c r="V879">
        <f t="shared" si="149"/>
        <v>0</v>
      </c>
      <c r="W879">
        <f t="shared" si="150"/>
        <v>1</v>
      </c>
      <c r="Y879" t="str">
        <f t="shared" si="151"/>
        <v/>
      </c>
    </row>
    <row r="880" spans="8:25">
      <c r="H880">
        <v>648</v>
      </c>
      <c r="I880" s="18">
        <v>26</v>
      </c>
      <c r="J880">
        <v>64</v>
      </c>
      <c r="K880">
        <f t="shared" si="141"/>
        <v>320</v>
      </c>
      <c r="L880" s="39">
        <f t="shared" si="142"/>
        <v>339.79466141227203</v>
      </c>
      <c r="M880">
        <f t="shared" si="143"/>
        <v>350.31337508538434</v>
      </c>
      <c r="N880">
        <f t="shared" si="144"/>
        <v>41662.115136364955</v>
      </c>
      <c r="O880" s="39">
        <f t="shared" si="145"/>
        <v>57204.87253802229</v>
      </c>
      <c r="S880">
        <f t="shared" si="146"/>
        <v>0</v>
      </c>
      <c r="T880">
        <f t="shared" si="147"/>
        <v>1</v>
      </c>
      <c r="U880">
        <f t="shared" si="148"/>
        <v>0</v>
      </c>
      <c r="V880">
        <f t="shared" si="149"/>
        <v>0</v>
      </c>
      <c r="W880">
        <f t="shared" si="150"/>
        <v>0</v>
      </c>
      <c r="Y880" t="str">
        <f t="shared" si="151"/>
        <v/>
      </c>
    </row>
    <row r="881" spans="8:25">
      <c r="H881">
        <v>649</v>
      </c>
      <c r="I881" s="18">
        <v>38</v>
      </c>
      <c r="J881">
        <v>30</v>
      </c>
      <c r="K881">
        <f t="shared" si="141"/>
        <v>150</v>
      </c>
      <c r="L881" s="39">
        <f t="shared" si="142"/>
        <v>340.23448438377454</v>
      </c>
      <c r="M881">
        <f t="shared" si="143"/>
        <v>435.31337508538434</v>
      </c>
      <c r="N881">
        <f t="shared" si="144"/>
        <v>51838.017601137733</v>
      </c>
      <c r="O881" s="39">
        <f t="shared" si="145"/>
        <v>67380.775002795068</v>
      </c>
      <c r="S881">
        <f t="shared" si="146"/>
        <v>0</v>
      </c>
      <c r="T881">
        <f t="shared" si="147"/>
        <v>1</v>
      </c>
      <c r="U881">
        <f t="shared" si="148"/>
        <v>0</v>
      </c>
      <c r="V881">
        <f t="shared" si="149"/>
        <v>0</v>
      </c>
      <c r="W881">
        <f t="shared" si="150"/>
        <v>1</v>
      </c>
      <c r="Y881" t="str">
        <f t="shared" si="151"/>
        <v/>
      </c>
    </row>
    <row r="882" spans="8:25">
      <c r="H882">
        <v>650</v>
      </c>
      <c r="I882" s="18">
        <v>22</v>
      </c>
      <c r="J882">
        <v>90</v>
      </c>
      <c r="K882">
        <f t="shared" si="141"/>
        <v>450</v>
      </c>
      <c r="L882" s="39">
        <f t="shared" si="142"/>
        <v>342.11943997592851</v>
      </c>
      <c r="M882">
        <f t="shared" si="143"/>
        <v>285.31337508538434</v>
      </c>
      <c r="N882">
        <f t="shared" si="144"/>
        <v>34163.938235648806</v>
      </c>
      <c r="O882" s="39">
        <f t="shared" si="145"/>
        <v>49706.69563730614</v>
      </c>
      <c r="S882">
        <f t="shared" si="146"/>
        <v>0</v>
      </c>
      <c r="T882">
        <f t="shared" si="147"/>
        <v>1</v>
      </c>
      <c r="U882">
        <f t="shared" si="148"/>
        <v>1</v>
      </c>
      <c r="V882">
        <f t="shared" si="149"/>
        <v>0</v>
      </c>
      <c r="W882">
        <f t="shared" si="150"/>
        <v>0</v>
      </c>
      <c r="Y882" t="str">
        <f t="shared" si="151"/>
        <v/>
      </c>
    </row>
    <row r="883" spans="8:25">
      <c r="H883">
        <v>651</v>
      </c>
      <c r="I883" s="18">
        <v>25</v>
      </c>
      <c r="J883">
        <v>70</v>
      </c>
      <c r="K883">
        <f t="shared" si="141"/>
        <v>350</v>
      </c>
      <c r="L883" s="39">
        <f t="shared" si="142"/>
        <v>343.61169648638361</v>
      </c>
      <c r="M883">
        <f t="shared" si="143"/>
        <v>335.31337508538434</v>
      </c>
      <c r="N883">
        <f t="shared" si="144"/>
        <v>40326.159183682401</v>
      </c>
      <c r="O883" s="39">
        <f t="shared" si="145"/>
        <v>55868.916585339735</v>
      </c>
      <c r="S883">
        <f t="shared" si="146"/>
        <v>0</v>
      </c>
      <c r="T883">
        <f t="shared" si="147"/>
        <v>1</v>
      </c>
      <c r="U883">
        <f t="shared" si="148"/>
        <v>1</v>
      </c>
      <c r="V883">
        <f t="shared" si="149"/>
        <v>0</v>
      </c>
      <c r="W883">
        <f t="shared" si="150"/>
        <v>0</v>
      </c>
      <c r="Y883" t="str">
        <f t="shared" si="151"/>
        <v/>
      </c>
    </row>
    <row r="884" spans="8:25">
      <c r="H884">
        <v>652</v>
      </c>
      <c r="I884" s="18">
        <v>24</v>
      </c>
      <c r="J884">
        <v>76</v>
      </c>
      <c r="K884">
        <f t="shared" si="141"/>
        <v>380</v>
      </c>
      <c r="L884" s="39">
        <f t="shared" si="142"/>
        <v>343.81590000886695</v>
      </c>
      <c r="M884">
        <f t="shared" si="143"/>
        <v>320.31337508538434</v>
      </c>
      <c r="N884">
        <f t="shared" si="144"/>
        <v>38545.090968950717</v>
      </c>
      <c r="O884" s="39">
        <f t="shared" si="145"/>
        <v>54087.848370608051</v>
      </c>
      <c r="S884">
        <f t="shared" si="146"/>
        <v>0</v>
      </c>
      <c r="T884">
        <f t="shared" si="147"/>
        <v>1</v>
      </c>
      <c r="U884">
        <f t="shared" si="148"/>
        <v>1</v>
      </c>
      <c r="V884">
        <f t="shared" si="149"/>
        <v>0</v>
      </c>
      <c r="W884">
        <f t="shared" si="150"/>
        <v>0</v>
      </c>
      <c r="Y884" t="str">
        <f t="shared" si="151"/>
        <v/>
      </c>
    </row>
    <row r="885" spans="8:25">
      <c r="H885">
        <v>653</v>
      </c>
      <c r="I885" s="18">
        <v>28</v>
      </c>
      <c r="J885">
        <v>56</v>
      </c>
      <c r="K885">
        <f t="shared" si="141"/>
        <v>280</v>
      </c>
      <c r="L885" s="39">
        <f t="shared" si="142"/>
        <v>344.82120965801568</v>
      </c>
      <c r="M885">
        <f t="shared" si="143"/>
        <v>370.31337508538434</v>
      </c>
      <c r="N885">
        <f t="shared" si="144"/>
        <v>44692.167082319647</v>
      </c>
      <c r="O885" s="39">
        <f t="shared" si="145"/>
        <v>60234.924483976982</v>
      </c>
      <c r="S885">
        <f t="shared" si="146"/>
        <v>0</v>
      </c>
      <c r="T885">
        <f t="shared" si="147"/>
        <v>1</v>
      </c>
      <c r="U885">
        <f t="shared" si="148"/>
        <v>0</v>
      </c>
      <c r="V885">
        <f t="shared" si="149"/>
        <v>0</v>
      </c>
      <c r="W885">
        <f t="shared" si="150"/>
        <v>1</v>
      </c>
      <c r="Y885" t="str">
        <f t="shared" si="151"/>
        <v/>
      </c>
    </row>
    <row r="886" spans="8:25">
      <c r="H886">
        <v>654</v>
      </c>
      <c r="I886" s="18">
        <v>34</v>
      </c>
      <c r="J886">
        <v>38</v>
      </c>
      <c r="K886">
        <f t="shared" si="141"/>
        <v>190</v>
      </c>
      <c r="L886" s="39">
        <f t="shared" si="142"/>
        <v>345.00970521723104</v>
      </c>
      <c r="M886">
        <f t="shared" si="143"/>
        <v>415.31337508538434</v>
      </c>
      <c r="N886">
        <f t="shared" si="144"/>
        <v>50150.500788843616</v>
      </c>
      <c r="O886" s="39">
        <f t="shared" si="145"/>
        <v>65693.258190500957</v>
      </c>
      <c r="S886">
        <f t="shared" si="146"/>
        <v>0</v>
      </c>
      <c r="T886">
        <f t="shared" si="147"/>
        <v>1</v>
      </c>
      <c r="U886">
        <f t="shared" si="148"/>
        <v>0</v>
      </c>
      <c r="V886">
        <f t="shared" si="149"/>
        <v>0</v>
      </c>
      <c r="W886">
        <f t="shared" si="150"/>
        <v>1</v>
      </c>
      <c r="Y886" t="str">
        <f t="shared" si="151"/>
        <v/>
      </c>
    </row>
    <row r="887" spans="8:25">
      <c r="H887">
        <v>655</v>
      </c>
      <c r="I887" s="18">
        <v>36</v>
      </c>
      <c r="J887">
        <v>34</v>
      </c>
      <c r="K887">
        <f t="shared" si="141"/>
        <v>170</v>
      </c>
      <c r="L887" s="39">
        <f t="shared" si="142"/>
        <v>346.07784671945166</v>
      </c>
      <c r="M887">
        <f t="shared" si="143"/>
        <v>425.31337508538434</v>
      </c>
      <c r="N887">
        <f t="shared" si="144"/>
        <v>51517.037960686306</v>
      </c>
      <c r="O887" s="39">
        <f t="shared" si="145"/>
        <v>67059.795362343633</v>
      </c>
      <c r="S887">
        <f t="shared" si="146"/>
        <v>0</v>
      </c>
      <c r="T887">
        <f t="shared" si="147"/>
        <v>1</v>
      </c>
      <c r="U887">
        <f t="shared" si="148"/>
        <v>0</v>
      </c>
      <c r="V887">
        <f t="shared" si="149"/>
        <v>0</v>
      </c>
      <c r="W887">
        <f t="shared" si="150"/>
        <v>1</v>
      </c>
      <c r="Y887" t="str">
        <f t="shared" si="151"/>
        <v/>
      </c>
    </row>
    <row r="888" spans="8:25">
      <c r="H888">
        <v>656</v>
      </c>
      <c r="I888" s="18">
        <v>22</v>
      </c>
      <c r="J888">
        <v>92</v>
      </c>
      <c r="K888">
        <f t="shared" si="141"/>
        <v>460</v>
      </c>
      <c r="L888" s="39">
        <f t="shared" si="142"/>
        <v>349.72209419761583</v>
      </c>
      <c r="M888">
        <f t="shared" si="143"/>
        <v>280.31337508538434</v>
      </c>
      <c r="N888">
        <f t="shared" si="144"/>
        <v>34311.123198261841</v>
      </c>
      <c r="O888" s="39">
        <f t="shared" si="145"/>
        <v>49853.880599919175</v>
      </c>
      <c r="S888">
        <f t="shared" si="146"/>
        <v>0</v>
      </c>
      <c r="T888">
        <f t="shared" si="147"/>
        <v>1</v>
      </c>
      <c r="U888">
        <f t="shared" si="148"/>
        <v>1</v>
      </c>
      <c r="V888">
        <f t="shared" si="149"/>
        <v>0</v>
      </c>
      <c r="W888">
        <f t="shared" si="150"/>
        <v>0</v>
      </c>
      <c r="Y888" t="str">
        <f t="shared" si="151"/>
        <v/>
      </c>
    </row>
    <row r="889" spans="8:25">
      <c r="H889">
        <v>657</v>
      </c>
      <c r="I889" s="18">
        <v>45</v>
      </c>
      <c r="J889">
        <v>22</v>
      </c>
      <c r="K889">
        <f t="shared" si="141"/>
        <v>110</v>
      </c>
      <c r="L889" s="39">
        <f t="shared" si="142"/>
        <v>349.89488179356317</v>
      </c>
      <c r="M889">
        <f t="shared" si="143"/>
        <v>455.31337508538434</v>
      </c>
      <c r="N889">
        <f t="shared" si="144"/>
        <v>55759.1368440851</v>
      </c>
      <c r="O889" s="39">
        <f t="shared" si="145"/>
        <v>71301.894245742442</v>
      </c>
      <c r="S889">
        <f t="shared" si="146"/>
        <v>0</v>
      </c>
      <c r="T889">
        <f t="shared" si="147"/>
        <v>1</v>
      </c>
      <c r="U889">
        <f t="shared" si="148"/>
        <v>0</v>
      </c>
      <c r="V889">
        <f t="shared" si="149"/>
        <v>0</v>
      </c>
      <c r="W889">
        <f t="shared" si="150"/>
        <v>1</v>
      </c>
      <c r="Y889" t="str">
        <f t="shared" si="151"/>
        <v/>
      </c>
    </row>
    <row r="890" spans="8:25">
      <c r="H890">
        <v>658</v>
      </c>
      <c r="I890" s="18">
        <v>26</v>
      </c>
      <c r="J890">
        <v>66</v>
      </c>
      <c r="K890">
        <f t="shared" si="141"/>
        <v>330</v>
      </c>
      <c r="L890" s="39">
        <f t="shared" si="142"/>
        <v>350.41324458140559</v>
      </c>
      <c r="M890">
        <f t="shared" si="143"/>
        <v>345.31337508538434</v>
      </c>
      <c r="N890">
        <f t="shared" si="144"/>
        <v>42350.833056358904</v>
      </c>
      <c r="O890" s="39">
        <f t="shared" si="145"/>
        <v>57893.590458016239</v>
      </c>
      <c r="S890">
        <f t="shared" si="146"/>
        <v>0</v>
      </c>
      <c r="T890">
        <f t="shared" si="147"/>
        <v>1</v>
      </c>
      <c r="U890">
        <f t="shared" si="148"/>
        <v>0</v>
      </c>
      <c r="V890">
        <f t="shared" si="149"/>
        <v>0</v>
      </c>
      <c r="W890">
        <f t="shared" si="150"/>
        <v>0</v>
      </c>
      <c r="Y890" t="str">
        <f t="shared" si="151"/>
        <v/>
      </c>
    </row>
    <row r="891" spans="8:25">
      <c r="H891">
        <v>659</v>
      </c>
      <c r="I891" s="18">
        <v>40</v>
      </c>
      <c r="J891">
        <v>28</v>
      </c>
      <c r="K891">
        <f t="shared" si="141"/>
        <v>140</v>
      </c>
      <c r="L891" s="39">
        <f t="shared" si="142"/>
        <v>351.85837720205683</v>
      </c>
      <c r="M891">
        <f t="shared" si="143"/>
        <v>440.31337508538434</v>
      </c>
      <c r="N891">
        <f t="shared" si="144"/>
        <v>54224.782366266365</v>
      </c>
      <c r="O891" s="39">
        <f t="shared" si="145"/>
        <v>69767.539767923707</v>
      </c>
      <c r="S891">
        <f t="shared" si="146"/>
        <v>0</v>
      </c>
      <c r="T891">
        <f t="shared" si="147"/>
        <v>1</v>
      </c>
      <c r="U891">
        <f t="shared" si="148"/>
        <v>0</v>
      </c>
      <c r="V891">
        <f t="shared" si="149"/>
        <v>0</v>
      </c>
      <c r="W891">
        <f t="shared" si="150"/>
        <v>1</v>
      </c>
      <c r="Y891" t="str">
        <f t="shared" si="151"/>
        <v/>
      </c>
    </row>
    <row r="892" spans="8:25">
      <c r="H892">
        <v>660</v>
      </c>
      <c r="I892" s="18">
        <v>24</v>
      </c>
      <c r="J892">
        <v>78</v>
      </c>
      <c r="K892">
        <f t="shared" si="141"/>
        <v>390</v>
      </c>
      <c r="L892" s="39">
        <f t="shared" si="142"/>
        <v>352.86368685120556</v>
      </c>
      <c r="M892">
        <f t="shared" si="143"/>
        <v>315.31337508538434</v>
      </c>
      <c r="N892">
        <f t="shared" si="144"/>
        <v>38941.924016144025</v>
      </c>
      <c r="O892" s="39">
        <f t="shared" si="145"/>
        <v>54484.681417801359</v>
      </c>
      <c r="S892">
        <f t="shared" si="146"/>
        <v>0</v>
      </c>
      <c r="T892">
        <f t="shared" si="147"/>
        <v>1</v>
      </c>
      <c r="U892">
        <f t="shared" si="148"/>
        <v>1</v>
      </c>
      <c r="V892">
        <f t="shared" si="149"/>
        <v>0</v>
      </c>
      <c r="W892">
        <f t="shared" si="150"/>
        <v>0</v>
      </c>
      <c r="Y892" t="str">
        <f t="shared" si="151"/>
        <v/>
      </c>
    </row>
    <row r="893" spans="8:25">
      <c r="H893">
        <v>661</v>
      </c>
      <c r="I893" s="18">
        <v>50</v>
      </c>
      <c r="J893">
        <v>18</v>
      </c>
      <c r="K893">
        <f t="shared" si="141"/>
        <v>90</v>
      </c>
      <c r="L893" s="39">
        <f t="shared" si="142"/>
        <v>353.42917352885172</v>
      </c>
      <c r="M893">
        <f t="shared" si="143"/>
        <v>465.31337508538434</v>
      </c>
      <c r="N893">
        <f t="shared" si="144"/>
        <v>57559.362555921783</v>
      </c>
      <c r="O893" s="39">
        <f t="shared" si="145"/>
        <v>73102.119957579125</v>
      </c>
      <c r="S893">
        <f t="shared" si="146"/>
        <v>0</v>
      </c>
      <c r="T893">
        <f t="shared" si="147"/>
        <v>1</v>
      </c>
      <c r="U893">
        <f t="shared" si="148"/>
        <v>0</v>
      </c>
      <c r="V893">
        <f t="shared" si="149"/>
        <v>1</v>
      </c>
      <c r="W893">
        <f t="shared" si="150"/>
        <v>1</v>
      </c>
      <c r="Y893" t="str">
        <f t="shared" si="151"/>
        <v/>
      </c>
    </row>
    <row r="894" spans="8:25">
      <c r="H894">
        <v>662</v>
      </c>
      <c r="I894" s="18">
        <v>30</v>
      </c>
      <c r="J894">
        <v>50</v>
      </c>
      <c r="K894">
        <f t="shared" si="141"/>
        <v>250</v>
      </c>
      <c r="L894" s="39">
        <f t="shared" si="142"/>
        <v>353.42917352885172</v>
      </c>
      <c r="M894">
        <f t="shared" si="143"/>
        <v>385.31337508538434</v>
      </c>
      <c r="N894">
        <f t="shared" si="144"/>
        <v>47663.345697113939</v>
      </c>
      <c r="O894" s="39">
        <f t="shared" si="145"/>
        <v>63206.103098771273</v>
      </c>
      <c r="S894">
        <f t="shared" si="146"/>
        <v>0</v>
      </c>
      <c r="T894">
        <f t="shared" si="147"/>
        <v>1</v>
      </c>
      <c r="U894">
        <f t="shared" si="148"/>
        <v>0</v>
      </c>
      <c r="V894">
        <f t="shared" si="149"/>
        <v>0</v>
      </c>
      <c r="W894">
        <f t="shared" si="150"/>
        <v>1</v>
      </c>
      <c r="Y894" t="str">
        <f t="shared" si="151"/>
        <v/>
      </c>
    </row>
    <row r="895" spans="8:25">
      <c r="H895">
        <v>663</v>
      </c>
      <c r="I895" s="18">
        <v>25</v>
      </c>
      <c r="J895">
        <v>72</v>
      </c>
      <c r="K895">
        <f t="shared" si="141"/>
        <v>360</v>
      </c>
      <c r="L895" s="39">
        <f t="shared" si="142"/>
        <v>353.42917352885172</v>
      </c>
      <c r="M895">
        <f t="shared" si="143"/>
        <v>330.31337508538434</v>
      </c>
      <c r="N895">
        <f t="shared" si="144"/>
        <v>40859.834106683549</v>
      </c>
      <c r="O895" s="39">
        <f t="shared" si="145"/>
        <v>56402.591508340884</v>
      </c>
      <c r="S895">
        <f t="shared" si="146"/>
        <v>0</v>
      </c>
      <c r="T895">
        <f t="shared" si="147"/>
        <v>1</v>
      </c>
      <c r="U895">
        <f t="shared" si="148"/>
        <v>1</v>
      </c>
      <c r="V895">
        <f t="shared" si="149"/>
        <v>0</v>
      </c>
      <c r="W895">
        <f t="shared" si="150"/>
        <v>0</v>
      </c>
      <c r="Y895" t="str">
        <f t="shared" si="151"/>
        <v/>
      </c>
    </row>
    <row r="896" spans="8:25">
      <c r="H896">
        <v>664</v>
      </c>
      <c r="I896" s="18">
        <v>32</v>
      </c>
      <c r="J896">
        <v>44</v>
      </c>
      <c r="K896">
        <f t="shared" si="141"/>
        <v>220</v>
      </c>
      <c r="L896" s="39">
        <f t="shared" si="142"/>
        <v>353.86899650035434</v>
      </c>
      <c r="M896">
        <f t="shared" si="143"/>
        <v>400.31337508538434</v>
      </c>
      <c r="N896">
        <f t="shared" si="144"/>
        <v>49580.472314497216</v>
      </c>
      <c r="O896" s="39">
        <f t="shared" si="145"/>
        <v>65123.22971615455</v>
      </c>
      <c r="S896">
        <f t="shared" si="146"/>
        <v>0</v>
      </c>
      <c r="T896">
        <f t="shared" si="147"/>
        <v>1</v>
      </c>
      <c r="U896">
        <f t="shared" si="148"/>
        <v>0</v>
      </c>
      <c r="V896">
        <f t="shared" si="149"/>
        <v>0</v>
      </c>
      <c r="W896">
        <f t="shared" si="150"/>
        <v>1</v>
      </c>
      <c r="Y896" t="str">
        <f t="shared" si="151"/>
        <v/>
      </c>
    </row>
    <row r="897" spans="8:25">
      <c r="H897">
        <v>665</v>
      </c>
      <c r="I897" s="18">
        <v>28</v>
      </c>
      <c r="J897">
        <v>58</v>
      </c>
      <c r="K897">
        <f t="shared" si="141"/>
        <v>290</v>
      </c>
      <c r="L897" s="39">
        <f t="shared" si="142"/>
        <v>357.13625286008767</v>
      </c>
      <c r="M897">
        <f t="shared" si="143"/>
        <v>365.31337508538434</v>
      </c>
      <c r="N897">
        <f t="shared" si="144"/>
        <v>45663.327464183058</v>
      </c>
      <c r="O897" s="39">
        <f t="shared" si="145"/>
        <v>61206.084865840392</v>
      </c>
      <c r="S897">
        <f t="shared" si="146"/>
        <v>0</v>
      </c>
      <c r="T897">
        <f t="shared" si="147"/>
        <v>1</v>
      </c>
      <c r="U897">
        <f t="shared" si="148"/>
        <v>0</v>
      </c>
      <c r="V897">
        <f t="shared" si="149"/>
        <v>0</v>
      </c>
      <c r="W897">
        <f t="shared" si="150"/>
        <v>1</v>
      </c>
      <c r="Y897" t="str">
        <f t="shared" si="151"/>
        <v/>
      </c>
    </row>
    <row r="898" spans="8:25">
      <c r="H898">
        <v>666</v>
      </c>
      <c r="I898" s="18">
        <v>22</v>
      </c>
      <c r="J898">
        <v>94</v>
      </c>
      <c r="K898">
        <f t="shared" si="141"/>
        <v>470</v>
      </c>
      <c r="L898" s="39">
        <f t="shared" si="142"/>
        <v>357.32474841930315</v>
      </c>
      <c r="M898">
        <f t="shared" si="143"/>
        <v>275.31337508538434</v>
      </c>
      <c r="N898">
        <f t="shared" si="144"/>
        <v>34431.698871098968</v>
      </c>
      <c r="O898" s="39">
        <f t="shared" si="145"/>
        <v>49974.456272756302</v>
      </c>
      <c r="S898">
        <f t="shared" si="146"/>
        <v>0</v>
      </c>
      <c r="T898">
        <f t="shared" si="147"/>
        <v>1</v>
      </c>
      <c r="U898">
        <f t="shared" si="148"/>
        <v>1</v>
      </c>
      <c r="V898">
        <f t="shared" si="149"/>
        <v>0</v>
      </c>
      <c r="W898">
        <f t="shared" si="150"/>
        <v>0</v>
      </c>
      <c r="Y898" t="str">
        <f t="shared" si="151"/>
        <v/>
      </c>
    </row>
    <row r="899" spans="8:25">
      <c r="H899">
        <v>667</v>
      </c>
      <c r="I899" s="18">
        <v>26</v>
      </c>
      <c r="J899">
        <v>68</v>
      </c>
      <c r="K899">
        <f t="shared" si="141"/>
        <v>340</v>
      </c>
      <c r="L899" s="39">
        <f t="shared" si="142"/>
        <v>361.03182775053909</v>
      </c>
      <c r="M899">
        <f t="shared" si="143"/>
        <v>340.31337508538434</v>
      </c>
      <c r="N899">
        <f t="shared" si="144"/>
        <v>43002.385935260878</v>
      </c>
      <c r="O899" s="39">
        <f t="shared" si="145"/>
        <v>58545.143336918212</v>
      </c>
      <c r="S899">
        <f t="shared" si="146"/>
        <v>0</v>
      </c>
      <c r="T899">
        <f t="shared" si="147"/>
        <v>1</v>
      </c>
      <c r="U899">
        <f t="shared" si="148"/>
        <v>0</v>
      </c>
      <c r="V899">
        <f t="shared" si="149"/>
        <v>0</v>
      </c>
      <c r="W899">
        <f t="shared" si="150"/>
        <v>0</v>
      </c>
      <c r="Y899" t="str">
        <f t="shared" si="151"/>
        <v/>
      </c>
    </row>
    <row r="900" spans="8:25">
      <c r="H900">
        <v>668</v>
      </c>
      <c r="I900" s="18">
        <v>24</v>
      </c>
      <c r="J900">
        <v>80</v>
      </c>
      <c r="K900">
        <f t="shared" si="141"/>
        <v>400</v>
      </c>
      <c r="L900" s="39">
        <f t="shared" si="142"/>
        <v>361.91147369354417</v>
      </c>
      <c r="M900">
        <f t="shared" si="143"/>
        <v>310.31337508538434</v>
      </c>
      <c r="N900">
        <f t="shared" si="144"/>
        <v>39307.089809389145</v>
      </c>
      <c r="O900" s="39">
        <f t="shared" si="145"/>
        <v>54849.847211046479</v>
      </c>
      <c r="S900">
        <f t="shared" si="146"/>
        <v>0</v>
      </c>
      <c r="T900">
        <f t="shared" si="147"/>
        <v>1</v>
      </c>
      <c r="U900">
        <f t="shared" si="148"/>
        <v>1</v>
      </c>
      <c r="V900">
        <f t="shared" si="149"/>
        <v>0</v>
      </c>
      <c r="W900">
        <f t="shared" si="150"/>
        <v>0</v>
      </c>
      <c r="Y900" t="str">
        <f t="shared" si="151"/>
        <v/>
      </c>
    </row>
    <row r="901" spans="8:25">
      <c r="H901">
        <v>669</v>
      </c>
      <c r="I901" s="18">
        <v>38</v>
      </c>
      <c r="J901">
        <v>32</v>
      </c>
      <c r="K901">
        <f t="shared" si="141"/>
        <v>160</v>
      </c>
      <c r="L901" s="39">
        <f t="shared" si="142"/>
        <v>362.9167833426929</v>
      </c>
      <c r="M901">
        <f t="shared" si="143"/>
        <v>430.31337508538434</v>
      </c>
      <c r="N901">
        <f t="shared" si="144"/>
        <v>54658.781070363882</v>
      </c>
      <c r="O901" s="39">
        <f t="shared" si="145"/>
        <v>70201.538472021217</v>
      </c>
      <c r="S901">
        <f t="shared" si="146"/>
        <v>0</v>
      </c>
      <c r="T901">
        <f t="shared" si="147"/>
        <v>1</v>
      </c>
      <c r="U901">
        <f t="shared" si="148"/>
        <v>0</v>
      </c>
      <c r="V901">
        <f t="shared" si="149"/>
        <v>0</v>
      </c>
      <c r="W901">
        <f t="shared" si="150"/>
        <v>1</v>
      </c>
      <c r="Y901" t="str">
        <f t="shared" si="151"/>
        <v/>
      </c>
    </row>
    <row r="902" spans="8:25">
      <c r="H902">
        <v>670</v>
      </c>
      <c r="I902" s="18">
        <v>34</v>
      </c>
      <c r="J902">
        <v>40</v>
      </c>
      <c r="K902">
        <f t="shared" si="141"/>
        <v>200</v>
      </c>
      <c r="L902" s="39">
        <f t="shared" si="142"/>
        <v>363.16811075498003</v>
      </c>
      <c r="M902">
        <f t="shared" si="143"/>
        <v>410.31337508538434</v>
      </c>
      <c r="N902">
        <f t="shared" si="144"/>
        <v>52154.45663654049</v>
      </c>
      <c r="O902" s="39">
        <f t="shared" si="145"/>
        <v>67697.214038197824</v>
      </c>
      <c r="S902">
        <f t="shared" si="146"/>
        <v>0</v>
      </c>
      <c r="T902">
        <f t="shared" si="147"/>
        <v>1</v>
      </c>
      <c r="U902">
        <f t="shared" si="148"/>
        <v>0</v>
      </c>
      <c r="V902">
        <f t="shared" si="149"/>
        <v>0</v>
      </c>
      <c r="W902">
        <f t="shared" si="150"/>
        <v>1</v>
      </c>
      <c r="Y902" t="str">
        <f t="shared" si="151"/>
        <v/>
      </c>
    </row>
    <row r="903" spans="8:25">
      <c r="H903">
        <v>671</v>
      </c>
      <c r="I903" s="18">
        <v>25</v>
      </c>
      <c r="J903">
        <v>74</v>
      </c>
      <c r="K903">
        <f t="shared" si="141"/>
        <v>370</v>
      </c>
      <c r="L903" s="39">
        <f t="shared" si="142"/>
        <v>363.24665057131983</v>
      </c>
      <c r="M903">
        <f t="shared" si="143"/>
        <v>325.31337508538434</v>
      </c>
      <c r="N903">
        <f t="shared" si="144"/>
        <v>41359.147860036064</v>
      </c>
      <c r="O903" s="39">
        <f t="shared" si="145"/>
        <v>56901.905261693399</v>
      </c>
      <c r="S903">
        <f t="shared" si="146"/>
        <v>0</v>
      </c>
      <c r="T903">
        <f t="shared" si="147"/>
        <v>1</v>
      </c>
      <c r="U903">
        <f t="shared" si="148"/>
        <v>1</v>
      </c>
      <c r="V903">
        <f t="shared" si="149"/>
        <v>0</v>
      </c>
      <c r="W903">
        <f t="shared" si="150"/>
        <v>0</v>
      </c>
      <c r="Y903" t="str">
        <f t="shared" si="151"/>
        <v/>
      </c>
    </row>
    <row r="904" spans="8:25">
      <c r="H904">
        <v>672</v>
      </c>
      <c r="I904" s="18">
        <v>22</v>
      </c>
      <c r="J904">
        <v>96</v>
      </c>
      <c r="K904">
        <f t="shared" si="141"/>
        <v>480</v>
      </c>
      <c r="L904" s="39">
        <f t="shared" si="142"/>
        <v>364.92740264099041</v>
      </c>
      <c r="M904">
        <f t="shared" si="143"/>
        <v>270.31337508538434</v>
      </c>
      <c r="N904">
        <f t="shared" si="144"/>
        <v>34525.665254160187</v>
      </c>
      <c r="O904" s="39">
        <f t="shared" si="145"/>
        <v>50068.422655817521</v>
      </c>
      <c r="S904">
        <f t="shared" si="146"/>
        <v>0</v>
      </c>
      <c r="T904">
        <f t="shared" si="147"/>
        <v>1</v>
      </c>
      <c r="U904">
        <f t="shared" si="148"/>
        <v>1</v>
      </c>
      <c r="V904">
        <f t="shared" si="149"/>
        <v>0</v>
      </c>
      <c r="W904">
        <f t="shared" si="150"/>
        <v>0</v>
      </c>
      <c r="Y904" t="str">
        <f t="shared" si="151"/>
        <v/>
      </c>
    </row>
    <row r="905" spans="8:25">
      <c r="H905">
        <v>673</v>
      </c>
      <c r="I905" s="18">
        <v>36</v>
      </c>
      <c r="J905">
        <v>36</v>
      </c>
      <c r="K905">
        <f t="shared" si="141"/>
        <v>180</v>
      </c>
      <c r="L905" s="39">
        <f t="shared" si="142"/>
        <v>366.43536711471347</v>
      </c>
      <c r="M905">
        <f t="shared" si="143"/>
        <v>420.31337508538434</v>
      </c>
      <c r="N905">
        <f t="shared" si="144"/>
        <v>53906.19006592298</v>
      </c>
      <c r="O905" s="39">
        <f t="shared" si="145"/>
        <v>69448.947467580321</v>
      </c>
      <c r="S905">
        <f t="shared" si="146"/>
        <v>0</v>
      </c>
      <c r="T905">
        <f t="shared" si="147"/>
        <v>1</v>
      </c>
      <c r="U905">
        <f t="shared" si="148"/>
        <v>0</v>
      </c>
      <c r="V905">
        <f t="shared" si="149"/>
        <v>0</v>
      </c>
      <c r="W905">
        <f t="shared" si="150"/>
        <v>1</v>
      </c>
      <c r="Y905" t="str">
        <f t="shared" si="151"/>
        <v/>
      </c>
    </row>
    <row r="906" spans="8:25">
      <c r="H906">
        <v>674</v>
      </c>
      <c r="I906" s="18">
        <v>30</v>
      </c>
      <c r="J906">
        <v>52</v>
      </c>
      <c r="K906">
        <f t="shared" si="141"/>
        <v>260</v>
      </c>
      <c r="L906" s="39">
        <f t="shared" si="142"/>
        <v>367.5663404700058</v>
      </c>
      <c r="M906">
        <f t="shared" si="143"/>
        <v>380.31337508538434</v>
      </c>
      <c r="N906">
        <f t="shared" si="144"/>
        <v>48926.638429175997</v>
      </c>
      <c r="O906" s="39">
        <f t="shared" si="145"/>
        <v>64469.395830833331</v>
      </c>
      <c r="S906">
        <f t="shared" si="146"/>
        <v>0</v>
      </c>
      <c r="T906">
        <f t="shared" si="147"/>
        <v>1</v>
      </c>
      <c r="U906">
        <f t="shared" si="148"/>
        <v>0</v>
      </c>
      <c r="V906">
        <f t="shared" si="149"/>
        <v>0</v>
      </c>
      <c r="W906">
        <f t="shared" si="150"/>
        <v>1</v>
      </c>
      <c r="Y906" t="str">
        <f t="shared" si="151"/>
        <v/>
      </c>
    </row>
    <row r="907" spans="8:25">
      <c r="H907">
        <v>675</v>
      </c>
      <c r="I907" s="18">
        <v>28</v>
      </c>
      <c r="J907">
        <v>60</v>
      </c>
      <c r="K907">
        <f t="shared" si="141"/>
        <v>300</v>
      </c>
      <c r="L907" s="39">
        <f t="shared" si="142"/>
        <v>369.4512960621596</v>
      </c>
      <c r="M907">
        <f t="shared" si="143"/>
        <v>360.31337508538434</v>
      </c>
      <c r="N907">
        <f t="shared" si="144"/>
        <v>46591.385194839204</v>
      </c>
      <c r="O907" s="39">
        <f t="shared" si="145"/>
        <v>62134.142596496538</v>
      </c>
      <c r="S907">
        <f t="shared" si="146"/>
        <v>0</v>
      </c>
      <c r="T907">
        <f t="shared" si="147"/>
        <v>1</v>
      </c>
      <c r="U907">
        <f t="shared" si="148"/>
        <v>0</v>
      </c>
      <c r="V907">
        <f t="shared" si="149"/>
        <v>0</v>
      </c>
      <c r="W907">
        <f t="shared" si="150"/>
        <v>1</v>
      </c>
      <c r="Y907" t="str">
        <f t="shared" si="151"/>
        <v/>
      </c>
    </row>
    <row r="908" spans="8:25">
      <c r="H908">
        <v>676</v>
      </c>
      <c r="I908" s="18">
        <v>32</v>
      </c>
      <c r="J908">
        <v>46</v>
      </c>
      <c r="K908">
        <f t="shared" si="141"/>
        <v>230</v>
      </c>
      <c r="L908" s="39">
        <f t="shared" si="142"/>
        <v>369.95395088673411</v>
      </c>
      <c r="M908">
        <f t="shared" si="143"/>
        <v>395.31337508538434</v>
      </c>
      <c r="N908">
        <f t="shared" si="144"/>
        <v>51186.710732922584</v>
      </c>
      <c r="O908" s="39">
        <f t="shared" si="145"/>
        <v>66729.468134579918</v>
      </c>
      <c r="S908">
        <f t="shared" si="146"/>
        <v>0</v>
      </c>
      <c r="T908">
        <f t="shared" si="147"/>
        <v>1</v>
      </c>
      <c r="U908">
        <f t="shared" si="148"/>
        <v>0</v>
      </c>
      <c r="V908">
        <f t="shared" si="149"/>
        <v>0</v>
      </c>
      <c r="W908">
        <f t="shared" si="150"/>
        <v>1</v>
      </c>
      <c r="Y908" t="str">
        <f t="shared" si="151"/>
        <v/>
      </c>
    </row>
    <row r="909" spans="8:25">
      <c r="H909">
        <v>677</v>
      </c>
      <c r="I909" s="18">
        <v>24</v>
      </c>
      <c r="J909">
        <v>82</v>
      </c>
      <c r="K909">
        <f t="shared" si="141"/>
        <v>410</v>
      </c>
      <c r="L909" s="39">
        <f t="shared" si="142"/>
        <v>370.95926053588272</v>
      </c>
      <c r="M909">
        <f t="shared" si="143"/>
        <v>305.31337508538434</v>
      </c>
      <c r="N909">
        <f t="shared" si="144"/>
        <v>39640.588348686069</v>
      </c>
      <c r="O909" s="39">
        <f t="shared" si="145"/>
        <v>55183.345750343404</v>
      </c>
      <c r="S909">
        <f t="shared" si="146"/>
        <v>0</v>
      </c>
      <c r="T909">
        <f t="shared" si="147"/>
        <v>1</v>
      </c>
      <c r="U909">
        <f t="shared" si="148"/>
        <v>1</v>
      </c>
      <c r="V909">
        <f t="shared" si="149"/>
        <v>0</v>
      </c>
      <c r="W909">
        <f t="shared" si="150"/>
        <v>0</v>
      </c>
      <c r="Y909" t="str">
        <f t="shared" si="151"/>
        <v/>
      </c>
    </row>
    <row r="910" spans="8:25">
      <c r="H910">
        <v>678</v>
      </c>
      <c r="I910" s="18">
        <v>26</v>
      </c>
      <c r="J910">
        <v>70</v>
      </c>
      <c r="K910">
        <f t="shared" si="141"/>
        <v>350</v>
      </c>
      <c r="L910" s="39">
        <f t="shared" si="142"/>
        <v>371.65041091967254</v>
      </c>
      <c r="M910">
        <f t="shared" si="143"/>
        <v>335.31337508538434</v>
      </c>
      <c r="N910">
        <f t="shared" si="144"/>
        <v>43616.773773070883</v>
      </c>
      <c r="O910" s="39">
        <f t="shared" si="145"/>
        <v>59159.531174728218</v>
      </c>
      <c r="S910">
        <f t="shared" si="146"/>
        <v>0</v>
      </c>
      <c r="T910">
        <f t="shared" si="147"/>
        <v>1</v>
      </c>
      <c r="U910">
        <f t="shared" si="148"/>
        <v>0</v>
      </c>
      <c r="V910">
        <f t="shared" si="149"/>
        <v>0</v>
      </c>
      <c r="W910">
        <f t="shared" si="150"/>
        <v>0</v>
      </c>
      <c r="Y910" t="str">
        <f t="shared" si="151"/>
        <v/>
      </c>
    </row>
    <row r="911" spans="8:25">
      <c r="H911">
        <v>679</v>
      </c>
      <c r="I911" s="18">
        <v>22</v>
      </c>
      <c r="J911">
        <v>98</v>
      </c>
      <c r="K911">
        <f t="shared" si="141"/>
        <v>490</v>
      </c>
      <c r="L911" s="39">
        <f t="shared" si="142"/>
        <v>372.53005686267772</v>
      </c>
      <c r="M911">
        <f t="shared" si="143"/>
        <v>265.31337508538434</v>
      </c>
      <c r="N911">
        <f t="shared" si="144"/>
        <v>34593.022347445512</v>
      </c>
      <c r="O911" s="39">
        <f t="shared" si="145"/>
        <v>50135.779749102847</v>
      </c>
      <c r="S911">
        <f t="shared" si="146"/>
        <v>0</v>
      </c>
      <c r="T911">
        <f t="shared" si="147"/>
        <v>1</v>
      </c>
      <c r="U911">
        <f t="shared" si="148"/>
        <v>1</v>
      </c>
      <c r="V911">
        <f t="shared" si="149"/>
        <v>0</v>
      </c>
      <c r="W911">
        <f t="shared" si="150"/>
        <v>0</v>
      </c>
      <c r="Y911" t="str">
        <f t="shared" si="151"/>
        <v/>
      </c>
    </row>
    <row r="912" spans="8:25">
      <c r="H912">
        <v>680</v>
      </c>
      <c r="I912" s="18">
        <v>25</v>
      </c>
      <c r="J912">
        <v>76</v>
      </c>
      <c r="K912">
        <f t="shared" si="141"/>
        <v>380</v>
      </c>
      <c r="L912" s="39">
        <f t="shared" si="142"/>
        <v>373.06412761378789</v>
      </c>
      <c r="M912">
        <f t="shared" si="143"/>
        <v>320.31337508538434</v>
      </c>
      <c r="N912">
        <f t="shared" si="144"/>
        <v>41824.100443739924</v>
      </c>
      <c r="O912" s="39">
        <f t="shared" si="145"/>
        <v>57366.857845397259</v>
      </c>
      <c r="S912">
        <f t="shared" si="146"/>
        <v>0</v>
      </c>
      <c r="T912">
        <f t="shared" si="147"/>
        <v>1</v>
      </c>
      <c r="U912">
        <f t="shared" si="148"/>
        <v>1</v>
      </c>
      <c r="V912">
        <f t="shared" si="149"/>
        <v>0</v>
      </c>
      <c r="W912">
        <f t="shared" si="150"/>
        <v>0</v>
      </c>
      <c r="Y912" t="str">
        <f t="shared" si="151"/>
        <v/>
      </c>
    </row>
    <row r="913" spans="8:25">
      <c r="H913">
        <v>681</v>
      </c>
      <c r="I913" s="18">
        <v>40</v>
      </c>
      <c r="J913">
        <v>30</v>
      </c>
      <c r="K913">
        <f t="shared" si="141"/>
        <v>150</v>
      </c>
      <c r="L913" s="39">
        <f t="shared" si="142"/>
        <v>376.99111843077515</v>
      </c>
      <c r="M913">
        <f t="shared" si="143"/>
        <v>435.31337508538434</v>
      </c>
      <c r="N913">
        <f t="shared" si="144"/>
        <v>57438.246649460103</v>
      </c>
      <c r="O913" s="39">
        <f t="shared" si="145"/>
        <v>72981.00405111743</v>
      </c>
      <c r="S913">
        <f t="shared" si="146"/>
        <v>0</v>
      </c>
      <c r="T913">
        <f t="shared" si="147"/>
        <v>1</v>
      </c>
      <c r="U913">
        <f t="shared" si="148"/>
        <v>0</v>
      </c>
      <c r="V913">
        <f t="shared" si="149"/>
        <v>0</v>
      </c>
      <c r="W913">
        <f t="shared" si="150"/>
        <v>1</v>
      </c>
      <c r="Y913" t="str">
        <f t="shared" si="151"/>
        <v/>
      </c>
    </row>
    <row r="914" spans="8:25">
      <c r="H914">
        <v>682</v>
      </c>
      <c r="I914" s="18">
        <v>24</v>
      </c>
      <c r="J914">
        <v>84</v>
      </c>
      <c r="K914">
        <f t="shared" si="141"/>
        <v>420</v>
      </c>
      <c r="L914" s="39">
        <f t="shared" si="142"/>
        <v>380.00704737822139</v>
      </c>
      <c r="M914">
        <f t="shared" si="143"/>
        <v>300.31337508538434</v>
      </c>
      <c r="N914">
        <f t="shared" si="144"/>
        <v>39942.419634034828</v>
      </c>
      <c r="O914" s="39">
        <f t="shared" si="145"/>
        <v>55485.177035692162</v>
      </c>
      <c r="S914">
        <f t="shared" si="146"/>
        <v>0</v>
      </c>
      <c r="T914">
        <f t="shared" si="147"/>
        <v>1</v>
      </c>
      <c r="U914">
        <f t="shared" si="148"/>
        <v>1</v>
      </c>
      <c r="V914">
        <f t="shared" si="149"/>
        <v>0</v>
      </c>
      <c r="W914">
        <f t="shared" si="150"/>
        <v>0</v>
      </c>
      <c r="Y914" t="str">
        <f t="shared" si="151"/>
        <v/>
      </c>
    </row>
    <row r="915" spans="8:25">
      <c r="H915">
        <v>683</v>
      </c>
      <c r="I915" s="18">
        <v>22</v>
      </c>
      <c r="J915">
        <v>100</v>
      </c>
      <c r="K915">
        <f t="shared" si="141"/>
        <v>500</v>
      </c>
      <c r="L915" s="39">
        <f t="shared" si="142"/>
        <v>380.13271108436504</v>
      </c>
      <c r="M915">
        <f t="shared" si="143"/>
        <v>260.31337508538434</v>
      </c>
      <c r="N915">
        <f t="shared" si="144"/>
        <v>34633.770150954922</v>
      </c>
      <c r="O915" s="39">
        <f t="shared" si="145"/>
        <v>50176.527552612257</v>
      </c>
      <c r="S915">
        <f t="shared" si="146"/>
        <v>0</v>
      </c>
      <c r="T915">
        <f t="shared" si="147"/>
        <v>1</v>
      </c>
      <c r="U915">
        <f t="shared" si="148"/>
        <v>1</v>
      </c>
      <c r="V915">
        <f t="shared" si="149"/>
        <v>0</v>
      </c>
      <c r="W915">
        <f t="shared" si="150"/>
        <v>0</v>
      </c>
      <c r="Y915" t="str">
        <f t="shared" si="151"/>
        <v/>
      </c>
    </row>
    <row r="916" spans="8:25">
      <c r="H916">
        <v>684</v>
      </c>
      <c r="I916" s="18">
        <v>34</v>
      </c>
      <c r="J916">
        <v>42</v>
      </c>
      <c r="K916">
        <f t="shared" si="141"/>
        <v>210</v>
      </c>
      <c r="L916" s="39">
        <f t="shared" si="142"/>
        <v>381.32651629272908</v>
      </c>
      <c r="M916">
        <f t="shared" si="143"/>
        <v>405.31337508538434</v>
      </c>
      <c r="N916">
        <f t="shared" si="144"/>
        <v>54094.858064855231</v>
      </c>
      <c r="O916" s="39">
        <f t="shared" si="145"/>
        <v>69637.615466512565</v>
      </c>
      <c r="S916">
        <f t="shared" si="146"/>
        <v>0</v>
      </c>
      <c r="T916">
        <f t="shared" si="147"/>
        <v>1</v>
      </c>
      <c r="U916">
        <f t="shared" si="148"/>
        <v>0</v>
      </c>
      <c r="V916">
        <f t="shared" si="149"/>
        <v>0</v>
      </c>
      <c r="W916">
        <f t="shared" si="150"/>
        <v>1</v>
      </c>
      <c r="Y916" t="str">
        <f t="shared" si="151"/>
        <v/>
      </c>
    </row>
    <row r="917" spans="8:25">
      <c r="H917">
        <v>685</v>
      </c>
      <c r="I917" s="18">
        <v>45</v>
      </c>
      <c r="J917">
        <v>24</v>
      </c>
      <c r="K917">
        <f t="shared" si="141"/>
        <v>120</v>
      </c>
      <c r="L917" s="39">
        <f t="shared" si="142"/>
        <v>381.70350741115988</v>
      </c>
      <c r="M917">
        <f t="shared" si="143"/>
        <v>450.31337508538434</v>
      </c>
      <c r="N917">
        <f t="shared" si="144"/>
        <v>60160.168146486947</v>
      </c>
      <c r="O917" s="39">
        <f t="shared" si="145"/>
        <v>75702.925548144281</v>
      </c>
      <c r="S917">
        <f t="shared" si="146"/>
        <v>0</v>
      </c>
      <c r="T917">
        <f t="shared" si="147"/>
        <v>1</v>
      </c>
      <c r="U917">
        <f t="shared" si="148"/>
        <v>0</v>
      </c>
      <c r="V917">
        <f t="shared" si="149"/>
        <v>0</v>
      </c>
      <c r="W917">
        <f t="shared" si="150"/>
        <v>1</v>
      </c>
      <c r="Y917" t="str">
        <f t="shared" si="151"/>
        <v/>
      </c>
    </row>
    <row r="918" spans="8:25">
      <c r="H918">
        <v>686</v>
      </c>
      <c r="I918" s="18">
        <v>30</v>
      </c>
      <c r="J918">
        <v>54</v>
      </c>
      <c r="K918">
        <f t="shared" si="141"/>
        <v>270</v>
      </c>
      <c r="L918" s="39">
        <f t="shared" si="142"/>
        <v>381.70350741115988</v>
      </c>
      <c r="M918">
        <f t="shared" si="143"/>
        <v>375.31337508538434</v>
      </c>
      <c r="N918">
        <f t="shared" si="144"/>
        <v>50140.451076944002</v>
      </c>
      <c r="O918" s="39">
        <f t="shared" si="145"/>
        <v>65683.208478601329</v>
      </c>
      <c r="S918">
        <f t="shared" si="146"/>
        <v>0</v>
      </c>
      <c r="T918">
        <f t="shared" si="147"/>
        <v>1</v>
      </c>
      <c r="U918">
        <f t="shared" si="148"/>
        <v>0</v>
      </c>
      <c r="V918">
        <f t="shared" si="149"/>
        <v>0</v>
      </c>
      <c r="W918">
        <f t="shared" si="150"/>
        <v>1</v>
      </c>
      <c r="Y918" t="str">
        <f t="shared" si="151"/>
        <v/>
      </c>
    </row>
    <row r="919" spans="8:25">
      <c r="H919">
        <v>687</v>
      </c>
      <c r="I919" s="18">
        <v>28</v>
      </c>
      <c r="J919">
        <v>62</v>
      </c>
      <c r="K919">
        <f t="shared" si="141"/>
        <v>310</v>
      </c>
      <c r="L919" s="39">
        <f t="shared" si="142"/>
        <v>381.76633926423159</v>
      </c>
      <c r="M919">
        <f t="shared" si="143"/>
        <v>355.31337508538434</v>
      </c>
      <c r="N919">
        <f t="shared" si="144"/>
        <v>47476.340274288101</v>
      </c>
      <c r="O919" s="39">
        <f t="shared" si="145"/>
        <v>63019.097675945435</v>
      </c>
      <c r="S919">
        <f t="shared" si="146"/>
        <v>0</v>
      </c>
      <c r="T919">
        <f t="shared" si="147"/>
        <v>1</v>
      </c>
      <c r="U919">
        <f t="shared" si="148"/>
        <v>0</v>
      </c>
      <c r="V919">
        <f t="shared" si="149"/>
        <v>0</v>
      </c>
      <c r="W919">
        <f t="shared" si="150"/>
        <v>0</v>
      </c>
      <c r="Y919" t="str">
        <f t="shared" si="151"/>
        <v/>
      </c>
    </row>
    <row r="920" spans="8:25">
      <c r="H920">
        <v>688</v>
      </c>
      <c r="I920" s="18">
        <v>26</v>
      </c>
      <c r="J920">
        <v>72</v>
      </c>
      <c r="K920">
        <f t="shared" si="141"/>
        <v>360</v>
      </c>
      <c r="L920" s="39">
        <f t="shared" si="142"/>
        <v>382.26899408880604</v>
      </c>
      <c r="M920">
        <f t="shared" si="143"/>
        <v>330.31337508538434</v>
      </c>
      <c r="N920">
        <f t="shared" si="144"/>
        <v>44193.996569788927</v>
      </c>
      <c r="O920" s="39">
        <f t="shared" si="145"/>
        <v>59736.753971446262</v>
      </c>
      <c r="S920">
        <f t="shared" si="146"/>
        <v>0</v>
      </c>
      <c r="T920">
        <f t="shared" si="147"/>
        <v>1</v>
      </c>
      <c r="U920">
        <f t="shared" si="148"/>
        <v>0</v>
      </c>
      <c r="V920">
        <f t="shared" si="149"/>
        <v>0</v>
      </c>
      <c r="W920">
        <f t="shared" si="150"/>
        <v>0</v>
      </c>
      <c r="Y920" t="str">
        <f t="shared" si="151"/>
        <v/>
      </c>
    </row>
    <row r="921" spans="8:25">
      <c r="H921">
        <v>689</v>
      </c>
      <c r="I921" s="18">
        <v>25</v>
      </c>
      <c r="J921">
        <v>78</v>
      </c>
      <c r="K921">
        <f t="shared" si="141"/>
        <v>390</v>
      </c>
      <c r="L921" s="39">
        <f t="shared" si="142"/>
        <v>382.881604656256</v>
      </c>
      <c r="M921">
        <f t="shared" si="143"/>
        <v>315.31337508538434</v>
      </c>
      <c r="N921">
        <f t="shared" si="144"/>
        <v>42254.691857795158</v>
      </c>
      <c r="O921" s="39">
        <f t="shared" si="145"/>
        <v>57797.449259452493</v>
      </c>
      <c r="S921">
        <f t="shared" si="146"/>
        <v>0</v>
      </c>
      <c r="T921">
        <f t="shared" si="147"/>
        <v>1</v>
      </c>
      <c r="U921">
        <f t="shared" si="148"/>
        <v>1</v>
      </c>
      <c r="V921">
        <f t="shared" si="149"/>
        <v>0</v>
      </c>
      <c r="W921">
        <f t="shared" si="150"/>
        <v>0</v>
      </c>
      <c r="Y921" t="str">
        <f t="shared" si="151"/>
        <v/>
      </c>
    </row>
    <row r="922" spans="8:25">
      <c r="H922">
        <v>690</v>
      </c>
      <c r="I922" s="18">
        <v>38</v>
      </c>
      <c r="J922">
        <v>34</v>
      </c>
      <c r="K922">
        <f t="shared" si="141"/>
        <v>170</v>
      </c>
      <c r="L922" s="39">
        <f t="shared" si="142"/>
        <v>385.59908230161125</v>
      </c>
      <c r="M922">
        <f t="shared" si="143"/>
        <v>425.31337508538434</v>
      </c>
      <c r="N922">
        <f t="shared" si="144"/>
        <v>57400.156493233815</v>
      </c>
      <c r="O922" s="39">
        <f t="shared" si="145"/>
        <v>72942.913894891157</v>
      </c>
      <c r="S922">
        <f t="shared" si="146"/>
        <v>0</v>
      </c>
      <c r="T922">
        <f t="shared" si="147"/>
        <v>1</v>
      </c>
      <c r="U922">
        <f t="shared" si="148"/>
        <v>0</v>
      </c>
      <c r="V922">
        <f t="shared" si="149"/>
        <v>0</v>
      </c>
      <c r="W922">
        <f t="shared" si="150"/>
        <v>1</v>
      </c>
      <c r="Y922" t="str">
        <f t="shared" si="151"/>
        <v/>
      </c>
    </row>
    <row r="923" spans="8:25">
      <c r="H923">
        <v>691</v>
      </c>
      <c r="I923" s="18">
        <v>32</v>
      </c>
      <c r="J923">
        <v>48</v>
      </c>
      <c r="K923">
        <f t="shared" si="141"/>
        <v>240</v>
      </c>
      <c r="L923" s="39">
        <f t="shared" si="142"/>
        <v>386.03890527311387</v>
      </c>
      <c r="M923">
        <f t="shared" si="143"/>
        <v>390.31337508538434</v>
      </c>
      <c r="N923">
        <f t="shared" si="144"/>
        <v>52736.651810995616</v>
      </c>
      <c r="O923" s="39">
        <f t="shared" si="145"/>
        <v>68279.409212652943</v>
      </c>
      <c r="S923">
        <f t="shared" si="146"/>
        <v>0</v>
      </c>
      <c r="T923">
        <f t="shared" si="147"/>
        <v>1</v>
      </c>
      <c r="U923">
        <f t="shared" si="148"/>
        <v>0</v>
      </c>
      <c r="V923">
        <f t="shared" si="149"/>
        <v>0</v>
      </c>
      <c r="W923">
        <f t="shared" si="150"/>
        <v>1</v>
      </c>
      <c r="Y923" t="str">
        <f t="shared" si="151"/>
        <v/>
      </c>
    </row>
    <row r="924" spans="8:25">
      <c r="H924">
        <v>692</v>
      </c>
      <c r="I924" s="18">
        <v>36</v>
      </c>
      <c r="J924">
        <v>38</v>
      </c>
      <c r="K924">
        <f t="shared" si="141"/>
        <v>190</v>
      </c>
      <c r="L924" s="39">
        <f t="shared" si="142"/>
        <v>386.79288750997534</v>
      </c>
      <c r="M924">
        <f t="shared" si="143"/>
        <v>415.31337508538434</v>
      </c>
      <c r="N924">
        <f t="shared" si="144"/>
        <v>56224.09084977625</v>
      </c>
      <c r="O924" s="39">
        <f t="shared" si="145"/>
        <v>71766.848251433577</v>
      </c>
      <c r="S924">
        <f t="shared" si="146"/>
        <v>0</v>
      </c>
      <c r="T924">
        <f t="shared" si="147"/>
        <v>1</v>
      </c>
      <c r="U924">
        <f t="shared" si="148"/>
        <v>0</v>
      </c>
      <c r="V924">
        <f t="shared" si="149"/>
        <v>0</v>
      </c>
      <c r="W924">
        <f t="shared" si="150"/>
        <v>1</v>
      </c>
      <c r="Y924" t="str">
        <f t="shared" si="151"/>
        <v/>
      </c>
    </row>
    <row r="925" spans="8:25">
      <c r="H925">
        <v>693</v>
      </c>
      <c r="I925" s="18">
        <v>24</v>
      </c>
      <c r="J925">
        <v>86</v>
      </c>
      <c r="K925">
        <f t="shared" si="141"/>
        <v>430</v>
      </c>
      <c r="L925" s="39">
        <f t="shared" si="142"/>
        <v>389.05483422055994</v>
      </c>
      <c r="M925">
        <f t="shared" si="143"/>
        <v>295.31337508538434</v>
      </c>
      <c r="N925">
        <f t="shared" si="144"/>
        <v>40212.583665435384</v>
      </c>
      <c r="O925" s="39">
        <f t="shared" si="145"/>
        <v>55755.341067092719</v>
      </c>
      <c r="S925">
        <f t="shared" si="146"/>
        <v>0</v>
      </c>
      <c r="T925">
        <f t="shared" si="147"/>
        <v>1</v>
      </c>
      <c r="U925">
        <f t="shared" si="148"/>
        <v>1</v>
      </c>
      <c r="V925">
        <f t="shared" si="149"/>
        <v>0</v>
      </c>
      <c r="W925">
        <f t="shared" si="150"/>
        <v>0</v>
      </c>
      <c r="Y925" t="str">
        <f t="shared" si="151"/>
        <v/>
      </c>
    </row>
    <row r="926" spans="8:25">
      <c r="H926">
        <v>694</v>
      </c>
      <c r="I926" s="18">
        <v>50</v>
      </c>
      <c r="J926">
        <v>20</v>
      </c>
      <c r="K926">
        <f t="shared" si="141"/>
        <v>100</v>
      </c>
      <c r="L926" s="39">
        <f t="shared" si="142"/>
        <v>392.69908169872411</v>
      </c>
      <c r="M926">
        <f t="shared" si="143"/>
        <v>460.31337508538434</v>
      </c>
      <c r="N926">
        <f t="shared" si="144"/>
        <v>63267.623891384777</v>
      </c>
      <c r="O926" s="39">
        <f t="shared" si="145"/>
        <v>78810.381293042112</v>
      </c>
      <c r="S926">
        <f t="shared" si="146"/>
        <v>0</v>
      </c>
      <c r="T926">
        <f t="shared" si="147"/>
        <v>1</v>
      </c>
      <c r="U926">
        <f t="shared" si="148"/>
        <v>0</v>
      </c>
      <c r="V926">
        <f t="shared" si="149"/>
        <v>1</v>
      </c>
      <c r="W926">
        <f t="shared" si="150"/>
        <v>1</v>
      </c>
      <c r="Y926" t="str">
        <f t="shared" si="151"/>
        <v/>
      </c>
    </row>
    <row r="927" spans="8:25">
      <c r="H927">
        <v>695</v>
      </c>
      <c r="I927" s="18">
        <v>25</v>
      </c>
      <c r="J927">
        <v>80</v>
      </c>
      <c r="K927">
        <f t="shared" si="141"/>
        <v>400</v>
      </c>
      <c r="L927" s="39">
        <f t="shared" si="142"/>
        <v>392.69908169872411</v>
      </c>
      <c r="M927">
        <f t="shared" si="143"/>
        <v>310.31337508538434</v>
      </c>
      <c r="N927">
        <f t="shared" si="144"/>
        <v>42650.922102201752</v>
      </c>
      <c r="O927" s="39">
        <f t="shared" si="145"/>
        <v>58193.679503859086</v>
      </c>
      <c r="S927">
        <f t="shared" si="146"/>
        <v>0</v>
      </c>
      <c r="T927">
        <f t="shared" si="147"/>
        <v>1</v>
      </c>
      <c r="U927">
        <f t="shared" si="148"/>
        <v>1</v>
      </c>
      <c r="V927">
        <f t="shared" si="149"/>
        <v>0</v>
      </c>
      <c r="W927">
        <f t="shared" si="150"/>
        <v>0</v>
      </c>
      <c r="Y927" t="str">
        <f t="shared" si="151"/>
        <v/>
      </c>
    </row>
    <row r="928" spans="8:25">
      <c r="H928">
        <v>696</v>
      </c>
      <c r="I928" s="18">
        <v>26</v>
      </c>
      <c r="J928">
        <v>74</v>
      </c>
      <c r="K928">
        <f t="shared" si="141"/>
        <v>370</v>
      </c>
      <c r="L928" s="39">
        <f t="shared" si="142"/>
        <v>392.8875772579396</v>
      </c>
      <c r="M928">
        <f t="shared" si="143"/>
        <v>325.31337508538434</v>
      </c>
      <c r="N928">
        <f t="shared" si="144"/>
        <v>44734.054325415011</v>
      </c>
      <c r="O928" s="39">
        <f t="shared" si="145"/>
        <v>60276.811727072345</v>
      </c>
      <c r="S928">
        <f t="shared" si="146"/>
        <v>0</v>
      </c>
      <c r="T928">
        <f t="shared" si="147"/>
        <v>1</v>
      </c>
      <c r="U928">
        <f t="shared" si="148"/>
        <v>0</v>
      </c>
      <c r="V928">
        <f t="shared" si="149"/>
        <v>0</v>
      </c>
      <c r="W928">
        <f t="shared" si="150"/>
        <v>0</v>
      </c>
      <c r="Y928" t="str">
        <f t="shared" si="151"/>
        <v/>
      </c>
    </row>
    <row r="929" spans="8:25">
      <c r="H929">
        <v>697</v>
      </c>
      <c r="I929" s="18">
        <v>28</v>
      </c>
      <c r="J929">
        <v>64</v>
      </c>
      <c r="K929">
        <f t="shared" si="141"/>
        <v>320</v>
      </c>
      <c r="L929" s="39">
        <f t="shared" si="142"/>
        <v>394.08138246630358</v>
      </c>
      <c r="M929">
        <f t="shared" si="143"/>
        <v>350.31337508538434</v>
      </c>
      <c r="N929">
        <f t="shared" si="144"/>
        <v>48318.192702529763</v>
      </c>
      <c r="O929" s="39">
        <f t="shared" si="145"/>
        <v>63860.950104187097</v>
      </c>
      <c r="S929">
        <f t="shared" si="146"/>
        <v>0</v>
      </c>
      <c r="T929">
        <f t="shared" si="147"/>
        <v>1</v>
      </c>
      <c r="U929">
        <f t="shared" si="148"/>
        <v>0</v>
      </c>
      <c r="V929">
        <f t="shared" si="149"/>
        <v>0</v>
      </c>
      <c r="W929">
        <f t="shared" si="150"/>
        <v>0</v>
      </c>
      <c r="Y929" t="str">
        <f t="shared" si="151"/>
        <v/>
      </c>
    </row>
    <row r="930" spans="8:25">
      <c r="H930">
        <v>698</v>
      </c>
      <c r="I930" s="18">
        <v>30</v>
      </c>
      <c r="J930">
        <v>56</v>
      </c>
      <c r="K930">
        <f t="shared" si="141"/>
        <v>280</v>
      </c>
      <c r="L930" s="39">
        <f t="shared" si="142"/>
        <v>395.84067435231395</v>
      </c>
      <c r="M930">
        <f t="shared" si="143"/>
        <v>370.31337508538434</v>
      </c>
      <c r="N930">
        <f t="shared" si="144"/>
        <v>51304.783640417962</v>
      </c>
      <c r="O930" s="39">
        <f t="shared" si="145"/>
        <v>66847.541042075289</v>
      </c>
      <c r="S930">
        <f t="shared" si="146"/>
        <v>0</v>
      </c>
      <c r="T930">
        <f t="shared" si="147"/>
        <v>1</v>
      </c>
      <c r="U930">
        <f t="shared" si="148"/>
        <v>0</v>
      </c>
      <c r="V930">
        <f t="shared" si="149"/>
        <v>0</v>
      </c>
      <c r="W930">
        <f t="shared" si="150"/>
        <v>1</v>
      </c>
      <c r="Y930" t="str">
        <f t="shared" si="151"/>
        <v/>
      </c>
    </row>
    <row r="931" spans="8:25">
      <c r="H931">
        <v>699</v>
      </c>
      <c r="I931" s="18">
        <v>24</v>
      </c>
      <c r="J931">
        <v>88</v>
      </c>
      <c r="K931">
        <f t="shared" si="141"/>
        <v>440</v>
      </c>
      <c r="L931" s="39">
        <f t="shared" si="142"/>
        <v>398.10262106289855</v>
      </c>
      <c r="M931">
        <f t="shared" si="143"/>
        <v>290.31337508538434</v>
      </c>
      <c r="N931">
        <f t="shared" si="144"/>
        <v>40451.08044288776</v>
      </c>
      <c r="O931" s="39">
        <f t="shared" si="145"/>
        <v>55993.837844545094</v>
      </c>
      <c r="S931">
        <f t="shared" si="146"/>
        <v>0</v>
      </c>
      <c r="T931">
        <f t="shared" si="147"/>
        <v>1</v>
      </c>
      <c r="U931">
        <f t="shared" si="148"/>
        <v>1</v>
      </c>
      <c r="V931">
        <f t="shared" si="149"/>
        <v>0</v>
      </c>
      <c r="W931">
        <f t="shared" si="150"/>
        <v>0</v>
      </c>
      <c r="Y931" t="str">
        <f t="shared" si="151"/>
        <v/>
      </c>
    </row>
    <row r="932" spans="8:25">
      <c r="H932">
        <v>700</v>
      </c>
      <c r="I932" s="18">
        <v>34</v>
      </c>
      <c r="J932">
        <v>44</v>
      </c>
      <c r="K932">
        <f t="shared" si="141"/>
        <v>220</v>
      </c>
      <c r="L932" s="39">
        <f t="shared" si="142"/>
        <v>399.48492183047802</v>
      </c>
      <c r="M932">
        <f t="shared" si="143"/>
        <v>400.31337508538434</v>
      </c>
      <c r="N932">
        <f t="shared" si="144"/>
        <v>55971.70507378786</v>
      </c>
      <c r="O932" s="39">
        <f t="shared" si="145"/>
        <v>71514.462475445194</v>
      </c>
      <c r="S932">
        <f t="shared" si="146"/>
        <v>0</v>
      </c>
      <c r="T932">
        <f t="shared" si="147"/>
        <v>1</v>
      </c>
      <c r="U932">
        <f t="shared" si="148"/>
        <v>0</v>
      </c>
      <c r="V932">
        <f t="shared" si="149"/>
        <v>0</v>
      </c>
      <c r="W932">
        <f t="shared" si="150"/>
        <v>1</v>
      </c>
      <c r="Y932" t="str">
        <f t="shared" si="151"/>
        <v/>
      </c>
    </row>
    <row r="933" spans="8:25">
      <c r="H933">
        <v>701</v>
      </c>
      <c r="I933" s="18">
        <v>40</v>
      </c>
      <c r="J933">
        <v>32</v>
      </c>
      <c r="K933">
        <f t="shared" si="141"/>
        <v>160</v>
      </c>
      <c r="L933" s="39">
        <f t="shared" si="142"/>
        <v>402.12385965949352</v>
      </c>
      <c r="M933">
        <f t="shared" si="143"/>
        <v>430.31337508538434</v>
      </c>
      <c r="N933">
        <f t="shared" si="144"/>
        <v>60563.746338353332</v>
      </c>
      <c r="O933" s="39">
        <f t="shared" si="145"/>
        <v>76106.503740010667</v>
      </c>
      <c r="S933">
        <f t="shared" si="146"/>
        <v>0</v>
      </c>
      <c r="T933">
        <f t="shared" si="147"/>
        <v>1</v>
      </c>
      <c r="U933">
        <f t="shared" si="148"/>
        <v>0</v>
      </c>
      <c r="V933">
        <f t="shared" si="149"/>
        <v>0</v>
      </c>
      <c r="W933">
        <f t="shared" si="150"/>
        <v>1</v>
      </c>
      <c r="Y933" t="str">
        <f t="shared" si="151"/>
        <v/>
      </c>
    </row>
    <row r="934" spans="8:25">
      <c r="H934">
        <v>702</v>
      </c>
      <c r="I934" s="18">
        <v>32</v>
      </c>
      <c r="J934">
        <v>50</v>
      </c>
      <c r="K934">
        <f t="shared" si="141"/>
        <v>250</v>
      </c>
      <c r="L934" s="39">
        <f t="shared" si="142"/>
        <v>402.12385965949363</v>
      </c>
      <c r="M934">
        <f t="shared" si="143"/>
        <v>385.31337508538434</v>
      </c>
      <c r="N934">
        <f t="shared" si="144"/>
        <v>54230.29554871632</v>
      </c>
      <c r="O934" s="39">
        <f t="shared" si="145"/>
        <v>69773.052950373647</v>
      </c>
      <c r="S934">
        <f t="shared" si="146"/>
        <v>0</v>
      </c>
      <c r="T934">
        <f t="shared" si="147"/>
        <v>1</v>
      </c>
      <c r="U934">
        <f t="shared" si="148"/>
        <v>0</v>
      </c>
      <c r="V934">
        <f t="shared" si="149"/>
        <v>0</v>
      </c>
      <c r="W934">
        <f t="shared" si="150"/>
        <v>1</v>
      </c>
      <c r="Y934" t="str">
        <f t="shared" si="151"/>
        <v/>
      </c>
    </row>
    <row r="935" spans="8:25">
      <c r="H935">
        <v>703</v>
      </c>
      <c r="I935" s="18">
        <v>25</v>
      </c>
      <c r="J935">
        <v>82</v>
      </c>
      <c r="K935">
        <f t="shared" si="141"/>
        <v>410</v>
      </c>
      <c r="L935" s="39">
        <f t="shared" si="142"/>
        <v>402.51655874119223</v>
      </c>
      <c r="M935">
        <f t="shared" si="143"/>
        <v>305.31337508538434</v>
      </c>
      <c r="N935">
        <f t="shared" si="144"/>
        <v>43012.791176959719</v>
      </c>
      <c r="O935" s="39">
        <f t="shared" si="145"/>
        <v>58555.548578617054</v>
      </c>
      <c r="S935">
        <f t="shared" si="146"/>
        <v>0</v>
      </c>
      <c r="T935">
        <f t="shared" si="147"/>
        <v>1</v>
      </c>
      <c r="U935">
        <f t="shared" si="148"/>
        <v>1</v>
      </c>
      <c r="V935">
        <f t="shared" si="149"/>
        <v>0</v>
      </c>
      <c r="W935">
        <f t="shared" si="150"/>
        <v>0</v>
      </c>
      <c r="Y935" t="str">
        <f t="shared" si="151"/>
        <v/>
      </c>
    </row>
    <row r="936" spans="8:25">
      <c r="H936">
        <v>704</v>
      </c>
      <c r="I936" s="18">
        <v>26</v>
      </c>
      <c r="J936">
        <v>76</v>
      </c>
      <c r="K936">
        <f t="shared" si="141"/>
        <v>380</v>
      </c>
      <c r="L936" s="39">
        <f t="shared" si="142"/>
        <v>403.50616042707304</v>
      </c>
      <c r="M936">
        <f t="shared" si="143"/>
        <v>320.31337508538434</v>
      </c>
      <c r="N936">
        <f t="shared" si="144"/>
        <v>45236.947039949111</v>
      </c>
      <c r="O936" s="39">
        <f t="shared" si="145"/>
        <v>60779.704441606445</v>
      </c>
      <c r="S936">
        <f t="shared" si="146"/>
        <v>0</v>
      </c>
      <c r="T936">
        <f t="shared" si="147"/>
        <v>1</v>
      </c>
      <c r="U936">
        <f t="shared" si="148"/>
        <v>0</v>
      </c>
      <c r="V936">
        <f t="shared" si="149"/>
        <v>0</v>
      </c>
      <c r="W936">
        <f t="shared" si="150"/>
        <v>0</v>
      </c>
      <c r="Y936" t="str">
        <f t="shared" si="151"/>
        <v/>
      </c>
    </row>
    <row r="937" spans="8:25">
      <c r="H937">
        <v>705</v>
      </c>
      <c r="I937" s="18">
        <v>28</v>
      </c>
      <c r="J937">
        <v>66</v>
      </c>
      <c r="K937">
        <f t="shared" ref="K937:K1000" si="152">$F$230+$F$231*(J937-2)/2</f>
        <v>330</v>
      </c>
      <c r="L937" s="39">
        <f t="shared" ref="L937:L1000" si="153">J937*0.25*PI()*(I937/10)^2</f>
        <v>406.39642566837557</v>
      </c>
      <c r="M937">
        <f t="shared" ref="M937:M1000" si="154">$F$233-(K937+$F$232)/2</f>
        <v>345.31337508538434</v>
      </c>
      <c r="N937">
        <f t="shared" ref="N937:N1000" si="155">L937*$F$235*M937*0.001</f>
        <v>49116.942479564146</v>
      </c>
      <c r="O937" s="39">
        <f t="shared" ref="O937:O1000" si="156">N937+$F$237</f>
        <v>64659.699881221481</v>
      </c>
      <c r="S937">
        <f t="shared" ref="S937:S1000" si="157">IF(L937&lt;$F$236,1,0)</f>
        <v>0</v>
      </c>
      <c r="T937">
        <f t="shared" ref="T937:T1000" si="158">IF(O937&gt;$F$234,1,0)</f>
        <v>1</v>
      </c>
      <c r="U937">
        <f t="shared" ref="U937:U1000" si="159">IF(I937&lt;=$F$238,1,0)</f>
        <v>0</v>
      </c>
      <c r="V937">
        <f t="shared" ref="V937:V1000" si="160">IF(J937&lt;=$F$239,1,0)</f>
        <v>0</v>
      </c>
      <c r="W937">
        <f t="shared" ref="W937:W1000" si="161">IF(K937&lt;=$F$240,1,0)</f>
        <v>0</v>
      </c>
      <c r="Y937" t="str">
        <f t="shared" ref="Y937:Y1000" si="162">IF(SUM(S937:W937)=5,H937,"")</f>
        <v/>
      </c>
    </row>
    <row r="938" spans="8:25">
      <c r="H938">
        <v>706</v>
      </c>
      <c r="I938" s="18">
        <v>24</v>
      </c>
      <c r="J938">
        <v>90</v>
      </c>
      <c r="K938">
        <f t="shared" si="152"/>
        <v>450</v>
      </c>
      <c r="L938" s="39">
        <f t="shared" si="153"/>
        <v>407.15040790523716</v>
      </c>
      <c r="M938">
        <f t="shared" si="154"/>
        <v>285.31337508538434</v>
      </c>
      <c r="N938">
        <f t="shared" si="155"/>
        <v>40657.909966391962</v>
      </c>
      <c r="O938" s="39">
        <f t="shared" si="156"/>
        <v>56200.667368049297</v>
      </c>
      <c r="S938">
        <f t="shared" si="157"/>
        <v>0</v>
      </c>
      <c r="T938">
        <f t="shared" si="158"/>
        <v>1</v>
      </c>
      <c r="U938">
        <f t="shared" si="159"/>
        <v>1</v>
      </c>
      <c r="V938">
        <f t="shared" si="160"/>
        <v>0</v>
      </c>
      <c r="W938">
        <f t="shared" si="161"/>
        <v>0</v>
      </c>
      <c r="Y938" t="str">
        <f t="shared" si="162"/>
        <v/>
      </c>
    </row>
    <row r="939" spans="8:25">
      <c r="H939">
        <v>707</v>
      </c>
      <c r="I939" s="18">
        <v>36</v>
      </c>
      <c r="J939">
        <v>40</v>
      </c>
      <c r="K939">
        <f t="shared" si="152"/>
        <v>200</v>
      </c>
      <c r="L939" s="39">
        <f t="shared" si="153"/>
        <v>407.15040790523722</v>
      </c>
      <c r="M939">
        <f t="shared" si="154"/>
        <v>410.31337508538434</v>
      </c>
      <c r="N939">
        <f t="shared" si="155"/>
        <v>58470.740312246082</v>
      </c>
      <c r="O939" s="39">
        <f t="shared" si="156"/>
        <v>74013.497713903416</v>
      </c>
      <c r="S939">
        <f t="shared" si="157"/>
        <v>0</v>
      </c>
      <c r="T939">
        <f t="shared" si="158"/>
        <v>1</v>
      </c>
      <c r="U939">
        <f t="shared" si="159"/>
        <v>0</v>
      </c>
      <c r="V939">
        <f t="shared" si="160"/>
        <v>0</v>
      </c>
      <c r="W939">
        <f t="shared" si="161"/>
        <v>1</v>
      </c>
      <c r="Y939" t="str">
        <f t="shared" si="162"/>
        <v/>
      </c>
    </row>
    <row r="940" spans="8:25">
      <c r="H940">
        <v>708</v>
      </c>
      <c r="I940" s="18">
        <v>38</v>
      </c>
      <c r="J940">
        <v>36</v>
      </c>
      <c r="K940">
        <f t="shared" si="152"/>
        <v>180</v>
      </c>
      <c r="L940" s="39">
        <f t="shared" si="153"/>
        <v>408.28138126052949</v>
      </c>
      <c r="M940">
        <f t="shared" si="154"/>
        <v>420.31337508538434</v>
      </c>
      <c r="N940">
        <f t="shared" si="155"/>
        <v>60062.143869747517</v>
      </c>
      <c r="O940" s="39">
        <f t="shared" si="156"/>
        <v>75604.901271404844</v>
      </c>
      <c r="S940">
        <f t="shared" si="157"/>
        <v>0</v>
      </c>
      <c r="T940">
        <f t="shared" si="158"/>
        <v>1</v>
      </c>
      <c r="U940">
        <f t="shared" si="159"/>
        <v>0</v>
      </c>
      <c r="V940">
        <f t="shared" si="160"/>
        <v>0</v>
      </c>
      <c r="W940">
        <f t="shared" si="161"/>
        <v>1</v>
      </c>
      <c r="Y940" t="str">
        <f t="shared" si="162"/>
        <v/>
      </c>
    </row>
    <row r="941" spans="8:25">
      <c r="H941">
        <v>709</v>
      </c>
      <c r="I941" s="18">
        <v>30</v>
      </c>
      <c r="J941">
        <v>58</v>
      </c>
      <c r="K941">
        <f t="shared" si="152"/>
        <v>290</v>
      </c>
      <c r="L941" s="39">
        <f t="shared" si="153"/>
        <v>409.97784129346803</v>
      </c>
      <c r="M941">
        <f t="shared" si="154"/>
        <v>365.31337508538434</v>
      </c>
      <c r="N941">
        <f t="shared" si="155"/>
        <v>52419.636119597904</v>
      </c>
      <c r="O941" s="39">
        <f t="shared" si="156"/>
        <v>67962.393521255231</v>
      </c>
      <c r="S941">
        <f t="shared" si="157"/>
        <v>0</v>
      </c>
      <c r="T941">
        <f t="shared" si="158"/>
        <v>1</v>
      </c>
      <c r="U941">
        <f t="shared" si="159"/>
        <v>0</v>
      </c>
      <c r="V941">
        <f t="shared" si="160"/>
        <v>0</v>
      </c>
      <c r="W941">
        <f t="shared" si="161"/>
        <v>1</v>
      </c>
      <c r="Y941" t="str">
        <f t="shared" si="162"/>
        <v/>
      </c>
    </row>
    <row r="942" spans="8:25">
      <c r="H942">
        <v>710</v>
      </c>
      <c r="I942" s="18">
        <v>25</v>
      </c>
      <c r="J942">
        <v>84</v>
      </c>
      <c r="K942">
        <f t="shared" si="152"/>
        <v>420</v>
      </c>
      <c r="L942" s="39">
        <f t="shared" si="153"/>
        <v>412.3340357836604</v>
      </c>
      <c r="M942">
        <f t="shared" si="154"/>
        <v>300.31337508538434</v>
      </c>
      <c r="N942">
        <f t="shared" si="155"/>
        <v>43340.299082069039</v>
      </c>
      <c r="O942" s="39">
        <f t="shared" si="156"/>
        <v>58883.056483726374</v>
      </c>
      <c r="S942">
        <f t="shared" si="157"/>
        <v>0</v>
      </c>
      <c r="T942">
        <f t="shared" si="158"/>
        <v>1</v>
      </c>
      <c r="U942">
        <f t="shared" si="159"/>
        <v>1</v>
      </c>
      <c r="V942">
        <f t="shared" si="160"/>
        <v>0</v>
      </c>
      <c r="W942">
        <f t="shared" si="161"/>
        <v>0</v>
      </c>
      <c r="Y942" t="str">
        <f t="shared" si="162"/>
        <v/>
      </c>
    </row>
    <row r="943" spans="8:25">
      <c r="H943">
        <v>711</v>
      </c>
      <c r="I943" s="18">
        <v>45</v>
      </c>
      <c r="J943">
        <v>26</v>
      </c>
      <c r="K943">
        <f t="shared" si="152"/>
        <v>130</v>
      </c>
      <c r="L943" s="39">
        <f t="shared" si="153"/>
        <v>413.51213302875658</v>
      </c>
      <c r="M943">
        <f t="shared" si="154"/>
        <v>445.31337508538434</v>
      </c>
      <c r="N943">
        <f t="shared" si="155"/>
        <v>64449.86925922722</v>
      </c>
      <c r="O943" s="39">
        <f t="shared" si="156"/>
        <v>79992.626660884562</v>
      </c>
      <c r="S943">
        <f t="shared" si="157"/>
        <v>0</v>
      </c>
      <c r="T943">
        <f t="shared" si="158"/>
        <v>1</v>
      </c>
      <c r="U943">
        <f t="shared" si="159"/>
        <v>0</v>
      </c>
      <c r="V943">
        <f t="shared" si="160"/>
        <v>0</v>
      </c>
      <c r="W943">
        <f t="shared" si="161"/>
        <v>1</v>
      </c>
      <c r="Y943" t="str">
        <f t="shared" si="162"/>
        <v/>
      </c>
    </row>
    <row r="944" spans="8:25">
      <c r="H944">
        <v>712</v>
      </c>
      <c r="I944" s="18">
        <v>26</v>
      </c>
      <c r="J944">
        <v>78</v>
      </c>
      <c r="K944">
        <f t="shared" si="152"/>
        <v>390</v>
      </c>
      <c r="L944" s="39">
        <f t="shared" si="153"/>
        <v>414.12474359620654</v>
      </c>
      <c r="M944">
        <f t="shared" si="154"/>
        <v>315.31337508538434</v>
      </c>
      <c r="N944">
        <f t="shared" si="155"/>
        <v>45702.67471339125</v>
      </c>
      <c r="O944" s="39">
        <f t="shared" si="156"/>
        <v>61245.432115048585</v>
      </c>
      <c r="S944">
        <f t="shared" si="157"/>
        <v>0</v>
      </c>
      <c r="T944">
        <f t="shared" si="158"/>
        <v>1</v>
      </c>
      <c r="U944">
        <f t="shared" si="159"/>
        <v>0</v>
      </c>
      <c r="V944">
        <f t="shared" si="160"/>
        <v>0</v>
      </c>
      <c r="W944">
        <f t="shared" si="161"/>
        <v>0</v>
      </c>
      <c r="Y944" t="str">
        <f t="shared" si="162"/>
        <v/>
      </c>
    </row>
    <row r="945" spans="8:25">
      <c r="H945">
        <v>713</v>
      </c>
      <c r="I945" s="18">
        <v>24</v>
      </c>
      <c r="J945">
        <v>92</v>
      </c>
      <c r="K945">
        <f t="shared" si="152"/>
        <v>460</v>
      </c>
      <c r="L945" s="39">
        <f t="shared" si="153"/>
        <v>416.19819474757577</v>
      </c>
      <c r="M945">
        <f t="shared" si="154"/>
        <v>280.31337508538434</v>
      </c>
      <c r="N945">
        <f t="shared" si="155"/>
        <v>40833.072235947962</v>
      </c>
      <c r="O945" s="39">
        <f t="shared" si="156"/>
        <v>56375.829637605297</v>
      </c>
      <c r="S945">
        <f t="shared" si="157"/>
        <v>0</v>
      </c>
      <c r="T945">
        <f t="shared" si="158"/>
        <v>1</v>
      </c>
      <c r="U945">
        <f t="shared" si="159"/>
        <v>1</v>
      </c>
      <c r="V945">
        <f t="shared" si="160"/>
        <v>0</v>
      </c>
      <c r="W945">
        <f t="shared" si="161"/>
        <v>0</v>
      </c>
      <c r="Y945" t="str">
        <f t="shared" si="162"/>
        <v/>
      </c>
    </row>
    <row r="946" spans="8:25">
      <c r="H946">
        <v>714</v>
      </c>
      <c r="I946" s="18">
        <v>34</v>
      </c>
      <c r="J946">
        <v>46</v>
      </c>
      <c r="K946">
        <f t="shared" si="152"/>
        <v>230</v>
      </c>
      <c r="L946" s="39">
        <f t="shared" si="153"/>
        <v>417.64332736822701</v>
      </c>
      <c r="M946">
        <f t="shared" si="154"/>
        <v>395.31337508538434</v>
      </c>
      <c r="N946">
        <f t="shared" si="155"/>
        <v>57784.997663338363</v>
      </c>
      <c r="O946" s="39">
        <f t="shared" si="156"/>
        <v>73327.755064995697</v>
      </c>
      <c r="S946">
        <f t="shared" si="157"/>
        <v>0</v>
      </c>
      <c r="T946">
        <f t="shared" si="158"/>
        <v>1</v>
      </c>
      <c r="U946">
        <f t="shared" si="159"/>
        <v>0</v>
      </c>
      <c r="V946">
        <f t="shared" si="160"/>
        <v>0</v>
      </c>
      <c r="W946">
        <f t="shared" si="161"/>
        <v>1</v>
      </c>
      <c r="Y946" t="str">
        <f t="shared" si="162"/>
        <v/>
      </c>
    </row>
    <row r="947" spans="8:25">
      <c r="H947">
        <v>715</v>
      </c>
      <c r="I947" s="18">
        <v>32</v>
      </c>
      <c r="J947">
        <v>52</v>
      </c>
      <c r="K947">
        <f t="shared" si="152"/>
        <v>260</v>
      </c>
      <c r="L947" s="39">
        <f t="shared" si="153"/>
        <v>418.2088140458734</v>
      </c>
      <c r="M947">
        <f t="shared" si="154"/>
        <v>380.31337508538434</v>
      </c>
      <c r="N947">
        <f t="shared" si="155"/>
        <v>55667.641946084703</v>
      </c>
      <c r="O947" s="39">
        <f t="shared" si="156"/>
        <v>71210.39934774203</v>
      </c>
      <c r="S947">
        <f t="shared" si="157"/>
        <v>0</v>
      </c>
      <c r="T947">
        <f t="shared" si="158"/>
        <v>1</v>
      </c>
      <c r="U947">
        <f t="shared" si="159"/>
        <v>0</v>
      </c>
      <c r="V947">
        <f t="shared" si="160"/>
        <v>0</v>
      </c>
      <c r="W947">
        <f t="shared" si="161"/>
        <v>1</v>
      </c>
      <c r="Y947" t="str">
        <f t="shared" si="162"/>
        <v/>
      </c>
    </row>
    <row r="948" spans="8:25">
      <c r="H948">
        <v>716</v>
      </c>
      <c r="I948" s="18">
        <v>28</v>
      </c>
      <c r="J948">
        <v>68</v>
      </c>
      <c r="K948">
        <f t="shared" si="152"/>
        <v>340</v>
      </c>
      <c r="L948" s="39">
        <f t="shared" si="153"/>
        <v>418.71146887044762</v>
      </c>
      <c r="M948">
        <f t="shared" si="154"/>
        <v>340.31337508538434</v>
      </c>
      <c r="N948">
        <f t="shared" si="155"/>
        <v>49872.589605391309</v>
      </c>
      <c r="O948" s="39">
        <f t="shared" si="156"/>
        <v>65415.347007048644</v>
      </c>
      <c r="S948">
        <f t="shared" si="157"/>
        <v>0</v>
      </c>
      <c r="T948">
        <f t="shared" si="158"/>
        <v>1</v>
      </c>
      <c r="U948">
        <f t="shared" si="159"/>
        <v>0</v>
      </c>
      <c r="V948">
        <f t="shared" si="160"/>
        <v>0</v>
      </c>
      <c r="W948">
        <f t="shared" si="161"/>
        <v>0</v>
      </c>
      <c r="Y948" t="str">
        <f t="shared" si="162"/>
        <v/>
      </c>
    </row>
    <row r="949" spans="8:25">
      <c r="H949">
        <v>717</v>
      </c>
      <c r="I949" s="18">
        <v>25</v>
      </c>
      <c r="J949">
        <v>86</v>
      </c>
      <c r="K949">
        <f t="shared" si="152"/>
        <v>430</v>
      </c>
      <c r="L949" s="39">
        <f t="shared" si="153"/>
        <v>422.15151282612845</v>
      </c>
      <c r="M949">
        <f t="shared" si="154"/>
        <v>295.31337508538434</v>
      </c>
      <c r="N949">
        <f t="shared" si="155"/>
        <v>43633.445817529719</v>
      </c>
      <c r="O949" s="39">
        <f t="shared" si="156"/>
        <v>59176.203219187053</v>
      </c>
      <c r="S949">
        <f t="shared" si="157"/>
        <v>0</v>
      </c>
      <c r="T949">
        <f t="shared" si="158"/>
        <v>1</v>
      </c>
      <c r="U949">
        <f t="shared" si="159"/>
        <v>1</v>
      </c>
      <c r="V949">
        <f t="shared" si="160"/>
        <v>0</v>
      </c>
      <c r="W949">
        <f t="shared" si="161"/>
        <v>0</v>
      </c>
      <c r="Y949" t="str">
        <f t="shared" si="162"/>
        <v/>
      </c>
    </row>
    <row r="950" spans="8:25">
      <c r="H950">
        <v>718</v>
      </c>
      <c r="I950" s="18">
        <v>30</v>
      </c>
      <c r="J950">
        <v>60</v>
      </c>
      <c r="K950">
        <f t="shared" si="152"/>
        <v>300</v>
      </c>
      <c r="L950" s="39">
        <f t="shared" si="153"/>
        <v>424.11500823462205</v>
      </c>
      <c r="M950">
        <f t="shared" si="154"/>
        <v>360.31337508538434</v>
      </c>
      <c r="N950">
        <f t="shared" si="155"/>
        <v>53485.008514483787</v>
      </c>
      <c r="O950" s="39">
        <f t="shared" si="156"/>
        <v>69027.765916141128</v>
      </c>
      <c r="S950">
        <f t="shared" si="157"/>
        <v>0</v>
      </c>
      <c r="T950">
        <f t="shared" si="158"/>
        <v>1</v>
      </c>
      <c r="U950">
        <f t="shared" si="159"/>
        <v>0</v>
      </c>
      <c r="V950">
        <f t="shared" si="160"/>
        <v>0</v>
      </c>
      <c r="W950">
        <f t="shared" si="161"/>
        <v>1</v>
      </c>
      <c r="Y950" t="str">
        <f t="shared" si="162"/>
        <v/>
      </c>
    </row>
    <row r="951" spans="8:25">
      <c r="H951">
        <v>719</v>
      </c>
      <c r="I951" s="18">
        <v>26</v>
      </c>
      <c r="J951">
        <v>80</v>
      </c>
      <c r="K951">
        <f t="shared" si="152"/>
        <v>400</v>
      </c>
      <c r="L951" s="39">
        <f t="shared" si="153"/>
        <v>424.74332676534004</v>
      </c>
      <c r="M951">
        <f t="shared" si="154"/>
        <v>310.31337508538434</v>
      </c>
      <c r="N951">
        <f t="shared" si="155"/>
        <v>46131.237345741421</v>
      </c>
      <c r="O951" s="39">
        <f t="shared" si="156"/>
        <v>61673.994747398756</v>
      </c>
      <c r="S951">
        <f t="shared" si="157"/>
        <v>0</v>
      </c>
      <c r="T951">
        <f t="shared" si="158"/>
        <v>1</v>
      </c>
      <c r="U951">
        <f t="shared" si="159"/>
        <v>0</v>
      </c>
      <c r="V951">
        <f t="shared" si="160"/>
        <v>0</v>
      </c>
      <c r="W951">
        <f t="shared" si="161"/>
        <v>0</v>
      </c>
      <c r="Y951" t="str">
        <f t="shared" si="162"/>
        <v/>
      </c>
    </row>
    <row r="952" spans="8:25">
      <c r="H952">
        <v>720</v>
      </c>
      <c r="I952" s="18">
        <v>24</v>
      </c>
      <c r="J952">
        <v>94</v>
      </c>
      <c r="K952">
        <f t="shared" si="152"/>
        <v>470</v>
      </c>
      <c r="L952" s="39">
        <f t="shared" si="153"/>
        <v>425.24598158991444</v>
      </c>
      <c r="M952">
        <f t="shared" si="154"/>
        <v>275.31337508538434</v>
      </c>
      <c r="N952">
        <f t="shared" si="155"/>
        <v>40976.567251555804</v>
      </c>
      <c r="O952" s="39">
        <f t="shared" si="156"/>
        <v>56519.324653213138</v>
      </c>
      <c r="S952">
        <f t="shared" si="157"/>
        <v>0</v>
      </c>
      <c r="T952">
        <f t="shared" si="158"/>
        <v>1</v>
      </c>
      <c r="U952">
        <f t="shared" si="159"/>
        <v>1</v>
      </c>
      <c r="V952">
        <f t="shared" si="160"/>
        <v>0</v>
      </c>
      <c r="W952">
        <f t="shared" si="161"/>
        <v>0</v>
      </c>
      <c r="Y952" t="str">
        <f t="shared" si="162"/>
        <v/>
      </c>
    </row>
    <row r="953" spans="8:25">
      <c r="H953">
        <v>721</v>
      </c>
      <c r="I953" s="18">
        <v>40</v>
      </c>
      <c r="J953">
        <v>34</v>
      </c>
      <c r="K953">
        <f t="shared" si="152"/>
        <v>170</v>
      </c>
      <c r="L953" s="39">
        <f t="shared" si="153"/>
        <v>427.25660088821189</v>
      </c>
      <c r="M953">
        <f t="shared" si="154"/>
        <v>425.31337508538434</v>
      </c>
      <c r="N953">
        <f t="shared" si="155"/>
        <v>63601.281432946053</v>
      </c>
      <c r="O953" s="39">
        <f t="shared" si="156"/>
        <v>79144.038834603387</v>
      </c>
      <c r="S953">
        <f t="shared" si="157"/>
        <v>0</v>
      </c>
      <c r="T953">
        <f t="shared" si="158"/>
        <v>1</v>
      </c>
      <c r="U953">
        <f t="shared" si="159"/>
        <v>0</v>
      </c>
      <c r="V953">
        <f t="shared" si="160"/>
        <v>0</v>
      </c>
      <c r="W953">
        <f t="shared" si="161"/>
        <v>1</v>
      </c>
      <c r="Y953" t="str">
        <f t="shared" si="162"/>
        <v/>
      </c>
    </row>
    <row r="954" spans="8:25">
      <c r="H954">
        <v>722</v>
      </c>
      <c r="I954" s="18">
        <v>36</v>
      </c>
      <c r="J954">
        <v>42</v>
      </c>
      <c r="K954">
        <f t="shared" si="152"/>
        <v>210</v>
      </c>
      <c r="L954" s="39">
        <f t="shared" si="153"/>
        <v>427.50792830049909</v>
      </c>
      <c r="M954">
        <f t="shared" si="154"/>
        <v>405.31337508538434</v>
      </c>
      <c r="N954">
        <f t="shared" si="155"/>
        <v>60646.138453332525</v>
      </c>
      <c r="O954" s="39">
        <f t="shared" si="156"/>
        <v>76188.895854989853</v>
      </c>
      <c r="S954">
        <f t="shared" si="157"/>
        <v>0</v>
      </c>
      <c r="T954">
        <f t="shared" si="158"/>
        <v>1</v>
      </c>
      <c r="U954">
        <f t="shared" si="159"/>
        <v>0</v>
      </c>
      <c r="V954">
        <f t="shared" si="160"/>
        <v>0</v>
      </c>
      <c r="W954">
        <f t="shared" si="161"/>
        <v>1</v>
      </c>
      <c r="Y954" t="str">
        <f t="shared" si="162"/>
        <v/>
      </c>
    </row>
    <row r="955" spans="8:25">
      <c r="H955">
        <v>723</v>
      </c>
      <c r="I955" s="18">
        <v>38</v>
      </c>
      <c r="J955">
        <v>38</v>
      </c>
      <c r="K955">
        <f t="shared" si="152"/>
        <v>190</v>
      </c>
      <c r="L955" s="39">
        <f t="shared" si="153"/>
        <v>430.96368021944778</v>
      </c>
      <c r="M955">
        <f t="shared" si="154"/>
        <v>415.31337508538434</v>
      </c>
      <c r="N955">
        <f t="shared" si="155"/>
        <v>62644.743199905002</v>
      </c>
      <c r="O955" s="39">
        <f t="shared" si="156"/>
        <v>78187.500601562337</v>
      </c>
      <c r="S955">
        <f t="shared" si="157"/>
        <v>0</v>
      </c>
      <c r="T955">
        <f t="shared" si="158"/>
        <v>1</v>
      </c>
      <c r="U955">
        <f t="shared" si="159"/>
        <v>0</v>
      </c>
      <c r="V955">
        <f t="shared" si="160"/>
        <v>0</v>
      </c>
      <c r="W955">
        <f t="shared" si="161"/>
        <v>1</v>
      </c>
      <c r="Y955" t="str">
        <f t="shared" si="162"/>
        <v/>
      </c>
    </row>
    <row r="956" spans="8:25">
      <c r="H956">
        <v>724</v>
      </c>
      <c r="I956" s="18">
        <v>28</v>
      </c>
      <c r="J956">
        <v>70</v>
      </c>
      <c r="K956">
        <f t="shared" si="152"/>
        <v>350</v>
      </c>
      <c r="L956" s="39">
        <f t="shared" si="153"/>
        <v>431.02651207251955</v>
      </c>
      <c r="M956">
        <f t="shared" si="154"/>
        <v>335.31337508538434</v>
      </c>
      <c r="N956">
        <f t="shared" si="155"/>
        <v>50585.134080011187</v>
      </c>
      <c r="O956" s="39">
        <f t="shared" si="156"/>
        <v>66127.891481668514</v>
      </c>
      <c r="S956">
        <f t="shared" si="157"/>
        <v>0</v>
      </c>
      <c r="T956">
        <f t="shared" si="158"/>
        <v>1</v>
      </c>
      <c r="U956">
        <f t="shared" si="159"/>
        <v>0</v>
      </c>
      <c r="V956">
        <f t="shared" si="160"/>
        <v>0</v>
      </c>
      <c r="W956">
        <f t="shared" si="161"/>
        <v>0</v>
      </c>
      <c r="Y956" t="str">
        <f t="shared" si="162"/>
        <v/>
      </c>
    </row>
    <row r="957" spans="8:25">
      <c r="H957">
        <v>725</v>
      </c>
      <c r="I957" s="18">
        <v>50</v>
      </c>
      <c r="J957">
        <v>22</v>
      </c>
      <c r="K957">
        <f t="shared" si="152"/>
        <v>110</v>
      </c>
      <c r="L957" s="39">
        <f t="shared" si="153"/>
        <v>431.96898986859651</v>
      </c>
      <c r="M957">
        <f t="shared" si="154"/>
        <v>455.31337508538434</v>
      </c>
      <c r="N957">
        <f t="shared" si="155"/>
        <v>68838.440548253217</v>
      </c>
      <c r="O957" s="39">
        <f t="shared" si="156"/>
        <v>84381.197949910551</v>
      </c>
      <c r="S957">
        <f t="shared" si="157"/>
        <v>0</v>
      </c>
      <c r="T957">
        <f t="shared" si="158"/>
        <v>1</v>
      </c>
      <c r="U957">
        <f t="shared" si="159"/>
        <v>0</v>
      </c>
      <c r="V957">
        <f t="shared" si="160"/>
        <v>0</v>
      </c>
      <c r="W957">
        <f t="shared" si="161"/>
        <v>1</v>
      </c>
      <c r="Y957" t="str">
        <f t="shared" si="162"/>
        <v/>
      </c>
    </row>
    <row r="958" spans="8:25">
      <c r="H958">
        <v>726</v>
      </c>
      <c r="I958" s="18">
        <v>25</v>
      </c>
      <c r="J958">
        <v>88</v>
      </c>
      <c r="K958">
        <f t="shared" si="152"/>
        <v>440</v>
      </c>
      <c r="L958" s="39">
        <f t="shared" si="153"/>
        <v>431.96898986859651</v>
      </c>
      <c r="M958">
        <f t="shared" si="154"/>
        <v>290.31337508538434</v>
      </c>
      <c r="N958">
        <f t="shared" si="155"/>
        <v>43892.231383341757</v>
      </c>
      <c r="O958" s="39">
        <f t="shared" si="156"/>
        <v>59434.988784999092</v>
      </c>
      <c r="S958">
        <f t="shared" si="157"/>
        <v>0</v>
      </c>
      <c r="T958">
        <f t="shared" si="158"/>
        <v>1</v>
      </c>
      <c r="U958">
        <f t="shared" si="159"/>
        <v>1</v>
      </c>
      <c r="V958">
        <f t="shared" si="160"/>
        <v>0</v>
      </c>
      <c r="W958">
        <f t="shared" si="161"/>
        <v>0</v>
      </c>
      <c r="Y958" t="str">
        <f t="shared" si="162"/>
        <v/>
      </c>
    </row>
    <row r="959" spans="8:25">
      <c r="H959">
        <v>727</v>
      </c>
      <c r="I959" s="18">
        <v>24</v>
      </c>
      <c r="J959">
        <v>96</v>
      </c>
      <c r="K959">
        <f t="shared" si="152"/>
        <v>480</v>
      </c>
      <c r="L959" s="39">
        <f t="shared" si="153"/>
        <v>434.29376843225299</v>
      </c>
      <c r="M959">
        <f t="shared" si="154"/>
        <v>270.31337508538434</v>
      </c>
      <c r="N959">
        <f t="shared" si="155"/>
        <v>41088.395013215428</v>
      </c>
      <c r="O959" s="39">
        <f t="shared" si="156"/>
        <v>56631.152414872762</v>
      </c>
      <c r="S959">
        <f t="shared" si="157"/>
        <v>0</v>
      </c>
      <c r="T959">
        <f t="shared" si="158"/>
        <v>1</v>
      </c>
      <c r="U959">
        <f t="shared" si="159"/>
        <v>1</v>
      </c>
      <c r="V959">
        <f t="shared" si="160"/>
        <v>0</v>
      </c>
      <c r="W959">
        <f t="shared" si="161"/>
        <v>0</v>
      </c>
      <c r="Y959" t="str">
        <f t="shared" si="162"/>
        <v/>
      </c>
    </row>
    <row r="960" spans="8:25">
      <c r="H960">
        <v>728</v>
      </c>
      <c r="I960" s="18">
        <v>32</v>
      </c>
      <c r="J960">
        <v>54</v>
      </c>
      <c r="K960">
        <f t="shared" si="152"/>
        <v>270</v>
      </c>
      <c r="L960" s="39">
        <f t="shared" si="153"/>
        <v>434.29376843225305</v>
      </c>
      <c r="M960">
        <f t="shared" si="154"/>
        <v>375.31337508538434</v>
      </c>
      <c r="N960">
        <f t="shared" si="155"/>
        <v>57048.691003100728</v>
      </c>
      <c r="O960" s="39">
        <f t="shared" si="156"/>
        <v>72591.448404758063</v>
      </c>
      <c r="S960">
        <f t="shared" si="157"/>
        <v>0</v>
      </c>
      <c r="T960">
        <f t="shared" si="158"/>
        <v>1</v>
      </c>
      <c r="U960">
        <f t="shared" si="159"/>
        <v>0</v>
      </c>
      <c r="V960">
        <f t="shared" si="160"/>
        <v>0</v>
      </c>
      <c r="W960">
        <f t="shared" si="161"/>
        <v>1</v>
      </c>
      <c r="Y960" t="str">
        <f t="shared" si="162"/>
        <v/>
      </c>
    </row>
    <row r="961" spans="8:25">
      <c r="H961">
        <v>729</v>
      </c>
      <c r="I961" s="18">
        <v>26</v>
      </c>
      <c r="J961">
        <v>82</v>
      </c>
      <c r="K961">
        <f t="shared" si="152"/>
        <v>410</v>
      </c>
      <c r="L961" s="39">
        <f t="shared" si="153"/>
        <v>435.36190993447354</v>
      </c>
      <c r="M961">
        <f t="shared" si="154"/>
        <v>305.31337508538434</v>
      </c>
      <c r="N961">
        <f t="shared" si="155"/>
        <v>46522.634936999631</v>
      </c>
      <c r="O961" s="39">
        <f t="shared" si="156"/>
        <v>62065.392338656966</v>
      </c>
      <c r="S961">
        <f t="shared" si="157"/>
        <v>0</v>
      </c>
      <c r="T961">
        <f t="shared" si="158"/>
        <v>1</v>
      </c>
      <c r="U961">
        <f t="shared" si="159"/>
        <v>0</v>
      </c>
      <c r="V961">
        <f t="shared" si="160"/>
        <v>0</v>
      </c>
      <c r="W961">
        <f t="shared" si="161"/>
        <v>0</v>
      </c>
      <c r="Y961" t="str">
        <f t="shared" si="162"/>
        <v/>
      </c>
    </row>
    <row r="962" spans="8:25">
      <c r="H962">
        <v>730</v>
      </c>
      <c r="I962" s="18">
        <v>34</v>
      </c>
      <c r="J962">
        <v>48</v>
      </c>
      <c r="K962">
        <f t="shared" si="152"/>
        <v>240</v>
      </c>
      <c r="L962" s="39">
        <f t="shared" si="153"/>
        <v>435.80173290597605</v>
      </c>
      <c r="M962">
        <f t="shared" si="154"/>
        <v>390.31337508538434</v>
      </c>
      <c r="N962">
        <f t="shared" si="155"/>
        <v>59534.735833506755</v>
      </c>
      <c r="O962" s="39">
        <f t="shared" si="156"/>
        <v>75077.493235164089</v>
      </c>
      <c r="S962">
        <f t="shared" si="157"/>
        <v>0</v>
      </c>
      <c r="T962">
        <f t="shared" si="158"/>
        <v>1</v>
      </c>
      <c r="U962">
        <f t="shared" si="159"/>
        <v>0</v>
      </c>
      <c r="V962">
        <f t="shared" si="160"/>
        <v>0</v>
      </c>
      <c r="W962">
        <f t="shared" si="161"/>
        <v>1</v>
      </c>
      <c r="Y962" t="str">
        <f t="shared" si="162"/>
        <v/>
      </c>
    </row>
    <row r="963" spans="8:25">
      <c r="H963">
        <v>731</v>
      </c>
      <c r="I963" s="18">
        <v>30</v>
      </c>
      <c r="J963">
        <v>62</v>
      </c>
      <c r="K963">
        <f t="shared" si="152"/>
        <v>310</v>
      </c>
      <c r="L963" s="39">
        <f t="shared" si="153"/>
        <v>438.25217517577613</v>
      </c>
      <c r="M963">
        <f t="shared" si="154"/>
        <v>355.31337508538434</v>
      </c>
      <c r="N963">
        <f t="shared" si="155"/>
        <v>54500.900825075638</v>
      </c>
      <c r="O963" s="39">
        <f t="shared" si="156"/>
        <v>70043.65822673298</v>
      </c>
      <c r="S963">
        <f t="shared" si="157"/>
        <v>0</v>
      </c>
      <c r="T963">
        <f t="shared" si="158"/>
        <v>1</v>
      </c>
      <c r="U963">
        <f t="shared" si="159"/>
        <v>0</v>
      </c>
      <c r="V963">
        <f t="shared" si="160"/>
        <v>0</v>
      </c>
      <c r="W963">
        <f t="shared" si="161"/>
        <v>0</v>
      </c>
      <c r="Y963" t="str">
        <f t="shared" si="162"/>
        <v/>
      </c>
    </row>
    <row r="964" spans="8:25">
      <c r="H964">
        <v>732</v>
      </c>
      <c r="I964" s="18">
        <v>25</v>
      </c>
      <c r="J964">
        <v>90</v>
      </c>
      <c r="K964">
        <f t="shared" si="152"/>
        <v>450</v>
      </c>
      <c r="L964" s="39">
        <f t="shared" si="153"/>
        <v>441.78646691106468</v>
      </c>
      <c r="M964">
        <f t="shared" si="154"/>
        <v>285.31337508538434</v>
      </c>
      <c r="N964">
        <f t="shared" si="155"/>
        <v>44116.655779505163</v>
      </c>
      <c r="O964" s="39">
        <f t="shared" si="156"/>
        <v>59659.413181162497</v>
      </c>
      <c r="S964">
        <f t="shared" si="157"/>
        <v>0</v>
      </c>
      <c r="T964">
        <f t="shared" si="158"/>
        <v>1</v>
      </c>
      <c r="U964">
        <f t="shared" si="159"/>
        <v>1</v>
      </c>
      <c r="V964">
        <f t="shared" si="160"/>
        <v>0</v>
      </c>
      <c r="W964">
        <f t="shared" si="161"/>
        <v>0</v>
      </c>
      <c r="Y964" t="str">
        <f t="shared" si="162"/>
        <v/>
      </c>
    </row>
    <row r="965" spans="8:25">
      <c r="H965">
        <v>733</v>
      </c>
      <c r="I965" s="18">
        <v>28</v>
      </c>
      <c r="J965">
        <v>72</v>
      </c>
      <c r="K965">
        <f t="shared" si="152"/>
        <v>360</v>
      </c>
      <c r="L965" s="39">
        <f t="shared" si="153"/>
        <v>443.34155527459154</v>
      </c>
      <c r="M965">
        <f t="shared" si="154"/>
        <v>330.31337508538434</v>
      </c>
      <c r="N965">
        <f t="shared" si="155"/>
        <v>51254.575903423836</v>
      </c>
      <c r="O965" s="39">
        <f t="shared" si="156"/>
        <v>66797.333305081178</v>
      </c>
      <c r="S965">
        <f t="shared" si="157"/>
        <v>0</v>
      </c>
      <c r="T965">
        <f t="shared" si="158"/>
        <v>1</v>
      </c>
      <c r="U965">
        <f t="shared" si="159"/>
        <v>0</v>
      </c>
      <c r="V965">
        <f t="shared" si="160"/>
        <v>0</v>
      </c>
      <c r="W965">
        <f t="shared" si="161"/>
        <v>0</v>
      </c>
      <c r="Y965" t="str">
        <f t="shared" si="162"/>
        <v/>
      </c>
    </row>
    <row r="966" spans="8:25">
      <c r="H966">
        <v>734</v>
      </c>
      <c r="I966" s="18">
        <v>24</v>
      </c>
      <c r="J966">
        <v>98</v>
      </c>
      <c r="K966">
        <f t="shared" si="152"/>
        <v>490</v>
      </c>
      <c r="L966" s="39">
        <f t="shared" si="153"/>
        <v>443.34155527459154</v>
      </c>
      <c r="M966">
        <f t="shared" si="154"/>
        <v>265.31337508538434</v>
      </c>
      <c r="N966">
        <f t="shared" si="155"/>
        <v>41168.555520926879</v>
      </c>
      <c r="O966" s="39">
        <f t="shared" si="156"/>
        <v>56711.312922584213</v>
      </c>
      <c r="S966">
        <f t="shared" si="157"/>
        <v>0</v>
      </c>
      <c r="T966">
        <f t="shared" si="158"/>
        <v>1</v>
      </c>
      <c r="U966">
        <f t="shared" si="159"/>
        <v>1</v>
      </c>
      <c r="V966">
        <f t="shared" si="160"/>
        <v>0</v>
      </c>
      <c r="W966">
        <f t="shared" si="161"/>
        <v>0</v>
      </c>
      <c r="Y966" t="str">
        <f t="shared" si="162"/>
        <v/>
      </c>
    </row>
    <row r="967" spans="8:25">
      <c r="H967">
        <v>735</v>
      </c>
      <c r="I967" s="18">
        <v>45</v>
      </c>
      <c r="J967">
        <v>28</v>
      </c>
      <c r="K967">
        <f t="shared" si="152"/>
        <v>140</v>
      </c>
      <c r="L967" s="39">
        <f t="shared" si="153"/>
        <v>445.32075864635317</v>
      </c>
      <c r="M967">
        <f t="shared" si="154"/>
        <v>440.31337508538434</v>
      </c>
      <c r="N967">
        <f t="shared" si="155"/>
        <v>68628.240182305861</v>
      </c>
      <c r="O967" s="39">
        <f t="shared" si="156"/>
        <v>84170.997583963195</v>
      </c>
      <c r="S967">
        <f t="shared" si="157"/>
        <v>0</v>
      </c>
      <c r="T967">
        <f t="shared" si="158"/>
        <v>1</v>
      </c>
      <c r="U967">
        <f t="shared" si="159"/>
        <v>0</v>
      </c>
      <c r="V967">
        <f t="shared" si="160"/>
        <v>0</v>
      </c>
      <c r="W967">
        <f t="shared" si="161"/>
        <v>1</v>
      </c>
      <c r="Y967" t="str">
        <f t="shared" si="162"/>
        <v/>
      </c>
    </row>
    <row r="968" spans="8:25">
      <c r="H968">
        <v>736</v>
      </c>
      <c r="I968" s="18">
        <v>26</v>
      </c>
      <c r="J968">
        <v>84</v>
      </c>
      <c r="K968">
        <f t="shared" si="152"/>
        <v>420</v>
      </c>
      <c r="L968" s="39">
        <f t="shared" si="153"/>
        <v>445.9804931036071</v>
      </c>
      <c r="M968">
        <f t="shared" si="154"/>
        <v>300.31337508538434</v>
      </c>
      <c r="N968">
        <f t="shared" si="155"/>
        <v>46876.867487165873</v>
      </c>
      <c r="O968" s="39">
        <f t="shared" si="156"/>
        <v>62419.624888823208</v>
      </c>
      <c r="S968">
        <f t="shared" si="157"/>
        <v>0</v>
      </c>
      <c r="T968">
        <f t="shared" si="158"/>
        <v>1</v>
      </c>
      <c r="U968">
        <f t="shared" si="159"/>
        <v>0</v>
      </c>
      <c r="V968">
        <f t="shared" si="160"/>
        <v>0</v>
      </c>
      <c r="W968">
        <f t="shared" si="161"/>
        <v>0</v>
      </c>
      <c r="Y968" t="str">
        <f t="shared" si="162"/>
        <v/>
      </c>
    </row>
    <row r="969" spans="8:25">
      <c r="H969">
        <v>737</v>
      </c>
      <c r="I969" s="18">
        <v>36</v>
      </c>
      <c r="J969">
        <v>44</v>
      </c>
      <c r="K969">
        <f t="shared" si="152"/>
        <v>220</v>
      </c>
      <c r="L969" s="39">
        <f t="shared" si="153"/>
        <v>447.8654486957609</v>
      </c>
      <c r="M969">
        <f t="shared" si="154"/>
        <v>400.31337508538434</v>
      </c>
      <c r="N969">
        <f t="shared" si="155"/>
        <v>62750.285273035537</v>
      </c>
      <c r="O969" s="39">
        <f t="shared" si="156"/>
        <v>78293.042674692872</v>
      </c>
      <c r="S969">
        <f t="shared" si="157"/>
        <v>0</v>
      </c>
      <c r="T969">
        <f t="shared" si="158"/>
        <v>1</v>
      </c>
      <c r="U969">
        <f t="shared" si="159"/>
        <v>0</v>
      </c>
      <c r="V969">
        <f t="shared" si="160"/>
        <v>0</v>
      </c>
      <c r="W969">
        <f t="shared" si="161"/>
        <v>1</v>
      </c>
      <c r="Y969" t="str">
        <f t="shared" si="162"/>
        <v/>
      </c>
    </row>
    <row r="970" spans="8:25">
      <c r="H970">
        <v>738</v>
      </c>
      <c r="I970" s="18">
        <v>32</v>
      </c>
      <c r="J970">
        <v>56</v>
      </c>
      <c r="K970">
        <f t="shared" si="152"/>
        <v>280</v>
      </c>
      <c r="L970" s="39">
        <f t="shared" si="153"/>
        <v>450.37872281863281</v>
      </c>
      <c r="M970">
        <f t="shared" si="154"/>
        <v>370.31337508538434</v>
      </c>
      <c r="N970">
        <f t="shared" si="155"/>
        <v>58373.442719764447</v>
      </c>
      <c r="O970" s="39">
        <f t="shared" si="156"/>
        <v>73916.200121421774</v>
      </c>
      <c r="S970">
        <f t="shared" si="157"/>
        <v>0</v>
      </c>
      <c r="T970">
        <f t="shared" si="158"/>
        <v>1</v>
      </c>
      <c r="U970">
        <f t="shared" si="159"/>
        <v>0</v>
      </c>
      <c r="V970">
        <f t="shared" si="160"/>
        <v>0</v>
      </c>
      <c r="W970">
        <f t="shared" si="161"/>
        <v>1</v>
      </c>
      <c r="Y970" t="str">
        <f t="shared" si="162"/>
        <v/>
      </c>
    </row>
    <row r="971" spans="8:25">
      <c r="H971">
        <v>739</v>
      </c>
      <c r="I971" s="18">
        <v>25</v>
      </c>
      <c r="J971">
        <v>92</v>
      </c>
      <c r="K971">
        <f t="shared" si="152"/>
        <v>460</v>
      </c>
      <c r="L971" s="39">
        <f t="shared" si="153"/>
        <v>451.60394395353273</v>
      </c>
      <c r="M971">
        <f t="shared" si="154"/>
        <v>280.31337508538434</v>
      </c>
      <c r="N971">
        <f t="shared" si="155"/>
        <v>44306.719006019928</v>
      </c>
      <c r="O971" s="39">
        <f t="shared" si="156"/>
        <v>59849.476407677263</v>
      </c>
      <c r="S971">
        <f t="shared" si="157"/>
        <v>0</v>
      </c>
      <c r="T971">
        <f t="shared" si="158"/>
        <v>1</v>
      </c>
      <c r="U971">
        <f t="shared" si="159"/>
        <v>1</v>
      </c>
      <c r="V971">
        <f t="shared" si="160"/>
        <v>0</v>
      </c>
      <c r="W971">
        <f t="shared" si="161"/>
        <v>0</v>
      </c>
      <c r="Y971" t="str">
        <f t="shared" si="162"/>
        <v/>
      </c>
    </row>
    <row r="972" spans="8:25">
      <c r="H972">
        <v>740</v>
      </c>
      <c r="I972" s="18">
        <v>40</v>
      </c>
      <c r="J972">
        <v>36</v>
      </c>
      <c r="K972">
        <f t="shared" si="152"/>
        <v>180</v>
      </c>
      <c r="L972" s="39">
        <f t="shared" si="153"/>
        <v>452.38934211693021</v>
      </c>
      <c r="M972">
        <f t="shared" si="154"/>
        <v>420.31337508538434</v>
      </c>
      <c r="N972">
        <f t="shared" si="155"/>
        <v>66550.851933238242</v>
      </c>
      <c r="O972" s="39">
        <f t="shared" si="156"/>
        <v>82093.609334895576</v>
      </c>
      <c r="S972">
        <f t="shared" si="157"/>
        <v>0</v>
      </c>
      <c r="T972">
        <f t="shared" si="158"/>
        <v>1</v>
      </c>
      <c r="U972">
        <f t="shared" si="159"/>
        <v>0</v>
      </c>
      <c r="V972">
        <f t="shared" si="160"/>
        <v>0</v>
      </c>
      <c r="W972">
        <f t="shared" si="161"/>
        <v>1</v>
      </c>
      <c r="Y972" t="str">
        <f t="shared" si="162"/>
        <v/>
      </c>
    </row>
    <row r="973" spans="8:25">
      <c r="H973">
        <v>741</v>
      </c>
      <c r="I973" s="18">
        <v>30</v>
      </c>
      <c r="J973">
        <v>64</v>
      </c>
      <c r="K973">
        <f t="shared" si="152"/>
        <v>320</v>
      </c>
      <c r="L973" s="39">
        <f t="shared" si="153"/>
        <v>452.38934211693021</v>
      </c>
      <c r="M973">
        <f t="shared" si="154"/>
        <v>350.31337508538434</v>
      </c>
      <c r="N973">
        <f t="shared" si="155"/>
        <v>55467.31305137345</v>
      </c>
      <c r="O973" s="39">
        <f t="shared" si="156"/>
        <v>71010.070453030785</v>
      </c>
      <c r="S973">
        <f t="shared" si="157"/>
        <v>0</v>
      </c>
      <c r="T973">
        <f t="shared" si="158"/>
        <v>1</v>
      </c>
      <c r="U973">
        <f t="shared" si="159"/>
        <v>0</v>
      </c>
      <c r="V973">
        <f t="shared" si="160"/>
        <v>0</v>
      </c>
      <c r="W973">
        <f t="shared" si="161"/>
        <v>0</v>
      </c>
      <c r="Y973" t="str">
        <f t="shared" si="162"/>
        <v/>
      </c>
    </row>
    <row r="974" spans="8:25">
      <c r="H974">
        <v>742</v>
      </c>
      <c r="I974" s="18">
        <v>24</v>
      </c>
      <c r="J974">
        <v>100</v>
      </c>
      <c r="K974">
        <f t="shared" si="152"/>
        <v>500</v>
      </c>
      <c r="L974" s="39">
        <f t="shared" si="153"/>
        <v>452.38934211693021</v>
      </c>
      <c r="M974">
        <f t="shared" si="154"/>
        <v>260.31337508538434</v>
      </c>
      <c r="N974">
        <f t="shared" si="155"/>
        <v>41217.048774690149</v>
      </c>
      <c r="O974" s="39">
        <f t="shared" si="156"/>
        <v>56759.806176347483</v>
      </c>
      <c r="S974">
        <f t="shared" si="157"/>
        <v>0</v>
      </c>
      <c r="T974">
        <f t="shared" si="158"/>
        <v>1</v>
      </c>
      <c r="U974">
        <f t="shared" si="159"/>
        <v>1</v>
      </c>
      <c r="V974">
        <f t="shared" si="160"/>
        <v>0</v>
      </c>
      <c r="W974">
        <f t="shared" si="161"/>
        <v>0</v>
      </c>
      <c r="Y974" t="str">
        <f t="shared" si="162"/>
        <v/>
      </c>
    </row>
    <row r="975" spans="8:25">
      <c r="H975">
        <v>743</v>
      </c>
      <c r="I975" s="18">
        <v>38</v>
      </c>
      <c r="J975">
        <v>40</v>
      </c>
      <c r="K975">
        <f t="shared" si="152"/>
        <v>200</v>
      </c>
      <c r="L975" s="39">
        <f t="shared" si="153"/>
        <v>453.64597917836613</v>
      </c>
      <c r="M975">
        <f t="shared" si="154"/>
        <v>410.31337508538434</v>
      </c>
      <c r="N975">
        <f t="shared" si="155"/>
        <v>65147.9544837063</v>
      </c>
      <c r="O975" s="39">
        <f t="shared" si="156"/>
        <v>80690.711885363635</v>
      </c>
      <c r="S975">
        <f t="shared" si="157"/>
        <v>0</v>
      </c>
      <c r="T975">
        <f t="shared" si="158"/>
        <v>1</v>
      </c>
      <c r="U975">
        <f t="shared" si="159"/>
        <v>0</v>
      </c>
      <c r="V975">
        <f t="shared" si="160"/>
        <v>0</v>
      </c>
      <c r="W975">
        <f t="shared" si="161"/>
        <v>1</v>
      </c>
      <c r="Y975" t="str">
        <f t="shared" si="162"/>
        <v/>
      </c>
    </row>
    <row r="976" spans="8:25">
      <c r="H976">
        <v>744</v>
      </c>
      <c r="I976" s="18">
        <v>34</v>
      </c>
      <c r="J976">
        <v>50</v>
      </c>
      <c r="K976">
        <f t="shared" si="152"/>
        <v>250</v>
      </c>
      <c r="L976" s="39">
        <f t="shared" si="153"/>
        <v>453.9601384437251</v>
      </c>
      <c r="M976">
        <f t="shared" si="154"/>
        <v>385.31337508538434</v>
      </c>
      <c r="N976">
        <f t="shared" si="155"/>
        <v>61220.919584293028</v>
      </c>
      <c r="O976" s="39">
        <f t="shared" si="156"/>
        <v>76763.676985950355</v>
      </c>
      <c r="S976">
        <f t="shared" si="157"/>
        <v>0</v>
      </c>
      <c r="T976">
        <f t="shared" si="158"/>
        <v>1</v>
      </c>
      <c r="U976">
        <f t="shared" si="159"/>
        <v>0</v>
      </c>
      <c r="V976">
        <f t="shared" si="160"/>
        <v>0</v>
      </c>
      <c r="W976">
        <f t="shared" si="161"/>
        <v>1</v>
      </c>
      <c r="Y976" t="str">
        <f t="shared" si="162"/>
        <v/>
      </c>
    </row>
    <row r="977" spans="8:25">
      <c r="H977">
        <v>745</v>
      </c>
      <c r="I977" s="18">
        <v>28</v>
      </c>
      <c r="J977">
        <v>74</v>
      </c>
      <c r="K977">
        <f t="shared" si="152"/>
        <v>370</v>
      </c>
      <c r="L977" s="39">
        <f t="shared" si="153"/>
        <v>455.65659847666353</v>
      </c>
      <c r="M977">
        <f t="shared" si="154"/>
        <v>325.31337508538434</v>
      </c>
      <c r="N977">
        <f t="shared" si="155"/>
        <v>51880.915075629222</v>
      </c>
      <c r="O977" s="39">
        <f t="shared" si="156"/>
        <v>67423.672477286556</v>
      </c>
      <c r="S977">
        <f t="shared" si="157"/>
        <v>0</v>
      </c>
      <c r="T977">
        <f t="shared" si="158"/>
        <v>1</v>
      </c>
      <c r="U977">
        <f t="shared" si="159"/>
        <v>0</v>
      </c>
      <c r="V977">
        <f t="shared" si="160"/>
        <v>0</v>
      </c>
      <c r="W977">
        <f t="shared" si="161"/>
        <v>0</v>
      </c>
      <c r="Y977" t="str">
        <f t="shared" si="162"/>
        <v/>
      </c>
    </row>
    <row r="978" spans="8:25">
      <c r="H978">
        <v>746</v>
      </c>
      <c r="I978" s="18">
        <v>26</v>
      </c>
      <c r="J978">
        <v>86</v>
      </c>
      <c r="K978">
        <f t="shared" si="152"/>
        <v>430</v>
      </c>
      <c r="L978" s="39">
        <f t="shared" si="153"/>
        <v>456.59907627274055</v>
      </c>
      <c r="M978">
        <f t="shared" si="154"/>
        <v>295.31337508538434</v>
      </c>
      <c r="N978">
        <f t="shared" si="155"/>
        <v>47193.934996240147</v>
      </c>
      <c r="O978" s="39">
        <f t="shared" si="156"/>
        <v>62736.692397897481</v>
      </c>
      <c r="S978">
        <f t="shared" si="157"/>
        <v>0</v>
      </c>
      <c r="T978">
        <f t="shared" si="158"/>
        <v>1</v>
      </c>
      <c r="U978">
        <f t="shared" si="159"/>
        <v>0</v>
      </c>
      <c r="V978">
        <f t="shared" si="160"/>
        <v>0</v>
      </c>
      <c r="W978">
        <f t="shared" si="161"/>
        <v>0</v>
      </c>
      <c r="Y978" t="str">
        <f t="shared" si="162"/>
        <v/>
      </c>
    </row>
    <row r="979" spans="8:25">
      <c r="H979">
        <v>747</v>
      </c>
      <c r="I979" s="18">
        <v>25</v>
      </c>
      <c r="J979">
        <v>94</v>
      </c>
      <c r="K979">
        <f t="shared" si="152"/>
        <v>470</v>
      </c>
      <c r="L979" s="39">
        <f t="shared" si="153"/>
        <v>461.4214209960009</v>
      </c>
      <c r="M979">
        <f t="shared" si="154"/>
        <v>275.31337508538434</v>
      </c>
      <c r="N979">
        <f t="shared" si="155"/>
        <v>44462.421062886067</v>
      </c>
      <c r="O979" s="39">
        <f t="shared" si="156"/>
        <v>60005.178464543402</v>
      </c>
      <c r="S979">
        <f t="shared" si="157"/>
        <v>0</v>
      </c>
      <c r="T979">
        <f t="shared" si="158"/>
        <v>1</v>
      </c>
      <c r="U979">
        <f t="shared" si="159"/>
        <v>1</v>
      </c>
      <c r="V979">
        <f t="shared" si="160"/>
        <v>0</v>
      </c>
      <c r="W979">
        <f t="shared" si="161"/>
        <v>0</v>
      </c>
      <c r="Y979" t="str">
        <f t="shared" si="162"/>
        <v/>
      </c>
    </row>
    <row r="980" spans="8:25">
      <c r="H980">
        <v>748</v>
      </c>
      <c r="I980" s="18">
        <v>32</v>
      </c>
      <c r="J980">
        <v>58</v>
      </c>
      <c r="K980">
        <f t="shared" si="152"/>
        <v>290</v>
      </c>
      <c r="L980" s="39">
        <f t="shared" si="153"/>
        <v>466.46367720501257</v>
      </c>
      <c r="M980">
        <f t="shared" si="154"/>
        <v>365.31337508538434</v>
      </c>
      <c r="N980">
        <f t="shared" si="155"/>
        <v>59641.897096075838</v>
      </c>
      <c r="O980" s="39">
        <f t="shared" si="156"/>
        <v>75184.654497733165</v>
      </c>
      <c r="S980">
        <f t="shared" si="157"/>
        <v>0</v>
      </c>
      <c r="T980">
        <f t="shared" si="158"/>
        <v>1</v>
      </c>
      <c r="U980">
        <f t="shared" si="159"/>
        <v>0</v>
      </c>
      <c r="V980">
        <f t="shared" si="160"/>
        <v>0</v>
      </c>
      <c r="W980">
        <f t="shared" si="161"/>
        <v>1</v>
      </c>
      <c r="Y980" t="str">
        <f t="shared" si="162"/>
        <v/>
      </c>
    </row>
    <row r="981" spans="8:25">
      <c r="H981">
        <v>749</v>
      </c>
      <c r="I981" s="18">
        <v>30</v>
      </c>
      <c r="J981">
        <v>66</v>
      </c>
      <c r="K981">
        <f t="shared" si="152"/>
        <v>330</v>
      </c>
      <c r="L981" s="39">
        <f t="shared" si="153"/>
        <v>466.52650905808429</v>
      </c>
      <c r="M981">
        <f t="shared" si="154"/>
        <v>345.31337508538434</v>
      </c>
      <c r="N981">
        <f t="shared" si="155"/>
        <v>56384.245193377217</v>
      </c>
      <c r="O981" s="39">
        <f t="shared" si="156"/>
        <v>71927.002595034544</v>
      </c>
      <c r="S981">
        <f t="shared" si="157"/>
        <v>0</v>
      </c>
      <c r="T981">
        <f t="shared" si="158"/>
        <v>1</v>
      </c>
      <c r="U981">
        <f t="shared" si="159"/>
        <v>0</v>
      </c>
      <c r="V981">
        <f t="shared" si="160"/>
        <v>0</v>
      </c>
      <c r="W981">
        <f t="shared" si="161"/>
        <v>0</v>
      </c>
      <c r="Y981" t="str">
        <f t="shared" si="162"/>
        <v/>
      </c>
    </row>
    <row r="982" spans="8:25">
      <c r="H982">
        <v>750</v>
      </c>
      <c r="I982" s="18">
        <v>26</v>
      </c>
      <c r="J982">
        <v>88</v>
      </c>
      <c r="K982">
        <f t="shared" si="152"/>
        <v>440</v>
      </c>
      <c r="L982" s="39">
        <f t="shared" si="153"/>
        <v>467.21765944187405</v>
      </c>
      <c r="M982">
        <f t="shared" si="154"/>
        <v>290.31337508538434</v>
      </c>
      <c r="N982">
        <f t="shared" si="155"/>
        <v>47473.837464222444</v>
      </c>
      <c r="O982" s="39">
        <f t="shared" si="156"/>
        <v>63016.594865879779</v>
      </c>
      <c r="S982">
        <f t="shared" si="157"/>
        <v>0</v>
      </c>
      <c r="T982">
        <f t="shared" si="158"/>
        <v>1</v>
      </c>
      <c r="U982">
        <f t="shared" si="159"/>
        <v>0</v>
      </c>
      <c r="V982">
        <f t="shared" si="160"/>
        <v>0</v>
      </c>
      <c r="W982">
        <f t="shared" si="161"/>
        <v>0</v>
      </c>
      <c r="Y982" t="str">
        <f t="shared" si="162"/>
        <v/>
      </c>
    </row>
    <row r="983" spans="8:25">
      <c r="H983">
        <v>751</v>
      </c>
      <c r="I983" s="18">
        <v>28</v>
      </c>
      <c r="J983">
        <v>76</v>
      </c>
      <c r="K983">
        <f t="shared" si="152"/>
        <v>380</v>
      </c>
      <c r="L983" s="39">
        <f t="shared" si="153"/>
        <v>467.97164167873547</v>
      </c>
      <c r="M983">
        <f t="shared" si="154"/>
        <v>320.31337508538434</v>
      </c>
      <c r="N983">
        <f t="shared" si="155"/>
        <v>52464.151596627358</v>
      </c>
      <c r="O983" s="39">
        <f t="shared" si="156"/>
        <v>68006.908998284693</v>
      </c>
      <c r="S983">
        <f t="shared" si="157"/>
        <v>0</v>
      </c>
      <c r="T983">
        <f t="shared" si="158"/>
        <v>1</v>
      </c>
      <c r="U983">
        <f t="shared" si="159"/>
        <v>0</v>
      </c>
      <c r="V983">
        <f t="shared" si="160"/>
        <v>0</v>
      </c>
      <c r="W983">
        <f t="shared" si="161"/>
        <v>0</v>
      </c>
      <c r="Y983" t="str">
        <f t="shared" si="162"/>
        <v/>
      </c>
    </row>
    <row r="984" spans="8:25">
      <c r="H984">
        <v>752</v>
      </c>
      <c r="I984" s="18">
        <v>36</v>
      </c>
      <c r="J984">
        <v>46</v>
      </c>
      <c r="K984">
        <f t="shared" si="152"/>
        <v>230</v>
      </c>
      <c r="L984" s="39">
        <f t="shared" si="153"/>
        <v>468.22296909102278</v>
      </c>
      <c r="M984">
        <f t="shared" si="154"/>
        <v>395.31337508538434</v>
      </c>
      <c r="N984">
        <f t="shared" si="155"/>
        <v>64783.180771355139</v>
      </c>
      <c r="O984" s="39">
        <f t="shared" si="156"/>
        <v>80325.938173012473</v>
      </c>
      <c r="S984">
        <f t="shared" si="157"/>
        <v>0</v>
      </c>
      <c r="T984">
        <f t="shared" si="158"/>
        <v>1</v>
      </c>
      <c r="U984">
        <f t="shared" si="159"/>
        <v>0</v>
      </c>
      <c r="V984">
        <f t="shared" si="160"/>
        <v>0</v>
      </c>
      <c r="W984">
        <f t="shared" si="161"/>
        <v>1</v>
      </c>
      <c r="Y984" t="str">
        <f t="shared" si="162"/>
        <v/>
      </c>
    </row>
    <row r="985" spans="8:25">
      <c r="H985">
        <v>753</v>
      </c>
      <c r="I985" s="18">
        <v>50</v>
      </c>
      <c r="J985">
        <v>24</v>
      </c>
      <c r="K985">
        <f t="shared" si="152"/>
        <v>120</v>
      </c>
      <c r="L985" s="39">
        <f t="shared" si="153"/>
        <v>471.23889803846896</v>
      </c>
      <c r="M985">
        <f t="shared" si="154"/>
        <v>450.31337508538434</v>
      </c>
      <c r="N985">
        <f t="shared" si="155"/>
        <v>74271.812526527094</v>
      </c>
      <c r="O985" s="39">
        <f t="shared" si="156"/>
        <v>89814.569928184428</v>
      </c>
      <c r="S985">
        <f t="shared" si="157"/>
        <v>0</v>
      </c>
      <c r="T985">
        <f t="shared" si="158"/>
        <v>1</v>
      </c>
      <c r="U985">
        <f t="shared" si="159"/>
        <v>0</v>
      </c>
      <c r="V985">
        <f t="shared" si="160"/>
        <v>0</v>
      </c>
      <c r="W985">
        <f t="shared" si="161"/>
        <v>1</v>
      </c>
      <c r="Y985" t="str">
        <f t="shared" si="162"/>
        <v/>
      </c>
    </row>
    <row r="986" spans="8:25">
      <c r="H986">
        <v>754</v>
      </c>
      <c r="I986" s="18">
        <v>25</v>
      </c>
      <c r="J986">
        <v>96</v>
      </c>
      <c r="K986">
        <f t="shared" si="152"/>
        <v>480</v>
      </c>
      <c r="L986" s="39">
        <f t="shared" si="153"/>
        <v>471.23889803846896</v>
      </c>
      <c r="M986">
        <f t="shared" si="154"/>
        <v>270.31337508538434</v>
      </c>
      <c r="N986">
        <f t="shared" si="155"/>
        <v>44583.761950103551</v>
      </c>
      <c r="O986" s="39">
        <f t="shared" si="156"/>
        <v>60126.519351760886</v>
      </c>
      <c r="S986">
        <f t="shared" si="157"/>
        <v>0</v>
      </c>
      <c r="T986">
        <f t="shared" si="158"/>
        <v>1</v>
      </c>
      <c r="U986">
        <f t="shared" si="159"/>
        <v>1</v>
      </c>
      <c r="V986">
        <f t="shared" si="160"/>
        <v>0</v>
      </c>
      <c r="W986">
        <f t="shared" si="161"/>
        <v>0</v>
      </c>
      <c r="Y986" t="str">
        <f t="shared" si="162"/>
        <v/>
      </c>
    </row>
    <row r="987" spans="8:25">
      <c r="H987">
        <v>755</v>
      </c>
      <c r="I987" s="18">
        <v>34</v>
      </c>
      <c r="J987">
        <v>52</v>
      </c>
      <c r="K987">
        <f t="shared" si="152"/>
        <v>260</v>
      </c>
      <c r="L987" s="39">
        <f t="shared" si="153"/>
        <v>472.11854398147409</v>
      </c>
      <c r="M987">
        <f t="shared" si="154"/>
        <v>380.31337508538434</v>
      </c>
      <c r="N987">
        <f t="shared" si="155"/>
        <v>62843.54891569716</v>
      </c>
      <c r="O987" s="39">
        <f t="shared" si="156"/>
        <v>78386.306317354494</v>
      </c>
      <c r="S987">
        <f t="shared" si="157"/>
        <v>0</v>
      </c>
      <c r="T987">
        <f t="shared" si="158"/>
        <v>1</v>
      </c>
      <c r="U987">
        <f t="shared" si="159"/>
        <v>0</v>
      </c>
      <c r="V987">
        <f t="shared" si="160"/>
        <v>0</v>
      </c>
      <c r="W987">
        <f t="shared" si="161"/>
        <v>1</v>
      </c>
      <c r="Y987" t="str">
        <f t="shared" si="162"/>
        <v/>
      </c>
    </row>
    <row r="988" spans="8:25">
      <c r="H988">
        <v>756</v>
      </c>
      <c r="I988" s="18">
        <v>38</v>
      </c>
      <c r="J988">
        <v>42</v>
      </c>
      <c r="K988">
        <f t="shared" si="152"/>
        <v>210</v>
      </c>
      <c r="L988" s="39">
        <f t="shared" si="153"/>
        <v>476.32827813728443</v>
      </c>
      <c r="M988">
        <f t="shared" si="154"/>
        <v>405.31337508538434</v>
      </c>
      <c r="N988">
        <f t="shared" si="155"/>
        <v>67571.77772115136</v>
      </c>
      <c r="O988" s="39">
        <f t="shared" si="156"/>
        <v>83114.535122808695</v>
      </c>
      <c r="S988">
        <f t="shared" si="157"/>
        <v>0</v>
      </c>
      <c r="T988">
        <f t="shared" si="158"/>
        <v>1</v>
      </c>
      <c r="U988">
        <f t="shared" si="159"/>
        <v>0</v>
      </c>
      <c r="V988">
        <f t="shared" si="160"/>
        <v>0</v>
      </c>
      <c r="W988">
        <f t="shared" si="161"/>
        <v>1</v>
      </c>
      <c r="Y988" t="str">
        <f t="shared" si="162"/>
        <v/>
      </c>
    </row>
    <row r="989" spans="8:25">
      <c r="H989">
        <v>757</v>
      </c>
      <c r="I989" s="18">
        <v>45</v>
      </c>
      <c r="J989">
        <v>30</v>
      </c>
      <c r="K989">
        <f t="shared" si="152"/>
        <v>150</v>
      </c>
      <c r="L989" s="39">
        <f t="shared" si="153"/>
        <v>477.12938426394982</v>
      </c>
      <c r="M989">
        <f t="shared" si="154"/>
        <v>435.31337508538434</v>
      </c>
      <c r="N989">
        <f t="shared" si="155"/>
        <v>72695.280915722935</v>
      </c>
      <c r="O989" s="39">
        <f t="shared" si="156"/>
        <v>88238.038317380269</v>
      </c>
      <c r="S989">
        <f t="shared" si="157"/>
        <v>0</v>
      </c>
      <c r="T989">
        <f t="shared" si="158"/>
        <v>1</v>
      </c>
      <c r="U989">
        <f t="shared" si="159"/>
        <v>0</v>
      </c>
      <c r="V989">
        <f t="shared" si="160"/>
        <v>0</v>
      </c>
      <c r="W989">
        <f t="shared" si="161"/>
        <v>1</v>
      </c>
      <c r="Y989" t="str">
        <f t="shared" si="162"/>
        <v/>
      </c>
    </row>
    <row r="990" spans="8:25">
      <c r="H990">
        <v>758</v>
      </c>
      <c r="I990" s="18">
        <v>40</v>
      </c>
      <c r="J990">
        <v>38</v>
      </c>
      <c r="K990">
        <f t="shared" si="152"/>
        <v>190</v>
      </c>
      <c r="L990" s="39">
        <f t="shared" si="153"/>
        <v>477.52208334564853</v>
      </c>
      <c r="M990">
        <f t="shared" si="154"/>
        <v>415.31337508538434</v>
      </c>
      <c r="N990">
        <f t="shared" si="155"/>
        <v>69412.45783922993</v>
      </c>
      <c r="O990" s="39">
        <f t="shared" si="156"/>
        <v>84955.215240887264</v>
      </c>
      <c r="S990">
        <f t="shared" si="157"/>
        <v>0</v>
      </c>
      <c r="T990">
        <f t="shared" si="158"/>
        <v>1</v>
      </c>
      <c r="U990">
        <f t="shared" si="159"/>
        <v>0</v>
      </c>
      <c r="V990">
        <f t="shared" si="160"/>
        <v>0</v>
      </c>
      <c r="W990">
        <f t="shared" si="161"/>
        <v>1</v>
      </c>
      <c r="Y990" t="str">
        <f t="shared" si="162"/>
        <v/>
      </c>
    </row>
    <row r="991" spans="8:25">
      <c r="H991">
        <v>759</v>
      </c>
      <c r="I991" s="18">
        <v>26</v>
      </c>
      <c r="J991">
        <v>90</v>
      </c>
      <c r="K991">
        <f t="shared" si="152"/>
        <v>450</v>
      </c>
      <c r="L991" s="39">
        <f t="shared" si="153"/>
        <v>477.83624261100761</v>
      </c>
      <c r="M991">
        <f t="shared" si="154"/>
        <v>285.31337508538434</v>
      </c>
      <c r="N991">
        <f t="shared" si="155"/>
        <v>47716.574891112788</v>
      </c>
      <c r="O991" s="39">
        <f t="shared" si="156"/>
        <v>63259.332292770123</v>
      </c>
      <c r="S991">
        <f t="shared" si="157"/>
        <v>0</v>
      </c>
      <c r="T991">
        <f t="shared" si="158"/>
        <v>1</v>
      </c>
      <c r="U991">
        <f t="shared" si="159"/>
        <v>0</v>
      </c>
      <c r="V991">
        <f t="shared" si="160"/>
        <v>0</v>
      </c>
      <c r="W991">
        <f t="shared" si="161"/>
        <v>0</v>
      </c>
      <c r="Y991" t="str">
        <f t="shared" si="162"/>
        <v/>
      </c>
    </row>
    <row r="992" spans="8:25">
      <c r="H992">
        <v>760</v>
      </c>
      <c r="I992" s="18">
        <v>28</v>
      </c>
      <c r="J992">
        <v>78</v>
      </c>
      <c r="K992">
        <f t="shared" si="152"/>
        <v>390</v>
      </c>
      <c r="L992" s="39">
        <f t="shared" si="153"/>
        <v>480.28668488080751</v>
      </c>
      <c r="M992">
        <f t="shared" si="154"/>
        <v>315.31337508538434</v>
      </c>
      <c r="N992">
        <f t="shared" si="155"/>
        <v>53004.285466418252</v>
      </c>
      <c r="O992" s="39">
        <f t="shared" si="156"/>
        <v>68547.042868075587</v>
      </c>
      <c r="S992">
        <f t="shared" si="157"/>
        <v>0</v>
      </c>
      <c r="T992">
        <f t="shared" si="158"/>
        <v>1</v>
      </c>
      <c r="U992">
        <f t="shared" si="159"/>
        <v>0</v>
      </c>
      <c r="V992">
        <f t="shared" si="160"/>
        <v>0</v>
      </c>
      <c r="W992">
        <f t="shared" si="161"/>
        <v>0</v>
      </c>
      <c r="Y992" t="str">
        <f t="shared" si="162"/>
        <v/>
      </c>
    </row>
    <row r="993" spans="8:25">
      <c r="H993">
        <v>761</v>
      </c>
      <c r="I993" s="18">
        <v>30</v>
      </c>
      <c r="J993">
        <v>68</v>
      </c>
      <c r="K993">
        <f t="shared" si="152"/>
        <v>340</v>
      </c>
      <c r="L993" s="39">
        <f t="shared" si="153"/>
        <v>480.66367599923836</v>
      </c>
      <c r="M993">
        <f t="shared" si="154"/>
        <v>340.31337508538434</v>
      </c>
      <c r="N993">
        <f t="shared" si="155"/>
        <v>57251.69725108696</v>
      </c>
      <c r="O993" s="39">
        <f t="shared" si="156"/>
        <v>72794.454652744287</v>
      </c>
      <c r="S993">
        <f t="shared" si="157"/>
        <v>0</v>
      </c>
      <c r="T993">
        <f t="shared" si="158"/>
        <v>1</v>
      </c>
      <c r="U993">
        <f t="shared" si="159"/>
        <v>0</v>
      </c>
      <c r="V993">
        <f t="shared" si="160"/>
        <v>0</v>
      </c>
      <c r="W993">
        <f t="shared" si="161"/>
        <v>0</v>
      </c>
      <c r="Y993" t="str">
        <f t="shared" si="162"/>
        <v/>
      </c>
    </row>
    <row r="994" spans="8:25">
      <c r="H994">
        <v>762</v>
      </c>
      <c r="I994" s="18">
        <v>25</v>
      </c>
      <c r="J994">
        <v>98</v>
      </c>
      <c r="K994">
        <f t="shared" si="152"/>
        <v>490</v>
      </c>
      <c r="L994" s="39">
        <f t="shared" si="153"/>
        <v>481.05637508093702</v>
      </c>
      <c r="M994">
        <f t="shared" si="154"/>
        <v>265.31337508538434</v>
      </c>
      <c r="N994">
        <f t="shared" si="155"/>
        <v>44670.741667672395</v>
      </c>
      <c r="O994" s="39">
        <f t="shared" si="156"/>
        <v>60213.49906932973</v>
      </c>
      <c r="S994">
        <f t="shared" si="157"/>
        <v>0</v>
      </c>
      <c r="T994">
        <f t="shared" si="158"/>
        <v>1</v>
      </c>
      <c r="U994">
        <f t="shared" si="159"/>
        <v>1</v>
      </c>
      <c r="V994">
        <f t="shared" si="160"/>
        <v>0</v>
      </c>
      <c r="W994">
        <f t="shared" si="161"/>
        <v>0</v>
      </c>
      <c r="Y994" t="str">
        <f t="shared" si="162"/>
        <v/>
      </c>
    </row>
    <row r="995" spans="8:25">
      <c r="H995">
        <v>763</v>
      </c>
      <c r="I995" s="18">
        <v>32</v>
      </c>
      <c r="J995">
        <v>60</v>
      </c>
      <c r="K995">
        <f t="shared" si="152"/>
        <v>300</v>
      </c>
      <c r="L995" s="39">
        <f t="shared" si="153"/>
        <v>482.54863159139228</v>
      </c>
      <c r="M995">
        <f t="shared" si="154"/>
        <v>360.31337508538434</v>
      </c>
      <c r="N995">
        <f t="shared" si="155"/>
        <v>60854.054132034893</v>
      </c>
      <c r="O995" s="39">
        <f t="shared" si="156"/>
        <v>76396.811533692235</v>
      </c>
      <c r="S995">
        <f t="shared" si="157"/>
        <v>0</v>
      </c>
      <c r="T995">
        <f t="shared" si="158"/>
        <v>1</v>
      </c>
      <c r="U995">
        <f t="shared" si="159"/>
        <v>0</v>
      </c>
      <c r="V995">
        <f t="shared" si="160"/>
        <v>0</v>
      </c>
      <c r="W995">
        <f t="shared" si="161"/>
        <v>1</v>
      </c>
      <c r="Y995" t="str">
        <f t="shared" si="162"/>
        <v/>
      </c>
    </row>
    <row r="996" spans="8:25">
      <c r="H996">
        <v>764</v>
      </c>
      <c r="I996" s="18">
        <v>26</v>
      </c>
      <c r="J996">
        <v>92</v>
      </c>
      <c r="K996">
        <f t="shared" si="152"/>
        <v>460</v>
      </c>
      <c r="L996" s="39">
        <f t="shared" si="153"/>
        <v>488.45482578014105</v>
      </c>
      <c r="M996">
        <f t="shared" si="154"/>
        <v>280.31337508538434</v>
      </c>
      <c r="N996">
        <f t="shared" si="155"/>
        <v>47922.147276911164</v>
      </c>
      <c r="O996" s="39">
        <f t="shared" si="156"/>
        <v>63464.904678568499</v>
      </c>
      <c r="S996">
        <f t="shared" si="157"/>
        <v>0</v>
      </c>
      <c r="T996">
        <f t="shared" si="158"/>
        <v>1</v>
      </c>
      <c r="U996">
        <f t="shared" si="159"/>
        <v>0</v>
      </c>
      <c r="V996">
        <f t="shared" si="160"/>
        <v>0</v>
      </c>
      <c r="W996">
        <f t="shared" si="161"/>
        <v>0</v>
      </c>
      <c r="Y996" t="str">
        <f t="shared" si="162"/>
        <v/>
      </c>
    </row>
    <row r="997" spans="8:25">
      <c r="H997">
        <v>765</v>
      </c>
      <c r="I997" s="18">
        <v>36</v>
      </c>
      <c r="J997">
        <v>48</v>
      </c>
      <c r="K997">
        <f t="shared" si="152"/>
        <v>240</v>
      </c>
      <c r="L997" s="39">
        <f t="shared" si="153"/>
        <v>488.58048948628465</v>
      </c>
      <c r="M997">
        <f t="shared" si="154"/>
        <v>390.31337508538434</v>
      </c>
      <c r="N997">
        <f t="shared" si="155"/>
        <v>66744.824948291309</v>
      </c>
      <c r="O997" s="39">
        <f t="shared" si="156"/>
        <v>82287.582349948643</v>
      </c>
      <c r="S997">
        <f t="shared" si="157"/>
        <v>0</v>
      </c>
      <c r="T997">
        <f t="shared" si="158"/>
        <v>1</v>
      </c>
      <c r="U997">
        <f t="shared" si="159"/>
        <v>0</v>
      </c>
      <c r="V997">
        <f t="shared" si="160"/>
        <v>0</v>
      </c>
      <c r="W997">
        <f t="shared" si="161"/>
        <v>1</v>
      </c>
      <c r="Y997" t="str">
        <f t="shared" si="162"/>
        <v/>
      </c>
    </row>
    <row r="998" spans="8:25">
      <c r="H998">
        <v>766</v>
      </c>
      <c r="I998" s="18">
        <v>34</v>
      </c>
      <c r="J998">
        <v>54</v>
      </c>
      <c r="K998">
        <f t="shared" si="152"/>
        <v>270</v>
      </c>
      <c r="L998" s="39">
        <f t="shared" si="153"/>
        <v>490.27694951922302</v>
      </c>
      <c r="M998">
        <f t="shared" si="154"/>
        <v>375.31337508538434</v>
      </c>
      <c r="N998">
        <f t="shared" si="155"/>
        <v>64402.623827719166</v>
      </c>
      <c r="O998" s="39">
        <f t="shared" si="156"/>
        <v>79945.381229376508</v>
      </c>
      <c r="S998">
        <f t="shared" si="157"/>
        <v>0</v>
      </c>
      <c r="T998">
        <f t="shared" si="158"/>
        <v>1</v>
      </c>
      <c r="U998">
        <f t="shared" si="159"/>
        <v>0</v>
      </c>
      <c r="V998">
        <f t="shared" si="160"/>
        <v>0</v>
      </c>
      <c r="W998">
        <f t="shared" si="161"/>
        <v>1</v>
      </c>
      <c r="Y998" t="str">
        <f t="shared" si="162"/>
        <v/>
      </c>
    </row>
    <row r="999" spans="8:25">
      <c r="H999">
        <v>767</v>
      </c>
      <c r="I999" s="18">
        <v>25</v>
      </c>
      <c r="J999">
        <v>100</v>
      </c>
      <c r="K999">
        <f t="shared" si="152"/>
        <v>500</v>
      </c>
      <c r="L999" s="39">
        <f t="shared" si="153"/>
        <v>490.87385212340519</v>
      </c>
      <c r="M999">
        <f t="shared" si="154"/>
        <v>260.31337508538434</v>
      </c>
      <c r="N999">
        <f t="shared" si="155"/>
        <v>44723.360215592606</v>
      </c>
      <c r="O999" s="39">
        <f t="shared" si="156"/>
        <v>60266.11761724994</v>
      </c>
      <c r="S999">
        <f t="shared" si="157"/>
        <v>0</v>
      </c>
      <c r="T999">
        <f t="shared" si="158"/>
        <v>1</v>
      </c>
      <c r="U999">
        <f t="shared" si="159"/>
        <v>1</v>
      </c>
      <c r="V999">
        <f t="shared" si="160"/>
        <v>0</v>
      </c>
      <c r="W999">
        <f t="shared" si="161"/>
        <v>0</v>
      </c>
      <c r="Y999" t="str">
        <f t="shared" si="162"/>
        <v/>
      </c>
    </row>
    <row r="1000" spans="8:25">
      <c r="H1000">
        <v>768</v>
      </c>
      <c r="I1000" s="18">
        <v>28</v>
      </c>
      <c r="J1000">
        <v>80</v>
      </c>
      <c r="K1000">
        <f t="shared" si="152"/>
        <v>400</v>
      </c>
      <c r="L1000" s="39">
        <f t="shared" si="153"/>
        <v>492.6017280828795</v>
      </c>
      <c r="M1000">
        <f t="shared" si="154"/>
        <v>310.31337508538434</v>
      </c>
      <c r="N1000">
        <f t="shared" si="155"/>
        <v>53501.316685001882</v>
      </c>
      <c r="O1000" s="39">
        <f t="shared" si="156"/>
        <v>69044.07408665921</v>
      </c>
      <c r="S1000">
        <f t="shared" si="157"/>
        <v>0</v>
      </c>
      <c r="T1000">
        <f t="shared" si="158"/>
        <v>1</v>
      </c>
      <c r="U1000">
        <f t="shared" si="159"/>
        <v>0</v>
      </c>
      <c r="V1000">
        <f t="shared" si="160"/>
        <v>0</v>
      </c>
      <c r="W1000">
        <f t="shared" si="161"/>
        <v>0</v>
      </c>
      <c r="Y1000" t="str">
        <f t="shared" si="162"/>
        <v/>
      </c>
    </row>
    <row r="1001" spans="8:25">
      <c r="H1001">
        <v>769</v>
      </c>
      <c r="I1001" s="18">
        <v>30</v>
      </c>
      <c r="J1001">
        <v>70</v>
      </c>
      <c r="K1001">
        <f t="shared" ref="K1001:K1064" si="163">$F$230+$F$231*(J1001-2)/2</f>
        <v>350</v>
      </c>
      <c r="L1001" s="39">
        <f t="shared" ref="L1001:L1064" si="164">J1001*0.25*PI()*(I1001/10)^2</f>
        <v>494.80084294039239</v>
      </c>
      <c r="M1001">
        <f t="shared" ref="M1001:M1064" si="165">$F$233-(K1001+$F$232)/2</f>
        <v>335.31337508538434</v>
      </c>
      <c r="N1001">
        <f t="shared" ref="N1001:N1064" si="166">L1001*$F$235*M1001*0.001</f>
        <v>58069.669224502657</v>
      </c>
      <c r="O1001" s="39">
        <f t="shared" ref="O1001:O1064" si="167">N1001+$F$237</f>
        <v>73612.426626159984</v>
      </c>
      <c r="S1001">
        <f t="shared" ref="S1001:S1064" si="168">IF(L1001&lt;$F$236,1,0)</f>
        <v>0</v>
      </c>
      <c r="T1001">
        <f t="shared" ref="T1001:T1064" si="169">IF(O1001&gt;$F$234,1,0)</f>
        <v>1</v>
      </c>
      <c r="U1001">
        <f t="shared" ref="U1001:U1064" si="170">IF(I1001&lt;=$F$238,1,0)</f>
        <v>0</v>
      </c>
      <c r="V1001">
        <f t="shared" ref="V1001:V1064" si="171">IF(J1001&lt;=$F$239,1,0)</f>
        <v>0</v>
      </c>
      <c r="W1001">
        <f t="shared" ref="W1001:W1064" si="172">IF(K1001&lt;=$F$240,1,0)</f>
        <v>0</v>
      </c>
      <c r="Y1001" t="str">
        <f t="shared" ref="Y1001:Y1064" si="173">IF(SUM(S1001:W1001)=5,H1001,"")</f>
        <v/>
      </c>
    </row>
    <row r="1002" spans="8:25">
      <c r="H1002">
        <v>770</v>
      </c>
      <c r="I1002" s="18">
        <v>32</v>
      </c>
      <c r="J1002">
        <v>62</v>
      </c>
      <c r="K1002">
        <f t="shared" si="163"/>
        <v>310</v>
      </c>
      <c r="L1002" s="39">
        <f t="shared" si="164"/>
        <v>498.63358597777204</v>
      </c>
      <c r="M1002">
        <f t="shared" si="165"/>
        <v>355.31337508538434</v>
      </c>
      <c r="N1002">
        <f t="shared" si="166"/>
        <v>62009.91382764162</v>
      </c>
      <c r="O1002" s="39">
        <f t="shared" si="167"/>
        <v>77552.671229298954</v>
      </c>
      <c r="S1002">
        <f t="shared" si="168"/>
        <v>0</v>
      </c>
      <c r="T1002">
        <f t="shared" si="169"/>
        <v>1</v>
      </c>
      <c r="U1002">
        <f t="shared" si="170"/>
        <v>0</v>
      </c>
      <c r="V1002">
        <f t="shared" si="171"/>
        <v>0</v>
      </c>
      <c r="W1002">
        <f t="shared" si="172"/>
        <v>0</v>
      </c>
      <c r="Y1002" t="str">
        <f t="shared" si="173"/>
        <v/>
      </c>
    </row>
    <row r="1003" spans="8:25">
      <c r="H1003">
        <v>771</v>
      </c>
      <c r="I1003" s="18">
        <v>38</v>
      </c>
      <c r="J1003">
        <v>44</v>
      </c>
      <c r="K1003">
        <f t="shared" si="163"/>
        <v>220</v>
      </c>
      <c r="L1003" s="39">
        <f t="shared" si="164"/>
        <v>499.01057709620267</v>
      </c>
      <c r="M1003">
        <f t="shared" si="165"/>
        <v>400.31337508538434</v>
      </c>
      <c r="N1003">
        <f t="shared" si="166"/>
        <v>69916.212912240197</v>
      </c>
      <c r="O1003" s="39">
        <f t="shared" si="167"/>
        <v>85458.970313897531</v>
      </c>
      <c r="S1003">
        <f t="shared" si="168"/>
        <v>0</v>
      </c>
      <c r="T1003">
        <f t="shared" si="169"/>
        <v>1</v>
      </c>
      <c r="U1003">
        <f t="shared" si="170"/>
        <v>0</v>
      </c>
      <c r="V1003">
        <f t="shared" si="171"/>
        <v>0</v>
      </c>
      <c r="W1003">
        <f t="shared" si="172"/>
        <v>1</v>
      </c>
      <c r="Y1003" t="str">
        <f t="shared" si="173"/>
        <v/>
      </c>
    </row>
    <row r="1004" spans="8:25">
      <c r="H1004">
        <v>772</v>
      </c>
      <c r="I1004" s="18">
        <v>26</v>
      </c>
      <c r="J1004">
        <v>94</v>
      </c>
      <c r="K1004">
        <f t="shared" si="163"/>
        <v>470</v>
      </c>
      <c r="L1004" s="39">
        <f t="shared" si="164"/>
        <v>499.07340894927461</v>
      </c>
      <c r="M1004">
        <f t="shared" si="165"/>
        <v>275.31337508538434</v>
      </c>
      <c r="N1004">
        <f t="shared" si="166"/>
        <v>48090.554621617572</v>
      </c>
      <c r="O1004" s="39">
        <f t="shared" si="167"/>
        <v>63633.312023274906</v>
      </c>
      <c r="S1004">
        <f t="shared" si="168"/>
        <v>0</v>
      </c>
      <c r="T1004">
        <f t="shared" si="169"/>
        <v>1</v>
      </c>
      <c r="U1004">
        <f t="shared" si="170"/>
        <v>0</v>
      </c>
      <c r="V1004">
        <f t="shared" si="171"/>
        <v>0</v>
      </c>
      <c r="W1004">
        <f t="shared" si="172"/>
        <v>0</v>
      </c>
      <c r="Y1004" t="str">
        <f t="shared" si="173"/>
        <v/>
      </c>
    </row>
    <row r="1005" spans="8:25">
      <c r="H1005">
        <v>773</v>
      </c>
      <c r="I1005" s="18">
        <v>40</v>
      </c>
      <c r="J1005">
        <v>40</v>
      </c>
      <c r="K1005">
        <f t="shared" si="163"/>
        <v>200</v>
      </c>
      <c r="L1005" s="39">
        <f t="shared" si="164"/>
        <v>502.6548245743669</v>
      </c>
      <c r="M1005">
        <f t="shared" si="165"/>
        <v>410.31337508538434</v>
      </c>
      <c r="N1005">
        <f t="shared" si="166"/>
        <v>72186.099150921087</v>
      </c>
      <c r="O1005" s="39">
        <f t="shared" si="167"/>
        <v>87728.856552578422</v>
      </c>
      <c r="S1005">
        <f t="shared" si="168"/>
        <v>0</v>
      </c>
      <c r="T1005">
        <f t="shared" si="169"/>
        <v>1</v>
      </c>
      <c r="U1005">
        <f t="shared" si="170"/>
        <v>0</v>
      </c>
      <c r="V1005">
        <f t="shared" si="171"/>
        <v>0</v>
      </c>
      <c r="W1005">
        <f t="shared" si="172"/>
        <v>1</v>
      </c>
      <c r="Y1005" t="str">
        <f t="shared" si="173"/>
        <v/>
      </c>
    </row>
    <row r="1006" spans="8:25">
      <c r="H1006">
        <v>774</v>
      </c>
      <c r="I1006" s="18">
        <v>28</v>
      </c>
      <c r="J1006">
        <v>82</v>
      </c>
      <c r="K1006">
        <f t="shared" si="163"/>
        <v>410</v>
      </c>
      <c r="L1006" s="39">
        <f t="shared" si="164"/>
        <v>504.91677128495144</v>
      </c>
      <c r="M1006">
        <f t="shared" si="165"/>
        <v>305.31337508538434</v>
      </c>
      <c r="N1006">
        <f t="shared" si="166"/>
        <v>53955.245252378256</v>
      </c>
      <c r="O1006" s="39">
        <f t="shared" si="167"/>
        <v>69498.00265403559</v>
      </c>
      <c r="S1006">
        <f t="shared" si="168"/>
        <v>0</v>
      </c>
      <c r="T1006">
        <f t="shared" si="169"/>
        <v>1</v>
      </c>
      <c r="U1006">
        <f t="shared" si="170"/>
        <v>0</v>
      </c>
      <c r="V1006">
        <f t="shared" si="171"/>
        <v>0</v>
      </c>
      <c r="W1006">
        <f t="shared" si="172"/>
        <v>0</v>
      </c>
      <c r="Y1006" t="str">
        <f t="shared" si="173"/>
        <v/>
      </c>
    </row>
    <row r="1007" spans="8:25">
      <c r="H1007">
        <v>775</v>
      </c>
      <c r="I1007" s="18">
        <v>34</v>
      </c>
      <c r="J1007">
        <v>56</v>
      </c>
      <c r="K1007">
        <f t="shared" si="163"/>
        <v>280</v>
      </c>
      <c r="L1007" s="39">
        <f t="shared" si="164"/>
        <v>508.43535505697207</v>
      </c>
      <c r="M1007">
        <f t="shared" si="165"/>
        <v>370.31337508538434</v>
      </c>
      <c r="N1007">
        <f t="shared" si="166"/>
        <v>65898.144320359061</v>
      </c>
      <c r="O1007" s="39">
        <f t="shared" si="167"/>
        <v>81440.901722016395</v>
      </c>
      <c r="S1007">
        <f t="shared" si="168"/>
        <v>0</v>
      </c>
      <c r="T1007">
        <f t="shared" si="169"/>
        <v>1</v>
      </c>
      <c r="U1007">
        <f t="shared" si="170"/>
        <v>0</v>
      </c>
      <c r="V1007">
        <f t="shared" si="171"/>
        <v>0</v>
      </c>
      <c r="W1007">
        <f t="shared" si="172"/>
        <v>1</v>
      </c>
      <c r="Y1007" t="str">
        <f t="shared" si="173"/>
        <v/>
      </c>
    </row>
    <row r="1008" spans="8:25">
      <c r="H1008">
        <v>776</v>
      </c>
      <c r="I1008" s="18">
        <v>45</v>
      </c>
      <c r="J1008">
        <v>32</v>
      </c>
      <c r="K1008">
        <f t="shared" si="163"/>
        <v>160</v>
      </c>
      <c r="L1008" s="39">
        <f t="shared" si="164"/>
        <v>508.93800988154646</v>
      </c>
      <c r="M1008">
        <f t="shared" si="165"/>
        <v>430.31337508538434</v>
      </c>
      <c r="N1008">
        <f t="shared" si="166"/>
        <v>76650.99145947842</v>
      </c>
      <c r="O1008" s="39">
        <f t="shared" si="167"/>
        <v>92193.748861135755</v>
      </c>
      <c r="S1008">
        <f t="shared" si="168"/>
        <v>0</v>
      </c>
      <c r="T1008">
        <f t="shared" si="169"/>
        <v>1</v>
      </c>
      <c r="U1008">
        <f t="shared" si="170"/>
        <v>0</v>
      </c>
      <c r="V1008">
        <f t="shared" si="171"/>
        <v>0</v>
      </c>
      <c r="W1008">
        <f t="shared" si="172"/>
        <v>1</v>
      </c>
      <c r="Y1008" t="str">
        <f t="shared" si="173"/>
        <v/>
      </c>
    </row>
    <row r="1009" spans="8:25">
      <c r="H1009">
        <v>777</v>
      </c>
      <c r="I1009" s="18">
        <v>30</v>
      </c>
      <c r="J1009">
        <v>72</v>
      </c>
      <c r="K1009">
        <f t="shared" si="163"/>
        <v>360</v>
      </c>
      <c r="L1009" s="39">
        <f t="shared" si="164"/>
        <v>508.93800988154646</v>
      </c>
      <c r="M1009">
        <f t="shared" si="165"/>
        <v>330.31337508538434</v>
      </c>
      <c r="N1009">
        <f t="shared" si="166"/>
        <v>58838.161113624308</v>
      </c>
      <c r="O1009" s="39">
        <f t="shared" si="167"/>
        <v>74380.918515281635</v>
      </c>
      <c r="S1009">
        <f t="shared" si="168"/>
        <v>0</v>
      </c>
      <c r="T1009">
        <f t="shared" si="169"/>
        <v>1</v>
      </c>
      <c r="U1009">
        <f t="shared" si="170"/>
        <v>0</v>
      </c>
      <c r="V1009">
        <f t="shared" si="171"/>
        <v>0</v>
      </c>
      <c r="W1009">
        <f t="shared" si="172"/>
        <v>0</v>
      </c>
      <c r="Y1009" t="str">
        <f t="shared" si="173"/>
        <v/>
      </c>
    </row>
    <row r="1010" spans="8:25">
      <c r="H1010">
        <v>778</v>
      </c>
      <c r="I1010" s="18">
        <v>36</v>
      </c>
      <c r="J1010">
        <v>50</v>
      </c>
      <c r="K1010">
        <f t="shared" si="163"/>
        <v>250</v>
      </c>
      <c r="L1010" s="39">
        <f t="shared" si="164"/>
        <v>508.93800988154652</v>
      </c>
      <c r="M1010">
        <f t="shared" si="165"/>
        <v>385.31337508538434</v>
      </c>
      <c r="N1010">
        <f t="shared" si="166"/>
        <v>68635.217803844076</v>
      </c>
      <c r="O1010" s="39">
        <f t="shared" si="167"/>
        <v>84177.975205501411</v>
      </c>
      <c r="S1010">
        <f t="shared" si="168"/>
        <v>0</v>
      </c>
      <c r="T1010">
        <f t="shared" si="169"/>
        <v>1</v>
      </c>
      <c r="U1010">
        <f t="shared" si="170"/>
        <v>0</v>
      </c>
      <c r="V1010">
        <f t="shared" si="171"/>
        <v>0</v>
      </c>
      <c r="W1010">
        <f t="shared" si="172"/>
        <v>1</v>
      </c>
      <c r="Y1010" t="str">
        <f t="shared" si="173"/>
        <v/>
      </c>
    </row>
    <row r="1011" spans="8:25">
      <c r="H1011">
        <v>779</v>
      </c>
      <c r="I1011" s="18">
        <v>26</v>
      </c>
      <c r="J1011">
        <v>96</v>
      </c>
      <c r="K1011">
        <f t="shared" si="163"/>
        <v>480</v>
      </c>
      <c r="L1011" s="39">
        <f t="shared" si="164"/>
        <v>509.69199211840811</v>
      </c>
      <c r="M1011">
        <f t="shared" si="165"/>
        <v>270.31337508538434</v>
      </c>
      <c r="N1011">
        <f t="shared" si="166"/>
        <v>48221.796925232004</v>
      </c>
      <c r="O1011" s="39">
        <f t="shared" si="167"/>
        <v>63764.554326889338</v>
      </c>
      <c r="S1011">
        <f t="shared" si="168"/>
        <v>0</v>
      </c>
      <c r="T1011">
        <f t="shared" si="169"/>
        <v>1</v>
      </c>
      <c r="U1011">
        <f t="shared" si="170"/>
        <v>0</v>
      </c>
      <c r="V1011">
        <f t="shared" si="171"/>
        <v>0</v>
      </c>
      <c r="W1011">
        <f t="shared" si="172"/>
        <v>0</v>
      </c>
      <c r="Y1011" t="str">
        <f t="shared" si="173"/>
        <v/>
      </c>
    </row>
    <row r="1012" spans="8:25">
      <c r="H1012">
        <v>780</v>
      </c>
      <c r="I1012" s="18">
        <v>50</v>
      </c>
      <c r="J1012">
        <v>26</v>
      </c>
      <c r="K1012">
        <f t="shared" si="163"/>
        <v>130</v>
      </c>
      <c r="L1012" s="39">
        <f t="shared" si="164"/>
        <v>510.50880620834141</v>
      </c>
      <c r="M1012">
        <f t="shared" si="165"/>
        <v>445.31337508538434</v>
      </c>
      <c r="N1012">
        <f t="shared" si="166"/>
        <v>79567.739826206438</v>
      </c>
      <c r="O1012" s="39">
        <f t="shared" si="167"/>
        <v>95110.497227863772</v>
      </c>
      <c r="S1012">
        <f t="shared" si="168"/>
        <v>0</v>
      </c>
      <c r="T1012">
        <f t="shared" si="169"/>
        <v>1</v>
      </c>
      <c r="U1012">
        <f t="shared" si="170"/>
        <v>0</v>
      </c>
      <c r="V1012">
        <f t="shared" si="171"/>
        <v>0</v>
      </c>
      <c r="W1012">
        <f t="shared" si="172"/>
        <v>1</v>
      </c>
      <c r="Y1012" t="str">
        <f t="shared" si="173"/>
        <v/>
      </c>
    </row>
    <row r="1013" spans="8:25">
      <c r="H1013">
        <v>781</v>
      </c>
      <c r="I1013" s="18">
        <v>32</v>
      </c>
      <c r="J1013">
        <v>64</v>
      </c>
      <c r="K1013">
        <f t="shared" si="163"/>
        <v>320</v>
      </c>
      <c r="L1013" s="39">
        <f t="shared" si="164"/>
        <v>514.71854036415175</v>
      </c>
      <c r="M1013">
        <f t="shared" si="165"/>
        <v>350.31337508538434</v>
      </c>
      <c r="N1013">
        <f t="shared" si="166"/>
        <v>63109.476182896025</v>
      </c>
      <c r="O1013" s="39">
        <f t="shared" si="167"/>
        <v>78652.233584553353</v>
      </c>
      <c r="S1013">
        <f t="shared" si="168"/>
        <v>0</v>
      </c>
      <c r="T1013">
        <f t="shared" si="169"/>
        <v>1</v>
      </c>
      <c r="U1013">
        <f t="shared" si="170"/>
        <v>0</v>
      </c>
      <c r="V1013">
        <f t="shared" si="171"/>
        <v>0</v>
      </c>
      <c r="W1013">
        <f t="shared" si="172"/>
        <v>0</v>
      </c>
      <c r="Y1013" t="str">
        <f t="shared" si="173"/>
        <v/>
      </c>
    </row>
    <row r="1014" spans="8:25">
      <c r="H1014">
        <v>782</v>
      </c>
      <c r="I1014" s="18">
        <v>28</v>
      </c>
      <c r="J1014">
        <v>84</v>
      </c>
      <c r="K1014">
        <f t="shared" si="163"/>
        <v>420</v>
      </c>
      <c r="L1014" s="39">
        <f t="shared" si="164"/>
        <v>517.23181448702348</v>
      </c>
      <c r="M1014">
        <f t="shared" si="165"/>
        <v>300.31337508538434</v>
      </c>
      <c r="N1014">
        <f t="shared" si="166"/>
        <v>54366.071168547402</v>
      </c>
      <c r="O1014" s="39">
        <f t="shared" si="167"/>
        <v>69908.828570204729</v>
      </c>
      <c r="S1014">
        <f t="shared" si="168"/>
        <v>0</v>
      </c>
      <c r="T1014">
        <f t="shared" si="169"/>
        <v>1</v>
      </c>
      <c r="U1014">
        <f t="shared" si="170"/>
        <v>0</v>
      </c>
      <c r="V1014">
        <f t="shared" si="171"/>
        <v>0</v>
      </c>
      <c r="W1014">
        <f t="shared" si="172"/>
        <v>0</v>
      </c>
      <c r="Y1014" t="str">
        <f t="shared" si="173"/>
        <v/>
      </c>
    </row>
    <row r="1015" spans="8:25">
      <c r="H1015">
        <v>783</v>
      </c>
      <c r="I1015" s="18">
        <v>26</v>
      </c>
      <c r="J1015">
        <v>98</v>
      </c>
      <c r="K1015">
        <f t="shared" si="163"/>
        <v>490</v>
      </c>
      <c r="L1015" s="39">
        <f t="shared" si="164"/>
        <v>520.3105752875415</v>
      </c>
      <c r="M1015">
        <f t="shared" si="165"/>
        <v>265.31337508538434</v>
      </c>
      <c r="N1015">
        <f t="shared" si="166"/>
        <v>48315.87418775446</v>
      </c>
      <c r="O1015" s="39">
        <f t="shared" si="167"/>
        <v>63858.631589411794</v>
      </c>
      <c r="S1015">
        <f t="shared" si="168"/>
        <v>0</v>
      </c>
      <c r="T1015">
        <f t="shared" si="169"/>
        <v>1</v>
      </c>
      <c r="U1015">
        <f t="shared" si="170"/>
        <v>0</v>
      </c>
      <c r="V1015">
        <f t="shared" si="171"/>
        <v>0</v>
      </c>
      <c r="W1015">
        <f t="shared" si="172"/>
        <v>0</v>
      </c>
      <c r="Y1015" t="str">
        <f t="shared" si="173"/>
        <v/>
      </c>
    </row>
    <row r="1016" spans="8:25">
      <c r="H1016">
        <v>784</v>
      </c>
      <c r="I1016" s="18">
        <v>38</v>
      </c>
      <c r="J1016">
        <v>46</v>
      </c>
      <c r="K1016">
        <f t="shared" si="163"/>
        <v>230</v>
      </c>
      <c r="L1016" s="39">
        <f t="shared" si="164"/>
        <v>521.69287605512102</v>
      </c>
      <c r="M1016">
        <f t="shared" si="165"/>
        <v>395.31337508538434</v>
      </c>
      <c r="N1016">
        <f t="shared" si="166"/>
        <v>72181.260056972853</v>
      </c>
      <c r="O1016" s="39">
        <f t="shared" si="167"/>
        <v>87724.017458630187</v>
      </c>
      <c r="S1016">
        <f t="shared" si="168"/>
        <v>0</v>
      </c>
      <c r="T1016">
        <f t="shared" si="169"/>
        <v>1</v>
      </c>
      <c r="U1016">
        <f t="shared" si="170"/>
        <v>0</v>
      </c>
      <c r="V1016">
        <f t="shared" si="171"/>
        <v>0</v>
      </c>
      <c r="W1016">
        <f t="shared" si="172"/>
        <v>1</v>
      </c>
      <c r="Y1016" t="str">
        <f t="shared" si="173"/>
        <v/>
      </c>
    </row>
    <row r="1017" spans="8:25">
      <c r="H1017">
        <v>785</v>
      </c>
      <c r="I1017" s="18">
        <v>30</v>
      </c>
      <c r="J1017">
        <v>74</v>
      </c>
      <c r="K1017">
        <f t="shared" si="163"/>
        <v>370</v>
      </c>
      <c r="L1017" s="39">
        <f t="shared" si="164"/>
        <v>523.07517682270054</v>
      </c>
      <c r="M1017">
        <f t="shared" si="165"/>
        <v>325.31337508538434</v>
      </c>
      <c r="N1017">
        <f t="shared" si="166"/>
        <v>59557.172918451921</v>
      </c>
      <c r="O1017" s="39">
        <f t="shared" si="167"/>
        <v>75099.930320109255</v>
      </c>
      <c r="S1017">
        <f t="shared" si="168"/>
        <v>0</v>
      </c>
      <c r="T1017">
        <f t="shared" si="169"/>
        <v>1</v>
      </c>
      <c r="U1017">
        <f t="shared" si="170"/>
        <v>0</v>
      </c>
      <c r="V1017">
        <f t="shared" si="171"/>
        <v>0</v>
      </c>
      <c r="W1017">
        <f t="shared" si="172"/>
        <v>0</v>
      </c>
      <c r="Y1017" t="str">
        <f t="shared" si="173"/>
        <v/>
      </c>
    </row>
    <row r="1018" spans="8:25">
      <c r="H1018">
        <v>786</v>
      </c>
      <c r="I1018" s="18">
        <v>34</v>
      </c>
      <c r="J1018">
        <v>58</v>
      </c>
      <c r="K1018">
        <f t="shared" si="163"/>
        <v>290</v>
      </c>
      <c r="L1018" s="39">
        <f t="shared" si="164"/>
        <v>526.59376059472106</v>
      </c>
      <c r="M1018">
        <f t="shared" si="165"/>
        <v>365.31337508538434</v>
      </c>
      <c r="N1018">
        <f t="shared" si="166"/>
        <v>67330.110393616837</v>
      </c>
      <c r="O1018" s="39">
        <f t="shared" si="167"/>
        <v>82872.867795274171</v>
      </c>
      <c r="S1018">
        <f t="shared" si="168"/>
        <v>0</v>
      </c>
      <c r="T1018">
        <f t="shared" si="169"/>
        <v>1</v>
      </c>
      <c r="U1018">
        <f t="shared" si="170"/>
        <v>0</v>
      </c>
      <c r="V1018">
        <f t="shared" si="171"/>
        <v>0</v>
      </c>
      <c r="W1018">
        <f t="shared" si="172"/>
        <v>1</v>
      </c>
      <c r="Y1018" t="str">
        <f t="shared" si="173"/>
        <v/>
      </c>
    </row>
    <row r="1019" spans="8:25">
      <c r="H1019">
        <v>787</v>
      </c>
      <c r="I1019" s="18">
        <v>40</v>
      </c>
      <c r="J1019">
        <v>42</v>
      </c>
      <c r="K1019">
        <f t="shared" si="163"/>
        <v>210</v>
      </c>
      <c r="L1019" s="39">
        <f t="shared" si="164"/>
        <v>527.78756580308527</v>
      </c>
      <c r="M1019">
        <f t="shared" si="165"/>
        <v>405.31337508538434</v>
      </c>
      <c r="N1019">
        <f t="shared" si="166"/>
        <v>74871.775868311757</v>
      </c>
      <c r="O1019" s="39">
        <f t="shared" si="167"/>
        <v>90414.533269969092</v>
      </c>
      <c r="S1019">
        <f t="shared" si="168"/>
        <v>0</v>
      </c>
      <c r="T1019">
        <f t="shared" si="169"/>
        <v>1</v>
      </c>
      <c r="U1019">
        <f t="shared" si="170"/>
        <v>0</v>
      </c>
      <c r="V1019">
        <f t="shared" si="171"/>
        <v>0</v>
      </c>
      <c r="W1019">
        <f t="shared" si="172"/>
        <v>1</v>
      </c>
      <c r="Y1019" t="str">
        <f t="shared" si="173"/>
        <v/>
      </c>
    </row>
    <row r="1020" spans="8:25">
      <c r="H1020">
        <v>788</v>
      </c>
      <c r="I1020" s="18">
        <v>36</v>
      </c>
      <c r="J1020">
        <v>52</v>
      </c>
      <c r="K1020">
        <f t="shared" si="163"/>
        <v>260</v>
      </c>
      <c r="L1020" s="39">
        <f t="shared" si="164"/>
        <v>529.29553027680845</v>
      </c>
      <c r="M1020">
        <f t="shared" si="165"/>
        <v>380.31337508538434</v>
      </c>
      <c r="N1020">
        <f t="shared" si="166"/>
        <v>70454.359338013441</v>
      </c>
      <c r="O1020" s="39">
        <f t="shared" si="167"/>
        <v>85997.116739670775</v>
      </c>
      <c r="S1020">
        <f t="shared" si="168"/>
        <v>0</v>
      </c>
      <c r="T1020">
        <f t="shared" si="169"/>
        <v>1</v>
      </c>
      <c r="U1020">
        <f t="shared" si="170"/>
        <v>0</v>
      </c>
      <c r="V1020">
        <f t="shared" si="171"/>
        <v>0</v>
      </c>
      <c r="W1020">
        <f t="shared" si="172"/>
        <v>1</v>
      </c>
      <c r="Y1020" t="str">
        <f t="shared" si="173"/>
        <v/>
      </c>
    </row>
    <row r="1021" spans="8:25">
      <c r="H1021">
        <v>789</v>
      </c>
      <c r="I1021" s="18">
        <v>28</v>
      </c>
      <c r="J1021">
        <v>86</v>
      </c>
      <c r="K1021">
        <f t="shared" si="163"/>
        <v>430</v>
      </c>
      <c r="L1021" s="39">
        <f t="shared" si="164"/>
        <v>529.54685768909542</v>
      </c>
      <c r="M1021">
        <f t="shared" si="165"/>
        <v>295.31337508538434</v>
      </c>
      <c r="N1021">
        <f t="shared" si="166"/>
        <v>54733.794433509269</v>
      </c>
      <c r="O1021" s="39">
        <f t="shared" si="167"/>
        <v>70276.551835166611</v>
      </c>
      <c r="S1021">
        <f t="shared" si="168"/>
        <v>0</v>
      </c>
      <c r="T1021">
        <f t="shared" si="169"/>
        <v>1</v>
      </c>
      <c r="U1021">
        <f t="shared" si="170"/>
        <v>0</v>
      </c>
      <c r="V1021">
        <f t="shared" si="171"/>
        <v>0</v>
      </c>
      <c r="W1021">
        <f t="shared" si="172"/>
        <v>0</v>
      </c>
      <c r="Y1021" t="str">
        <f t="shared" si="173"/>
        <v/>
      </c>
    </row>
    <row r="1022" spans="8:25">
      <c r="H1022">
        <v>790</v>
      </c>
      <c r="I1022" s="18">
        <v>32</v>
      </c>
      <c r="J1022">
        <v>66</v>
      </c>
      <c r="K1022">
        <f t="shared" si="163"/>
        <v>330</v>
      </c>
      <c r="L1022" s="39">
        <f t="shared" si="164"/>
        <v>530.80349475053151</v>
      </c>
      <c r="M1022">
        <f t="shared" si="165"/>
        <v>345.31337508538434</v>
      </c>
      <c r="N1022">
        <f t="shared" si="166"/>
        <v>64152.741197798088</v>
      </c>
      <c r="O1022" s="39">
        <f t="shared" si="167"/>
        <v>79695.49859945543</v>
      </c>
      <c r="S1022">
        <f t="shared" si="168"/>
        <v>0</v>
      </c>
      <c r="T1022">
        <f t="shared" si="169"/>
        <v>1</v>
      </c>
      <c r="U1022">
        <f t="shared" si="170"/>
        <v>0</v>
      </c>
      <c r="V1022">
        <f t="shared" si="171"/>
        <v>0</v>
      </c>
      <c r="W1022">
        <f t="shared" si="172"/>
        <v>0</v>
      </c>
      <c r="Y1022" t="str">
        <f t="shared" si="173"/>
        <v/>
      </c>
    </row>
    <row r="1023" spans="8:25">
      <c r="H1023">
        <v>791</v>
      </c>
      <c r="I1023" s="18">
        <v>26</v>
      </c>
      <c r="J1023">
        <v>100</v>
      </c>
      <c r="K1023">
        <f t="shared" si="163"/>
        <v>500</v>
      </c>
      <c r="L1023" s="39">
        <f t="shared" si="164"/>
        <v>530.92915845667517</v>
      </c>
      <c r="M1023">
        <f t="shared" si="165"/>
        <v>260.31337508538434</v>
      </c>
      <c r="N1023">
        <f t="shared" si="166"/>
        <v>48372.786409184977</v>
      </c>
      <c r="O1023" s="39">
        <f t="shared" si="167"/>
        <v>63915.543810842311</v>
      </c>
      <c r="S1023">
        <f t="shared" si="168"/>
        <v>0</v>
      </c>
      <c r="T1023">
        <f t="shared" si="169"/>
        <v>1</v>
      </c>
      <c r="U1023">
        <f t="shared" si="170"/>
        <v>0</v>
      </c>
      <c r="V1023">
        <f t="shared" si="171"/>
        <v>0</v>
      </c>
      <c r="W1023">
        <f t="shared" si="172"/>
        <v>0</v>
      </c>
      <c r="Y1023" t="str">
        <f t="shared" si="173"/>
        <v/>
      </c>
    </row>
    <row r="1024" spans="8:25">
      <c r="H1024">
        <v>792</v>
      </c>
      <c r="I1024" s="18">
        <v>30</v>
      </c>
      <c r="J1024">
        <v>76</v>
      </c>
      <c r="K1024">
        <f t="shared" si="163"/>
        <v>380</v>
      </c>
      <c r="L1024" s="39">
        <f t="shared" si="164"/>
        <v>537.21234376385462</v>
      </c>
      <c r="M1024">
        <f t="shared" si="165"/>
        <v>320.31337508538434</v>
      </c>
      <c r="N1024">
        <f t="shared" si="166"/>
        <v>60226.704638985495</v>
      </c>
      <c r="O1024" s="39">
        <f t="shared" si="167"/>
        <v>75769.462040642829</v>
      </c>
      <c r="S1024">
        <f t="shared" si="168"/>
        <v>0</v>
      </c>
      <c r="T1024">
        <f t="shared" si="169"/>
        <v>1</v>
      </c>
      <c r="U1024">
        <f t="shared" si="170"/>
        <v>0</v>
      </c>
      <c r="V1024">
        <f t="shared" si="171"/>
        <v>0</v>
      </c>
      <c r="W1024">
        <f t="shared" si="172"/>
        <v>0</v>
      </c>
      <c r="Y1024" t="str">
        <f t="shared" si="173"/>
        <v/>
      </c>
    </row>
    <row r="1025" spans="8:25">
      <c r="H1025">
        <v>793</v>
      </c>
      <c r="I1025" s="18">
        <v>45</v>
      </c>
      <c r="J1025">
        <v>34</v>
      </c>
      <c r="K1025">
        <f t="shared" si="163"/>
        <v>170</v>
      </c>
      <c r="L1025" s="39">
        <f t="shared" si="164"/>
        <v>540.74663549914317</v>
      </c>
      <c r="M1025">
        <f t="shared" si="165"/>
        <v>425.31337508538434</v>
      </c>
      <c r="N1025">
        <f t="shared" si="166"/>
        <v>80495.371813572332</v>
      </c>
      <c r="O1025" s="39">
        <f t="shared" si="167"/>
        <v>96038.129215229666</v>
      </c>
      <c r="S1025">
        <f t="shared" si="168"/>
        <v>0</v>
      </c>
      <c r="T1025">
        <f t="shared" si="169"/>
        <v>1</v>
      </c>
      <c r="U1025">
        <f t="shared" si="170"/>
        <v>0</v>
      </c>
      <c r="V1025">
        <f t="shared" si="171"/>
        <v>0</v>
      </c>
      <c r="W1025">
        <f t="shared" si="172"/>
        <v>1</v>
      </c>
      <c r="Y1025" t="str">
        <f t="shared" si="173"/>
        <v/>
      </c>
    </row>
    <row r="1026" spans="8:25">
      <c r="H1026">
        <v>794</v>
      </c>
      <c r="I1026" s="18">
        <v>28</v>
      </c>
      <c r="J1026">
        <v>88</v>
      </c>
      <c r="K1026">
        <f t="shared" si="163"/>
        <v>440</v>
      </c>
      <c r="L1026" s="39">
        <f t="shared" si="164"/>
        <v>541.86190089116735</v>
      </c>
      <c r="M1026">
        <f t="shared" si="165"/>
        <v>290.31337508538434</v>
      </c>
      <c r="N1026">
        <f t="shared" si="166"/>
        <v>55058.415047263894</v>
      </c>
      <c r="O1026" s="39">
        <f t="shared" si="167"/>
        <v>70601.172448921221</v>
      </c>
      <c r="S1026">
        <f t="shared" si="168"/>
        <v>0</v>
      </c>
      <c r="T1026">
        <f t="shared" si="169"/>
        <v>1</v>
      </c>
      <c r="U1026">
        <f t="shared" si="170"/>
        <v>0</v>
      </c>
      <c r="V1026">
        <f t="shared" si="171"/>
        <v>0</v>
      </c>
      <c r="W1026">
        <f t="shared" si="172"/>
        <v>0</v>
      </c>
      <c r="Y1026" t="str">
        <f t="shared" si="173"/>
        <v/>
      </c>
    </row>
    <row r="1027" spans="8:25">
      <c r="H1027">
        <v>795</v>
      </c>
      <c r="I1027" s="18">
        <v>38</v>
      </c>
      <c r="J1027">
        <v>48</v>
      </c>
      <c r="K1027">
        <f t="shared" si="163"/>
        <v>240</v>
      </c>
      <c r="L1027" s="39">
        <f t="shared" si="164"/>
        <v>544.37517501403931</v>
      </c>
      <c r="M1027">
        <f t="shared" si="165"/>
        <v>390.31337508538434</v>
      </c>
      <c r="N1027">
        <f t="shared" si="166"/>
        <v>74366.919155349271</v>
      </c>
      <c r="O1027" s="39">
        <f t="shared" si="167"/>
        <v>89909.676557006605</v>
      </c>
      <c r="S1027">
        <f t="shared" si="168"/>
        <v>0</v>
      </c>
      <c r="T1027">
        <f t="shared" si="169"/>
        <v>1</v>
      </c>
      <c r="U1027">
        <f t="shared" si="170"/>
        <v>0</v>
      </c>
      <c r="V1027">
        <f t="shared" si="171"/>
        <v>0</v>
      </c>
      <c r="W1027">
        <f t="shared" si="172"/>
        <v>1</v>
      </c>
      <c r="Y1027" t="str">
        <f t="shared" si="173"/>
        <v/>
      </c>
    </row>
    <row r="1028" spans="8:25">
      <c r="H1028">
        <v>796</v>
      </c>
      <c r="I1028" s="18">
        <v>34</v>
      </c>
      <c r="J1028">
        <v>60</v>
      </c>
      <c r="K1028">
        <f t="shared" si="163"/>
        <v>300</v>
      </c>
      <c r="L1028" s="39">
        <f t="shared" si="164"/>
        <v>544.75216613247005</v>
      </c>
      <c r="M1028">
        <f t="shared" si="165"/>
        <v>360.31337508538434</v>
      </c>
      <c r="N1028">
        <f t="shared" si="166"/>
        <v>68698.522047492486</v>
      </c>
      <c r="O1028" s="39">
        <f t="shared" si="167"/>
        <v>84241.279449149821</v>
      </c>
      <c r="S1028">
        <f t="shared" si="168"/>
        <v>0</v>
      </c>
      <c r="T1028">
        <f t="shared" si="169"/>
        <v>1</v>
      </c>
      <c r="U1028">
        <f t="shared" si="170"/>
        <v>0</v>
      </c>
      <c r="V1028">
        <f t="shared" si="171"/>
        <v>0</v>
      </c>
      <c r="W1028">
        <f t="shared" si="172"/>
        <v>1</v>
      </c>
      <c r="Y1028" t="str">
        <f t="shared" si="173"/>
        <v/>
      </c>
    </row>
    <row r="1029" spans="8:25">
      <c r="H1029">
        <v>797</v>
      </c>
      <c r="I1029" s="18">
        <v>32</v>
      </c>
      <c r="J1029">
        <v>68</v>
      </c>
      <c r="K1029">
        <f t="shared" si="163"/>
        <v>340</v>
      </c>
      <c r="L1029" s="39">
        <f t="shared" si="164"/>
        <v>546.88844913691128</v>
      </c>
      <c r="M1029">
        <f t="shared" si="165"/>
        <v>340.31337508538434</v>
      </c>
      <c r="N1029">
        <f t="shared" si="166"/>
        <v>65139.70887234783</v>
      </c>
      <c r="O1029" s="39">
        <f t="shared" si="167"/>
        <v>80682.466274005157</v>
      </c>
      <c r="S1029">
        <f t="shared" si="168"/>
        <v>0</v>
      </c>
      <c r="T1029">
        <f t="shared" si="169"/>
        <v>1</v>
      </c>
      <c r="U1029">
        <f t="shared" si="170"/>
        <v>0</v>
      </c>
      <c r="V1029">
        <f t="shared" si="171"/>
        <v>0</v>
      </c>
      <c r="W1029">
        <f t="shared" si="172"/>
        <v>0</v>
      </c>
      <c r="Y1029" t="str">
        <f t="shared" si="173"/>
        <v/>
      </c>
    </row>
    <row r="1030" spans="8:25">
      <c r="H1030">
        <v>798</v>
      </c>
      <c r="I1030" s="18">
        <v>36</v>
      </c>
      <c r="J1030">
        <v>54</v>
      </c>
      <c r="K1030">
        <f t="shared" si="163"/>
        <v>270</v>
      </c>
      <c r="L1030" s="39">
        <f t="shared" si="164"/>
        <v>549.65305067207021</v>
      </c>
      <c r="M1030">
        <f t="shared" si="165"/>
        <v>375.31337508538434</v>
      </c>
      <c r="N1030">
        <f t="shared" si="166"/>
        <v>72202.249550799359</v>
      </c>
      <c r="O1030" s="39">
        <f t="shared" si="167"/>
        <v>87745.006952456693</v>
      </c>
      <c r="S1030">
        <f t="shared" si="168"/>
        <v>0</v>
      </c>
      <c r="T1030">
        <f t="shared" si="169"/>
        <v>1</v>
      </c>
      <c r="U1030">
        <f t="shared" si="170"/>
        <v>0</v>
      </c>
      <c r="V1030">
        <f t="shared" si="171"/>
        <v>0</v>
      </c>
      <c r="W1030">
        <f t="shared" si="172"/>
        <v>1</v>
      </c>
      <c r="Y1030" t="str">
        <f t="shared" si="173"/>
        <v/>
      </c>
    </row>
    <row r="1031" spans="8:25">
      <c r="H1031">
        <v>799</v>
      </c>
      <c r="I1031" s="18">
        <v>50</v>
      </c>
      <c r="J1031">
        <v>28</v>
      </c>
      <c r="K1031">
        <f t="shared" si="163"/>
        <v>140</v>
      </c>
      <c r="L1031" s="39">
        <f t="shared" si="164"/>
        <v>549.77871437821375</v>
      </c>
      <c r="M1031">
        <f t="shared" si="165"/>
        <v>440.31337508538434</v>
      </c>
      <c r="N1031">
        <f t="shared" si="166"/>
        <v>84726.222447291177</v>
      </c>
      <c r="O1031" s="39">
        <f t="shared" si="167"/>
        <v>100268.97984894851</v>
      </c>
      <c r="S1031">
        <f t="shared" si="168"/>
        <v>0</v>
      </c>
      <c r="T1031">
        <f t="shared" si="169"/>
        <v>1</v>
      </c>
      <c r="U1031">
        <f t="shared" si="170"/>
        <v>0</v>
      </c>
      <c r="V1031">
        <f t="shared" si="171"/>
        <v>0</v>
      </c>
      <c r="W1031">
        <f t="shared" si="172"/>
        <v>1</v>
      </c>
      <c r="Y1031" t="str">
        <f t="shared" si="173"/>
        <v/>
      </c>
    </row>
    <row r="1032" spans="8:25">
      <c r="H1032">
        <v>800</v>
      </c>
      <c r="I1032" s="18">
        <v>30</v>
      </c>
      <c r="J1032">
        <v>78</v>
      </c>
      <c r="K1032">
        <f t="shared" si="163"/>
        <v>390</v>
      </c>
      <c r="L1032" s="39">
        <f t="shared" si="164"/>
        <v>551.3495107050087</v>
      </c>
      <c r="M1032">
        <f t="shared" si="165"/>
        <v>315.31337508538434</v>
      </c>
      <c r="N1032">
        <f t="shared" si="166"/>
        <v>60846.756275225038</v>
      </c>
      <c r="O1032" s="39">
        <f t="shared" si="167"/>
        <v>76389.513676882372</v>
      </c>
      <c r="S1032">
        <f t="shared" si="168"/>
        <v>0</v>
      </c>
      <c r="T1032">
        <f t="shared" si="169"/>
        <v>1</v>
      </c>
      <c r="U1032">
        <f t="shared" si="170"/>
        <v>0</v>
      </c>
      <c r="V1032">
        <f t="shared" si="171"/>
        <v>0</v>
      </c>
      <c r="W1032">
        <f t="shared" si="172"/>
        <v>0</v>
      </c>
      <c r="Y1032" t="str">
        <f t="shared" si="173"/>
        <v/>
      </c>
    </row>
    <row r="1033" spans="8:25">
      <c r="H1033">
        <v>801</v>
      </c>
      <c r="I1033" s="18">
        <v>40</v>
      </c>
      <c r="J1033">
        <v>44</v>
      </c>
      <c r="K1033">
        <f t="shared" si="163"/>
        <v>220</v>
      </c>
      <c r="L1033" s="39">
        <f t="shared" si="164"/>
        <v>552.92030703180353</v>
      </c>
      <c r="M1033">
        <f t="shared" si="165"/>
        <v>400.31337508538434</v>
      </c>
      <c r="N1033">
        <f t="shared" si="166"/>
        <v>77469.487991401882</v>
      </c>
      <c r="O1033" s="39">
        <f t="shared" si="167"/>
        <v>93012.245393059216</v>
      </c>
      <c r="S1033">
        <f t="shared" si="168"/>
        <v>0</v>
      </c>
      <c r="T1033">
        <f t="shared" si="169"/>
        <v>1</v>
      </c>
      <c r="U1033">
        <f t="shared" si="170"/>
        <v>0</v>
      </c>
      <c r="V1033">
        <f t="shared" si="171"/>
        <v>0</v>
      </c>
      <c r="W1033">
        <f t="shared" si="172"/>
        <v>1</v>
      </c>
      <c r="Y1033" t="str">
        <f t="shared" si="173"/>
        <v/>
      </c>
    </row>
    <row r="1034" spans="8:25">
      <c r="H1034">
        <v>802</v>
      </c>
      <c r="I1034" s="18">
        <v>28</v>
      </c>
      <c r="J1034">
        <v>90</v>
      </c>
      <c r="K1034">
        <f t="shared" si="163"/>
        <v>450</v>
      </c>
      <c r="L1034" s="39">
        <f t="shared" si="164"/>
        <v>554.1769440932394</v>
      </c>
      <c r="M1034">
        <f t="shared" si="165"/>
        <v>285.31337508538434</v>
      </c>
      <c r="N1034">
        <f t="shared" si="166"/>
        <v>55339.93300981127</v>
      </c>
      <c r="O1034" s="39">
        <f t="shared" si="167"/>
        <v>70882.690411468604</v>
      </c>
      <c r="S1034">
        <f t="shared" si="168"/>
        <v>0</v>
      </c>
      <c r="T1034">
        <f t="shared" si="169"/>
        <v>1</v>
      </c>
      <c r="U1034">
        <f t="shared" si="170"/>
        <v>0</v>
      </c>
      <c r="V1034">
        <f t="shared" si="171"/>
        <v>0</v>
      </c>
      <c r="W1034">
        <f t="shared" si="172"/>
        <v>0</v>
      </c>
      <c r="Y1034" t="str">
        <f t="shared" si="173"/>
        <v/>
      </c>
    </row>
    <row r="1035" spans="8:25">
      <c r="H1035">
        <v>803</v>
      </c>
      <c r="I1035" s="18">
        <v>34</v>
      </c>
      <c r="J1035">
        <v>62</v>
      </c>
      <c r="K1035">
        <f t="shared" si="163"/>
        <v>310</v>
      </c>
      <c r="L1035" s="39">
        <f t="shared" si="164"/>
        <v>562.91057167021904</v>
      </c>
      <c r="M1035">
        <f t="shared" si="165"/>
        <v>355.31337508538434</v>
      </c>
      <c r="N1035">
        <f t="shared" si="166"/>
        <v>70003.379281986025</v>
      </c>
      <c r="O1035" s="39">
        <f t="shared" si="167"/>
        <v>85546.136683643359</v>
      </c>
      <c r="S1035">
        <f t="shared" si="168"/>
        <v>0</v>
      </c>
      <c r="T1035">
        <f t="shared" si="169"/>
        <v>1</v>
      </c>
      <c r="U1035">
        <f t="shared" si="170"/>
        <v>0</v>
      </c>
      <c r="V1035">
        <f t="shared" si="171"/>
        <v>0</v>
      </c>
      <c r="W1035">
        <f t="shared" si="172"/>
        <v>0</v>
      </c>
      <c r="Y1035" t="str">
        <f t="shared" si="173"/>
        <v/>
      </c>
    </row>
    <row r="1036" spans="8:25">
      <c r="H1036">
        <v>804</v>
      </c>
      <c r="I1036" s="18">
        <v>32</v>
      </c>
      <c r="J1036">
        <v>70</v>
      </c>
      <c r="K1036">
        <f t="shared" si="163"/>
        <v>350</v>
      </c>
      <c r="L1036" s="39">
        <f t="shared" si="164"/>
        <v>562.97340352329104</v>
      </c>
      <c r="M1036">
        <f t="shared" si="165"/>
        <v>335.31337508538434</v>
      </c>
      <c r="N1036">
        <f t="shared" si="166"/>
        <v>66070.379206545244</v>
      </c>
      <c r="O1036" s="39">
        <f t="shared" si="167"/>
        <v>81613.136608202578</v>
      </c>
      <c r="S1036">
        <f t="shared" si="168"/>
        <v>0</v>
      </c>
      <c r="T1036">
        <f t="shared" si="169"/>
        <v>1</v>
      </c>
      <c r="U1036">
        <f t="shared" si="170"/>
        <v>0</v>
      </c>
      <c r="V1036">
        <f t="shared" si="171"/>
        <v>0</v>
      </c>
      <c r="W1036">
        <f t="shared" si="172"/>
        <v>0</v>
      </c>
      <c r="Y1036" t="str">
        <f t="shared" si="173"/>
        <v/>
      </c>
    </row>
    <row r="1037" spans="8:25">
      <c r="H1037">
        <v>805</v>
      </c>
      <c r="I1037" s="18">
        <v>30</v>
      </c>
      <c r="J1037">
        <v>80</v>
      </c>
      <c r="K1037">
        <f t="shared" si="163"/>
        <v>400</v>
      </c>
      <c r="L1037" s="39">
        <f t="shared" si="164"/>
        <v>565.48667764616278</v>
      </c>
      <c r="M1037">
        <f t="shared" si="165"/>
        <v>310.31337508538434</v>
      </c>
      <c r="N1037">
        <f t="shared" si="166"/>
        <v>61417.327827170528</v>
      </c>
      <c r="O1037" s="39">
        <f t="shared" si="167"/>
        <v>76960.085228827869</v>
      </c>
      <c r="S1037">
        <f t="shared" si="168"/>
        <v>0</v>
      </c>
      <c r="T1037">
        <f t="shared" si="169"/>
        <v>1</v>
      </c>
      <c r="U1037">
        <f t="shared" si="170"/>
        <v>0</v>
      </c>
      <c r="V1037">
        <f t="shared" si="171"/>
        <v>0</v>
      </c>
      <c r="W1037">
        <f t="shared" si="172"/>
        <v>0</v>
      </c>
      <c r="Y1037" t="str">
        <f t="shared" si="173"/>
        <v/>
      </c>
    </row>
    <row r="1038" spans="8:25">
      <c r="H1038">
        <v>806</v>
      </c>
      <c r="I1038" s="18">
        <v>28</v>
      </c>
      <c r="J1038">
        <v>92</v>
      </c>
      <c r="K1038">
        <f t="shared" si="163"/>
        <v>460</v>
      </c>
      <c r="L1038" s="39">
        <f t="shared" si="164"/>
        <v>566.49198729531145</v>
      </c>
      <c r="M1038">
        <f t="shared" si="165"/>
        <v>280.31337508538434</v>
      </c>
      <c r="N1038">
        <f t="shared" si="166"/>
        <v>55578.348321151389</v>
      </c>
      <c r="O1038" s="39">
        <f t="shared" si="167"/>
        <v>71121.105722808716</v>
      </c>
      <c r="S1038">
        <f t="shared" si="168"/>
        <v>0</v>
      </c>
      <c r="T1038">
        <f t="shared" si="169"/>
        <v>1</v>
      </c>
      <c r="U1038">
        <f t="shared" si="170"/>
        <v>0</v>
      </c>
      <c r="V1038">
        <f t="shared" si="171"/>
        <v>0</v>
      </c>
      <c r="W1038">
        <f t="shared" si="172"/>
        <v>0</v>
      </c>
      <c r="Y1038" t="str">
        <f t="shared" si="173"/>
        <v/>
      </c>
    </row>
    <row r="1039" spans="8:25">
      <c r="H1039">
        <v>807</v>
      </c>
      <c r="I1039" s="18">
        <v>38</v>
      </c>
      <c r="J1039">
        <v>50</v>
      </c>
      <c r="K1039">
        <f t="shared" si="163"/>
        <v>250</v>
      </c>
      <c r="L1039" s="39">
        <f t="shared" si="164"/>
        <v>567.05747397295761</v>
      </c>
      <c r="M1039">
        <f t="shared" si="165"/>
        <v>385.31337508538434</v>
      </c>
      <c r="N1039">
        <f t="shared" si="166"/>
        <v>76473.19020736948</v>
      </c>
      <c r="O1039" s="39">
        <f t="shared" si="167"/>
        <v>92015.947609026814</v>
      </c>
      <c r="S1039">
        <f t="shared" si="168"/>
        <v>0</v>
      </c>
      <c r="T1039">
        <f t="shared" si="169"/>
        <v>1</v>
      </c>
      <c r="U1039">
        <f t="shared" si="170"/>
        <v>0</v>
      </c>
      <c r="V1039">
        <f t="shared" si="171"/>
        <v>0</v>
      </c>
      <c r="W1039">
        <f t="shared" si="172"/>
        <v>1</v>
      </c>
      <c r="Y1039" t="str">
        <f t="shared" si="173"/>
        <v/>
      </c>
    </row>
    <row r="1040" spans="8:25">
      <c r="H1040">
        <v>808</v>
      </c>
      <c r="I1040" s="18">
        <v>36</v>
      </c>
      <c r="J1040">
        <v>56</v>
      </c>
      <c r="K1040">
        <f t="shared" si="163"/>
        <v>280</v>
      </c>
      <c r="L1040" s="39">
        <f t="shared" si="164"/>
        <v>570.01057106733208</v>
      </c>
      <c r="M1040">
        <f t="shared" si="165"/>
        <v>370.31337508538434</v>
      </c>
      <c r="N1040">
        <f t="shared" si="166"/>
        <v>73878.888442201875</v>
      </c>
      <c r="O1040" s="39">
        <f t="shared" si="167"/>
        <v>89421.645843859209</v>
      </c>
      <c r="S1040">
        <f t="shared" si="168"/>
        <v>0</v>
      </c>
      <c r="T1040">
        <f t="shared" si="169"/>
        <v>1</v>
      </c>
      <c r="U1040">
        <f t="shared" si="170"/>
        <v>0</v>
      </c>
      <c r="V1040">
        <f t="shared" si="171"/>
        <v>0</v>
      </c>
      <c r="W1040">
        <f t="shared" si="172"/>
        <v>1</v>
      </c>
      <c r="Y1040" t="str">
        <f t="shared" si="173"/>
        <v/>
      </c>
    </row>
    <row r="1041" spans="8:25">
      <c r="H1041">
        <v>809</v>
      </c>
      <c r="I1041" s="18">
        <v>45</v>
      </c>
      <c r="J1041">
        <v>36</v>
      </c>
      <c r="K1041">
        <f t="shared" si="163"/>
        <v>180</v>
      </c>
      <c r="L1041" s="39">
        <f t="shared" si="164"/>
        <v>572.55526111673976</v>
      </c>
      <c r="M1041">
        <f t="shared" si="165"/>
        <v>420.31337508538434</v>
      </c>
      <c r="N1041">
        <f t="shared" si="166"/>
        <v>84228.421978004655</v>
      </c>
      <c r="O1041" s="39">
        <f t="shared" si="167"/>
        <v>99771.17937966199</v>
      </c>
      <c r="S1041">
        <f t="shared" si="168"/>
        <v>0</v>
      </c>
      <c r="T1041">
        <f t="shared" si="169"/>
        <v>1</v>
      </c>
      <c r="U1041">
        <f t="shared" si="170"/>
        <v>0</v>
      </c>
      <c r="V1041">
        <f t="shared" si="171"/>
        <v>0</v>
      </c>
      <c r="W1041">
        <f t="shared" si="172"/>
        <v>1</v>
      </c>
      <c r="Y1041" t="str">
        <f t="shared" si="173"/>
        <v/>
      </c>
    </row>
    <row r="1042" spans="8:25">
      <c r="H1042">
        <v>810</v>
      </c>
      <c r="I1042" s="18">
        <v>40</v>
      </c>
      <c r="J1042">
        <v>46</v>
      </c>
      <c r="K1042">
        <f t="shared" si="163"/>
        <v>230</v>
      </c>
      <c r="L1042" s="39">
        <f t="shared" si="164"/>
        <v>578.0530482605219</v>
      </c>
      <c r="M1042">
        <f t="shared" si="165"/>
        <v>395.31337508538434</v>
      </c>
      <c r="N1042">
        <f t="shared" si="166"/>
        <v>79979.23552019152</v>
      </c>
      <c r="O1042" s="39">
        <f t="shared" si="167"/>
        <v>95521.992921848854</v>
      </c>
      <c r="S1042">
        <f t="shared" si="168"/>
        <v>0</v>
      </c>
      <c r="T1042">
        <f t="shared" si="169"/>
        <v>1</v>
      </c>
      <c r="U1042">
        <f t="shared" si="170"/>
        <v>0</v>
      </c>
      <c r="V1042">
        <f t="shared" si="171"/>
        <v>0</v>
      </c>
      <c r="W1042">
        <f t="shared" si="172"/>
        <v>1</v>
      </c>
      <c r="Y1042" t="str">
        <f t="shared" si="173"/>
        <v/>
      </c>
    </row>
    <row r="1043" spans="8:25">
      <c r="H1043">
        <v>811</v>
      </c>
      <c r="I1043" s="18">
        <v>28</v>
      </c>
      <c r="J1043">
        <v>94</v>
      </c>
      <c r="K1043">
        <f t="shared" si="163"/>
        <v>470</v>
      </c>
      <c r="L1043" s="39">
        <f t="shared" si="164"/>
        <v>578.80703049738349</v>
      </c>
      <c r="M1043">
        <f t="shared" si="165"/>
        <v>275.31337508538434</v>
      </c>
      <c r="N1043">
        <f t="shared" si="166"/>
        <v>55773.66098128428</v>
      </c>
      <c r="O1043" s="39">
        <f t="shared" si="167"/>
        <v>71316.418382941614</v>
      </c>
      <c r="S1043">
        <f t="shared" si="168"/>
        <v>0</v>
      </c>
      <c r="T1043">
        <f t="shared" si="169"/>
        <v>1</v>
      </c>
      <c r="U1043">
        <f t="shared" si="170"/>
        <v>0</v>
      </c>
      <c r="V1043">
        <f t="shared" si="171"/>
        <v>0</v>
      </c>
      <c r="W1043">
        <f t="shared" si="172"/>
        <v>0</v>
      </c>
      <c r="Y1043" t="str">
        <f t="shared" si="173"/>
        <v/>
      </c>
    </row>
    <row r="1044" spans="8:25">
      <c r="H1044">
        <v>812</v>
      </c>
      <c r="I1044" s="18">
        <v>32</v>
      </c>
      <c r="J1044">
        <v>72</v>
      </c>
      <c r="K1044">
        <f t="shared" si="163"/>
        <v>360</v>
      </c>
      <c r="L1044" s="39">
        <f t="shared" si="164"/>
        <v>579.0583579096708</v>
      </c>
      <c r="M1044">
        <f t="shared" si="165"/>
        <v>330.31337508538434</v>
      </c>
      <c r="N1044">
        <f t="shared" si="166"/>
        <v>66944.752200390329</v>
      </c>
      <c r="O1044" s="39">
        <f t="shared" si="167"/>
        <v>82487.509602047663</v>
      </c>
      <c r="S1044">
        <f t="shared" si="168"/>
        <v>0</v>
      </c>
      <c r="T1044">
        <f t="shared" si="169"/>
        <v>1</v>
      </c>
      <c r="U1044">
        <f t="shared" si="170"/>
        <v>0</v>
      </c>
      <c r="V1044">
        <f t="shared" si="171"/>
        <v>0</v>
      </c>
      <c r="W1044">
        <f t="shared" si="172"/>
        <v>0</v>
      </c>
      <c r="Y1044" t="str">
        <f t="shared" si="173"/>
        <v/>
      </c>
    </row>
    <row r="1045" spans="8:25">
      <c r="H1045">
        <v>813</v>
      </c>
      <c r="I1045" s="18">
        <v>30</v>
      </c>
      <c r="J1045">
        <v>82</v>
      </c>
      <c r="K1045">
        <f t="shared" si="163"/>
        <v>410</v>
      </c>
      <c r="L1045" s="39">
        <f t="shared" si="164"/>
        <v>579.62384458731674</v>
      </c>
      <c r="M1045">
        <f t="shared" si="165"/>
        <v>305.31337508538434</v>
      </c>
      <c r="N1045">
        <f t="shared" si="166"/>
        <v>61938.419294821986</v>
      </c>
      <c r="O1045" s="39">
        <f t="shared" si="167"/>
        <v>77481.176696479321</v>
      </c>
      <c r="S1045">
        <f t="shared" si="168"/>
        <v>0</v>
      </c>
      <c r="T1045">
        <f t="shared" si="169"/>
        <v>1</v>
      </c>
      <c r="U1045">
        <f t="shared" si="170"/>
        <v>0</v>
      </c>
      <c r="V1045">
        <f t="shared" si="171"/>
        <v>0</v>
      </c>
      <c r="W1045">
        <f t="shared" si="172"/>
        <v>0</v>
      </c>
      <c r="Y1045" t="str">
        <f t="shared" si="173"/>
        <v/>
      </c>
    </row>
    <row r="1046" spans="8:25">
      <c r="H1046">
        <v>814</v>
      </c>
      <c r="I1046" s="18">
        <v>34</v>
      </c>
      <c r="J1046">
        <v>64</v>
      </c>
      <c r="K1046">
        <f t="shared" si="163"/>
        <v>320</v>
      </c>
      <c r="L1046" s="39">
        <f t="shared" si="164"/>
        <v>581.06897720796803</v>
      </c>
      <c r="M1046">
        <f t="shared" si="165"/>
        <v>350.31337508538434</v>
      </c>
      <c r="N1046">
        <f t="shared" si="166"/>
        <v>71244.682097097437</v>
      </c>
      <c r="O1046" s="39">
        <f t="shared" si="167"/>
        <v>86787.439498754771</v>
      </c>
      <c r="S1046">
        <f t="shared" si="168"/>
        <v>0</v>
      </c>
      <c r="T1046">
        <f t="shared" si="169"/>
        <v>1</v>
      </c>
      <c r="U1046">
        <f t="shared" si="170"/>
        <v>0</v>
      </c>
      <c r="V1046">
        <f t="shared" si="171"/>
        <v>0</v>
      </c>
      <c r="W1046">
        <f t="shared" si="172"/>
        <v>0</v>
      </c>
      <c r="Y1046" t="str">
        <f t="shared" si="173"/>
        <v/>
      </c>
    </row>
    <row r="1047" spans="8:25">
      <c r="H1047">
        <v>815</v>
      </c>
      <c r="I1047" s="18">
        <v>50</v>
      </c>
      <c r="J1047">
        <v>30</v>
      </c>
      <c r="K1047">
        <f t="shared" si="163"/>
        <v>150</v>
      </c>
      <c r="L1047" s="39">
        <f t="shared" si="164"/>
        <v>589.0486225480862</v>
      </c>
      <c r="M1047">
        <f t="shared" si="165"/>
        <v>435.31337508538434</v>
      </c>
      <c r="N1047">
        <f t="shared" si="166"/>
        <v>89747.260389781412</v>
      </c>
      <c r="O1047" s="39">
        <f t="shared" si="167"/>
        <v>105290.01779143875</v>
      </c>
      <c r="S1047">
        <f t="shared" si="168"/>
        <v>0</v>
      </c>
      <c r="T1047">
        <f t="shared" si="169"/>
        <v>1</v>
      </c>
      <c r="U1047">
        <f t="shared" si="170"/>
        <v>0</v>
      </c>
      <c r="V1047">
        <f t="shared" si="171"/>
        <v>0</v>
      </c>
      <c r="W1047">
        <f t="shared" si="172"/>
        <v>1</v>
      </c>
      <c r="Y1047" t="str">
        <f t="shared" si="173"/>
        <v/>
      </c>
    </row>
    <row r="1048" spans="8:25">
      <c r="H1048">
        <v>816</v>
      </c>
      <c r="I1048" s="18">
        <v>38</v>
      </c>
      <c r="J1048">
        <v>52</v>
      </c>
      <c r="K1048">
        <f t="shared" si="163"/>
        <v>260</v>
      </c>
      <c r="L1048" s="39">
        <f t="shared" si="164"/>
        <v>589.73977293187602</v>
      </c>
      <c r="M1048">
        <f t="shared" si="165"/>
        <v>380.31337508538434</v>
      </c>
      <c r="N1048">
        <f t="shared" si="166"/>
        <v>78500.07321303348</v>
      </c>
      <c r="O1048" s="39">
        <f t="shared" si="167"/>
        <v>94042.830614690814</v>
      </c>
      <c r="S1048">
        <f t="shared" si="168"/>
        <v>0</v>
      </c>
      <c r="T1048">
        <f t="shared" si="169"/>
        <v>1</v>
      </c>
      <c r="U1048">
        <f t="shared" si="170"/>
        <v>0</v>
      </c>
      <c r="V1048">
        <f t="shared" si="171"/>
        <v>0</v>
      </c>
      <c r="W1048">
        <f t="shared" si="172"/>
        <v>1</v>
      </c>
      <c r="Y1048" t="str">
        <f t="shared" si="173"/>
        <v/>
      </c>
    </row>
    <row r="1049" spans="8:25">
      <c r="H1049">
        <v>817</v>
      </c>
      <c r="I1049" s="18">
        <v>36</v>
      </c>
      <c r="J1049">
        <v>58</v>
      </c>
      <c r="K1049">
        <f t="shared" si="163"/>
        <v>290</v>
      </c>
      <c r="L1049" s="39">
        <f t="shared" si="164"/>
        <v>590.36809146259395</v>
      </c>
      <c r="M1049">
        <f t="shared" si="165"/>
        <v>365.31337508538434</v>
      </c>
      <c r="N1049">
        <f t="shared" si="166"/>
        <v>75484.276012220987</v>
      </c>
      <c r="O1049" s="39">
        <f t="shared" si="167"/>
        <v>91027.033413878322</v>
      </c>
      <c r="S1049">
        <f t="shared" si="168"/>
        <v>0</v>
      </c>
      <c r="T1049">
        <f t="shared" si="169"/>
        <v>1</v>
      </c>
      <c r="U1049">
        <f t="shared" si="170"/>
        <v>0</v>
      </c>
      <c r="V1049">
        <f t="shared" si="171"/>
        <v>0</v>
      </c>
      <c r="W1049">
        <f t="shared" si="172"/>
        <v>1</v>
      </c>
      <c r="Y1049" t="str">
        <f t="shared" si="173"/>
        <v/>
      </c>
    </row>
    <row r="1050" spans="8:25">
      <c r="H1050">
        <v>818</v>
      </c>
      <c r="I1050" s="18">
        <v>28</v>
      </c>
      <c r="J1050">
        <v>96</v>
      </c>
      <c r="K1050">
        <f t="shared" si="163"/>
        <v>480</v>
      </c>
      <c r="L1050" s="39">
        <f t="shared" si="164"/>
        <v>591.12207369945543</v>
      </c>
      <c r="M1050">
        <f t="shared" si="165"/>
        <v>270.31337508538434</v>
      </c>
      <c r="N1050">
        <f t="shared" si="166"/>
        <v>55925.870990209885</v>
      </c>
      <c r="O1050" s="39">
        <f t="shared" si="167"/>
        <v>71468.628391867212</v>
      </c>
      <c r="S1050">
        <f t="shared" si="168"/>
        <v>0</v>
      </c>
      <c r="T1050">
        <f t="shared" si="169"/>
        <v>1</v>
      </c>
      <c r="U1050">
        <f t="shared" si="170"/>
        <v>0</v>
      </c>
      <c r="V1050">
        <f t="shared" si="171"/>
        <v>0</v>
      </c>
      <c r="W1050">
        <f t="shared" si="172"/>
        <v>0</v>
      </c>
      <c r="Y1050" t="str">
        <f t="shared" si="173"/>
        <v/>
      </c>
    </row>
    <row r="1051" spans="8:25">
      <c r="H1051">
        <v>819</v>
      </c>
      <c r="I1051" s="18">
        <v>30</v>
      </c>
      <c r="J1051">
        <v>84</v>
      </c>
      <c r="K1051">
        <f t="shared" si="163"/>
        <v>420</v>
      </c>
      <c r="L1051" s="39">
        <f t="shared" si="164"/>
        <v>593.76101152847093</v>
      </c>
      <c r="M1051">
        <f t="shared" si="165"/>
        <v>300.31337508538434</v>
      </c>
      <c r="N1051">
        <f t="shared" si="166"/>
        <v>62410.030678179421</v>
      </c>
      <c r="O1051" s="39">
        <f t="shared" si="167"/>
        <v>77952.788079836755</v>
      </c>
      <c r="S1051">
        <f t="shared" si="168"/>
        <v>0</v>
      </c>
      <c r="T1051">
        <f t="shared" si="169"/>
        <v>1</v>
      </c>
      <c r="U1051">
        <f t="shared" si="170"/>
        <v>0</v>
      </c>
      <c r="V1051">
        <f t="shared" si="171"/>
        <v>0</v>
      </c>
      <c r="W1051">
        <f t="shared" si="172"/>
        <v>0</v>
      </c>
      <c r="Y1051" t="str">
        <f t="shared" si="173"/>
        <v/>
      </c>
    </row>
    <row r="1052" spans="8:25">
      <c r="H1052">
        <v>820</v>
      </c>
      <c r="I1052" s="18">
        <v>32</v>
      </c>
      <c r="J1052">
        <v>74</v>
      </c>
      <c r="K1052">
        <f t="shared" si="163"/>
        <v>370</v>
      </c>
      <c r="L1052" s="39">
        <f t="shared" si="164"/>
        <v>595.14331229605057</v>
      </c>
      <c r="M1052">
        <f t="shared" si="165"/>
        <v>325.31337508538434</v>
      </c>
      <c r="N1052">
        <f t="shared" si="166"/>
        <v>67762.827853883093</v>
      </c>
      <c r="O1052" s="39">
        <f t="shared" si="167"/>
        <v>83305.585255540427</v>
      </c>
      <c r="S1052">
        <f t="shared" si="168"/>
        <v>0</v>
      </c>
      <c r="T1052">
        <f t="shared" si="169"/>
        <v>1</v>
      </c>
      <c r="U1052">
        <f t="shared" si="170"/>
        <v>0</v>
      </c>
      <c r="V1052">
        <f t="shared" si="171"/>
        <v>0</v>
      </c>
      <c r="W1052">
        <f t="shared" si="172"/>
        <v>0</v>
      </c>
      <c r="Y1052" t="str">
        <f t="shared" si="173"/>
        <v/>
      </c>
    </row>
    <row r="1053" spans="8:25">
      <c r="H1053">
        <v>821</v>
      </c>
      <c r="I1053" s="18">
        <v>34</v>
      </c>
      <c r="J1053">
        <v>66</v>
      </c>
      <c r="K1053">
        <f t="shared" si="163"/>
        <v>330</v>
      </c>
      <c r="L1053" s="39">
        <f t="shared" si="164"/>
        <v>599.22738274571714</v>
      </c>
      <c r="M1053">
        <f t="shared" si="165"/>
        <v>345.31337508538434</v>
      </c>
      <c r="N1053">
        <f t="shared" si="166"/>
        <v>72422.430492826752</v>
      </c>
      <c r="O1053" s="39">
        <f t="shared" si="167"/>
        <v>87965.187894484086</v>
      </c>
      <c r="S1053">
        <f t="shared" si="168"/>
        <v>0</v>
      </c>
      <c r="T1053">
        <f t="shared" si="169"/>
        <v>1</v>
      </c>
      <c r="U1053">
        <f t="shared" si="170"/>
        <v>0</v>
      </c>
      <c r="V1053">
        <f t="shared" si="171"/>
        <v>0</v>
      </c>
      <c r="W1053">
        <f t="shared" si="172"/>
        <v>0</v>
      </c>
      <c r="Y1053" t="str">
        <f t="shared" si="173"/>
        <v/>
      </c>
    </row>
    <row r="1054" spans="8:25">
      <c r="H1054">
        <v>822</v>
      </c>
      <c r="I1054" s="18">
        <v>40</v>
      </c>
      <c r="J1054">
        <v>48</v>
      </c>
      <c r="K1054">
        <f t="shared" si="163"/>
        <v>240</v>
      </c>
      <c r="L1054" s="39">
        <f t="shared" si="164"/>
        <v>603.18578948924028</v>
      </c>
      <c r="M1054">
        <f t="shared" si="165"/>
        <v>390.31337508538434</v>
      </c>
      <c r="N1054">
        <f t="shared" si="166"/>
        <v>82401.018454680641</v>
      </c>
      <c r="O1054" s="39">
        <f t="shared" si="167"/>
        <v>97943.775856337976</v>
      </c>
      <c r="S1054">
        <f t="shared" si="168"/>
        <v>0</v>
      </c>
      <c r="T1054">
        <f t="shared" si="169"/>
        <v>1</v>
      </c>
      <c r="U1054">
        <f t="shared" si="170"/>
        <v>0</v>
      </c>
      <c r="V1054">
        <f t="shared" si="171"/>
        <v>0</v>
      </c>
      <c r="W1054">
        <f t="shared" si="172"/>
        <v>1</v>
      </c>
      <c r="Y1054" t="str">
        <f t="shared" si="173"/>
        <v/>
      </c>
    </row>
    <row r="1055" spans="8:25">
      <c r="H1055">
        <v>823</v>
      </c>
      <c r="I1055" s="18">
        <v>28</v>
      </c>
      <c r="J1055">
        <v>98</v>
      </c>
      <c r="K1055">
        <f t="shared" si="163"/>
        <v>490</v>
      </c>
      <c r="L1055" s="39">
        <f t="shared" si="164"/>
        <v>603.43711690152736</v>
      </c>
      <c r="M1055">
        <f t="shared" si="165"/>
        <v>265.31337508538434</v>
      </c>
      <c r="N1055">
        <f t="shared" si="166"/>
        <v>56034.978347928249</v>
      </c>
      <c r="O1055" s="39">
        <f t="shared" si="167"/>
        <v>71577.735749585583</v>
      </c>
      <c r="S1055">
        <f t="shared" si="168"/>
        <v>0</v>
      </c>
      <c r="T1055">
        <f t="shared" si="169"/>
        <v>1</v>
      </c>
      <c r="U1055">
        <f t="shared" si="170"/>
        <v>0</v>
      </c>
      <c r="V1055">
        <f t="shared" si="171"/>
        <v>0</v>
      </c>
      <c r="W1055">
        <f t="shared" si="172"/>
        <v>0</v>
      </c>
      <c r="Y1055" t="str">
        <f t="shared" si="173"/>
        <v/>
      </c>
    </row>
    <row r="1056" spans="8:25">
      <c r="H1056">
        <v>824</v>
      </c>
      <c r="I1056" s="18">
        <v>45</v>
      </c>
      <c r="J1056">
        <v>38</v>
      </c>
      <c r="K1056">
        <f t="shared" si="163"/>
        <v>190</v>
      </c>
      <c r="L1056" s="39">
        <f t="shared" si="164"/>
        <v>604.36388673433646</v>
      </c>
      <c r="M1056">
        <f t="shared" si="165"/>
        <v>415.31337508538434</v>
      </c>
      <c r="N1056">
        <f t="shared" si="166"/>
        <v>87850.141952775375</v>
      </c>
      <c r="O1056" s="39">
        <f t="shared" si="167"/>
        <v>103392.89935443271</v>
      </c>
      <c r="S1056">
        <f t="shared" si="168"/>
        <v>0</v>
      </c>
      <c r="T1056">
        <f t="shared" si="169"/>
        <v>1</v>
      </c>
      <c r="U1056">
        <f t="shared" si="170"/>
        <v>0</v>
      </c>
      <c r="V1056">
        <f t="shared" si="171"/>
        <v>0</v>
      </c>
      <c r="W1056">
        <f t="shared" si="172"/>
        <v>1</v>
      </c>
      <c r="Y1056" t="str">
        <f t="shared" si="173"/>
        <v/>
      </c>
    </row>
    <row r="1057" spans="8:25">
      <c r="H1057">
        <v>825</v>
      </c>
      <c r="I1057" s="18">
        <v>30</v>
      </c>
      <c r="J1057">
        <v>86</v>
      </c>
      <c r="K1057">
        <f t="shared" si="163"/>
        <v>430</v>
      </c>
      <c r="L1057" s="39">
        <f t="shared" si="164"/>
        <v>607.89817846962501</v>
      </c>
      <c r="M1057">
        <f t="shared" si="165"/>
        <v>295.31337508538434</v>
      </c>
      <c r="N1057">
        <f t="shared" si="166"/>
        <v>62832.161977242802</v>
      </c>
      <c r="O1057" s="39">
        <f t="shared" si="167"/>
        <v>78374.919378900144</v>
      </c>
      <c r="S1057">
        <f t="shared" si="168"/>
        <v>0</v>
      </c>
      <c r="T1057">
        <f t="shared" si="169"/>
        <v>1</v>
      </c>
      <c r="U1057">
        <f t="shared" si="170"/>
        <v>0</v>
      </c>
      <c r="V1057">
        <f t="shared" si="171"/>
        <v>0</v>
      </c>
      <c r="W1057">
        <f t="shared" si="172"/>
        <v>0</v>
      </c>
      <c r="Y1057" t="str">
        <f t="shared" si="173"/>
        <v/>
      </c>
    </row>
    <row r="1058" spans="8:25">
      <c r="H1058">
        <v>826</v>
      </c>
      <c r="I1058" s="18">
        <v>36</v>
      </c>
      <c r="J1058">
        <v>60</v>
      </c>
      <c r="K1058">
        <f t="shared" si="163"/>
        <v>300</v>
      </c>
      <c r="L1058" s="39">
        <f t="shared" si="164"/>
        <v>610.72561185785582</v>
      </c>
      <c r="M1058">
        <f t="shared" si="165"/>
        <v>360.31337508538434</v>
      </c>
      <c r="N1058">
        <f t="shared" si="166"/>
        <v>77018.412260856654</v>
      </c>
      <c r="O1058" s="39">
        <f t="shared" si="167"/>
        <v>92561.169662513988</v>
      </c>
      <c r="S1058">
        <f t="shared" si="168"/>
        <v>0</v>
      </c>
      <c r="T1058">
        <f t="shared" si="169"/>
        <v>1</v>
      </c>
      <c r="U1058">
        <f t="shared" si="170"/>
        <v>0</v>
      </c>
      <c r="V1058">
        <f t="shared" si="171"/>
        <v>0</v>
      </c>
      <c r="W1058">
        <f t="shared" si="172"/>
        <v>1</v>
      </c>
      <c r="Y1058" t="str">
        <f t="shared" si="173"/>
        <v/>
      </c>
    </row>
    <row r="1059" spans="8:25">
      <c r="H1059">
        <v>827</v>
      </c>
      <c r="I1059" s="18">
        <v>32</v>
      </c>
      <c r="J1059">
        <v>76</v>
      </c>
      <c r="K1059">
        <f t="shared" si="163"/>
        <v>380</v>
      </c>
      <c r="L1059" s="39">
        <f t="shared" si="164"/>
        <v>611.22826668243022</v>
      </c>
      <c r="M1059">
        <f t="shared" si="165"/>
        <v>320.31337508538434</v>
      </c>
      <c r="N1059">
        <f t="shared" si="166"/>
        <v>68524.606167023507</v>
      </c>
      <c r="O1059" s="39">
        <f t="shared" si="167"/>
        <v>84067.363568680841</v>
      </c>
      <c r="S1059">
        <f t="shared" si="168"/>
        <v>0</v>
      </c>
      <c r="T1059">
        <f t="shared" si="169"/>
        <v>1</v>
      </c>
      <c r="U1059">
        <f t="shared" si="170"/>
        <v>0</v>
      </c>
      <c r="V1059">
        <f t="shared" si="171"/>
        <v>0</v>
      </c>
      <c r="W1059">
        <f t="shared" si="172"/>
        <v>0</v>
      </c>
      <c r="Y1059" t="str">
        <f t="shared" si="173"/>
        <v/>
      </c>
    </row>
    <row r="1060" spans="8:25">
      <c r="H1060">
        <v>828</v>
      </c>
      <c r="I1060" s="18">
        <v>38</v>
      </c>
      <c r="J1060">
        <v>54</v>
      </c>
      <c r="K1060">
        <f t="shared" si="163"/>
        <v>270</v>
      </c>
      <c r="L1060" s="39">
        <f t="shared" si="164"/>
        <v>612.4220718907942</v>
      </c>
      <c r="M1060">
        <f t="shared" si="165"/>
        <v>375.31337508538434</v>
      </c>
      <c r="N1060">
        <f t="shared" si="166"/>
        <v>80447.568172341256</v>
      </c>
      <c r="O1060" s="39">
        <f t="shared" si="167"/>
        <v>95990.325573998591</v>
      </c>
      <c r="S1060">
        <f t="shared" si="168"/>
        <v>0</v>
      </c>
      <c r="T1060">
        <f t="shared" si="169"/>
        <v>1</v>
      </c>
      <c r="U1060">
        <f t="shared" si="170"/>
        <v>0</v>
      </c>
      <c r="V1060">
        <f t="shared" si="171"/>
        <v>0</v>
      </c>
      <c r="W1060">
        <f t="shared" si="172"/>
        <v>1</v>
      </c>
      <c r="Y1060" t="str">
        <f t="shared" si="173"/>
        <v/>
      </c>
    </row>
    <row r="1061" spans="8:25">
      <c r="H1061">
        <v>829</v>
      </c>
      <c r="I1061" s="18">
        <v>28</v>
      </c>
      <c r="J1061">
        <v>100</v>
      </c>
      <c r="K1061">
        <f t="shared" si="163"/>
        <v>500</v>
      </c>
      <c r="L1061" s="39">
        <f t="shared" si="164"/>
        <v>615.75216010359941</v>
      </c>
      <c r="M1061">
        <f t="shared" si="165"/>
        <v>260.31337508538434</v>
      </c>
      <c r="N1061">
        <f t="shared" si="166"/>
        <v>56100.98305443937</v>
      </c>
      <c r="O1061" s="39">
        <f t="shared" si="167"/>
        <v>71643.740456096712</v>
      </c>
      <c r="S1061">
        <f t="shared" si="168"/>
        <v>0</v>
      </c>
      <c r="T1061">
        <f t="shared" si="169"/>
        <v>1</v>
      </c>
      <c r="U1061">
        <f t="shared" si="170"/>
        <v>0</v>
      </c>
      <c r="V1061">
        <f t="shared" si="171"/>
        <v>0</v>
      </c>
      <c r="W1061">
        <f t="shared" si="172"/>
        <v>0</v>
      </c>
      <c r="Y1061" t="str">
        <f t="shared" si="173"/>
        <v/>
      </c>
    </row>
    <row r="1062" spans="8:25">
      <c r="H1062">
        <v>830</v>
      </c>
      <c r="I1062" s="18">
        <v>34</v>
      </c>
      <c r="J1062">
        <v>68</v>
      </c>
      <c r="K1062">
        <f t="shared" si="163"/>
        <v>340</v>
      </c>
      <c r="L1062" s="39">
        <f t="shared" si="164"/>
        <v>617.38578828346613</v>
      </c>
      <c r="M1062">
        <f t="shared" si="165"/>
        <v>340.31337508538434</v>
      </c>
      <c r="N1062">
        <f t="shared" si="166"/>
        <v>73536.624469173927</v>
      </c>
      <c r="O1062" s="39">
        <f t="shared" si="167"/>
        <v>89079.381870831261</v>
      </c>
      <c r="S1062">
        <f t="shared" si="168"/>
        <v>0</v>
      </c>
      <c r="T1062">
        <f t="shared" si="169"/>
        <v>1</v>
      </c>
      <c r="U1062">
        <f t="shared" si="170"/>
        <v>0</v>
      </c>
      <c r="V1062">
        <f t="shared" si="171"/>
        <v>0</v>
      </c>
      <c r="W1062">
        <f t="shared" si="172"/>
        <v>0</v>
      </c>
      <c r="Y1062" t="str">
        <f t="shared" si="173"/>
        <v/>
      </c>
    </row>
    <row r="1063" spans="8:25">
      <c r="H1063">
        <v>831</v>
      </c>
      <c r="I1063" s="18">
        <v>30</v>
      </c>
      <c r="J1063">
        <v>88</v>
      </c>
      <c r="K1063">
        <f t="shared" si="163"/>
        <v>440</v>
      </c>
      <c r="L1063" s="39">
        <f t="shared" si="164"/>
        <v>622.03534541077897</v>
      </c>
      <c r="M1063">
        <f t="shared" si="165"/>
        <v>290.31337508538434</v>
      </c>
      <c r="N1063">
        <f t="shared" si="166"/>
        <v>63204.813192012123</v>
      </c>
      <c r="O1063" s="39">
        <f t="shared" si="167"/>
        <v>78747.570593669458</v>
      </c>
      <c r="S1063">
        <f t="shared" si="168"/>
        <v>0</v>
      </c>
      <c r="T1063">
        <f t="shared" si="169"/>
        <v>1</v>
      </c>
      <c r="U1063">
        <f t="shared" si="170"/>
        <v>0</v>
      </c>
      <c r="V1063">
        <f t="shared" si="171"/>
        <v>0</v>
      </c>
      <c r="W1063">
        <f t="shared" si="172"/>
        <v>0</v>
      </c>
      <c r="Y1063" t="str">
        <f t="shared" si="173"/>
        <v/>
      </c>
    </row>
    <row r="1064" spans="8:25">
      <c r="H1064">
        <v>832</v>
      </c>
      <c r="I1064" s="18">
        <v>32</v>
      </c>
      <c r="J1064">
        <v>78</v>
      </c>
      <c r="K1064">
        <f t="shared" si="163"/>
        <v>390</v>
      </c>
      <c r="L1064" s="39">
        <f t="shared" si="164"/>
        <v>627.31322106880998</v>
      </c>
      <c r="M1064">
        <f t="shared" si="165"/>
        <v>315.31337508538434</v>
      </c>
      <c r="N1064">
        <f t="shared" si="166"/>
        <v>69230.0871398116</v>
      </c>
      <c r="O1064" s="39">
        <f t="shared" si="167"/>
        <v>84772.844541468934</v>
      </c>
      <c r="S1064">
        <f t="shared" si="168"/>
        <v>0</v>
      </c>
      <c r="T1064">
        <f t="shared" si="169"/>
        <v>1</v>
      </c>
      <c r="U1064">
        <f t="shared" si="170"/>
        <v>0</v>
      </c>
      <c r="V1064">
        <f t="shared" si="171"/>
        <v>0</v>
      </c>
      <c r="W1064">
        <f t="shared" si="172"/>
        <v>0</v>
      </c>
      <c r="Y1064" t="str">
        <f t="shared" si="173"/>
        <v/>
      </c>
    </row>
    <row r="1065" spans="8:25">
      <c r="H1065">
        <v>833</v>
      </c>
      <c r="I1065" s="18">
        <v>50</v>
      </c>
      <c r="J1065">
        <v>32</v>
      </c>
      <c r="K1065">
        <f t="shared" ref="K1065:K1128" si="174">$F$230+$F$231*(J1065-2)/2</f>
        <v>160</v>
      </c>
      <c r="L1065" s="39">
        <f t="shared" ref="L1065:L1128" si="175">J1065*0.25*PI()*(I1065/10)^2</f>
        <v>628.31853071795865</v>
      </c>
      <c r="M1065">
        <f t="shared" ref="M1065:M1128" si="176">$F$233-(K1065+$F$232)/2</f>
        <v>430.31337508538434</v>
      </c>
      <c r="N1065">
        <f t="shared" ref="N1065:N1128" si="177">L1065*$F$235*M1065*0.001</f>
        <v>94630.853653677099</v>
      </c>
      <c r="O1065" s="39">
        <f t="shared" ref="O1065:O1128" si="178">N1065+$F$237</f>
        <v>110173.61105533443</v>
      </c>
      <c r="S1065">
        <f t="shared" ref="S1065:S1128" si="179">IF(L1065&lt;$F$236,1,0)</f>
        <v>0</v>
      </c>
      <c r="T1065">
        <f t="shared" ref="T1065:T1128" si="180">IF(O1065&gt;$F$234,1,0)</f>
        <v>1</v>
      </c>
      <c r="U1065">
        <f t="shared" ref="U1065:U1128" si="181">IF(I1065&lt;=$F$238,1,0)</f>
        <v>0</v>
      </c>
      <c r="V1065">
        <f t="shared" ref="V1065:V1128" si="182">IF(J1065&lt;=$F$239,1,0)</f>
        <v>0</v>
      </c>
      <c r="W1065">
        <f t="shared" ref="W1065:W1128" si="183">IF(K1065&lt;=$F$240,1,0)</f>
        <v>1</v>
      </c>
      <c r="Y1065" t="str">
        <f t="shared" ref="Y1065:Y1128" si="184">IF(SUM(S1065:W1065)=5,H1065,"")</f>
        <v/>
      </c>
    </row>
    <row r="1066" spans="8:25">
      <c r="H1066">
        <v>834</v>
      </c>
      <c r="I1066" s="18">
        <v>40</v>
      </c>
      <c r="J1066">
        <v>50</v>
      </c>
      <c r="K1066">
        <f t="shared" si="174"/>
        <v>250</v>
      </c>
      <c r="L1066" s="39">
        <f t="shared" si="175"/>
        <v>628.31853071795865</v>
      </c>
      <c r="M1066">
        <f t="shared" si="176"/>
        <v>385.31337508538434</v>
      </c>
      <c r="N1066">
        <f t="shared" si="177"/>
        <v>84734.836794869247</v>
      </c>
      <c r="O1066" s="39">
        <f t="shared" si="178"/>
        <v>100277.59419652658</v>
      </c>
      <c r="S1066">
        <f t="shared" si="179"/>
        <v>0</v>
      </c>
      <c r="T1066">
        <f t="shared" si="180"/>
        <v>1</v>
      </c>
      <c r="U1066">
        <f t="shared" si="181"/>
        <v>0</v>
      </c>
      <c r="V1066">
        <f t="shared" si="182"/>
        <v>0</v>
      </c>
      <c r="W1066">
        <f t="shared" si="183"/>
        <v>1</v>
      </c>
      <c r="Y1066" t="str">
        <f t="shared" si="184"/>
        <v/>
      </c>
    </row>
    <row r="1067" spans="8:25">
      <c r="H1067">
        <v>835</v>
      </c>
      <c r="I1067" s="18">
        <v>36</v>
      </c>
      <c r="J1067">
        <v>62</v>
      </c>
      <c r="K1067">
        <f t="shared" si="174"/>
        <v>310</v>
      </c>
      <c r="L1067" s="39">
        <f t="shared" si="175"/>
        <v>631.0831322531177</v>
      </c>
      <c r="M1067">
        <f t="shared" si="176"/>
        <v>355.31337508538434</v>
      </c>
      <c r="N1067">
        <f t="shared" si="177"/>
        <v>78481.297188108918</v>
      </c>
      <c r="O1067" s="39">
        <f t="shared" si="178"/>
        <v>94024.054589766252</v>
      </c>
      <c r="S1067">
        <f t="shared" si="179"/>
        <v>0</v>
      </c>
      <c r="T1067">
        <f t="shared" si="180"/>
        <v>1</v>
      </c>
      <c r="U1067">
        <f t="shared" si="181"/>
        <v>0</v>
      </c>
      <c r="V1067">
        <f t="shared" si="182"/>
        <v>0</v>
      </c>
      <c r="W1067">
        <f t="shared" si="183"/>
        <v>0</v>
      </c>
      <c r="Y1067" t="str">
        <f t="shared" si="184"/>
        <v/>
      </c>
    </row>
    <row r="1068" spans="8:25">
      <c r="H1068">
        <v>836</v>
      </c>
      <c r="I1068" s="18">
        <v>38</v>
      </c>
      <c r="J1068">
        <v>56</v>
      </c>
      <c r="K1068">
        <f t="shared" si="174"/>
        <v>280</v>
      </c>
      <c r="L1068" s="39">
        <f t="shared" si="175"/>
        <v>635.10437084971261</v>
      </c>
      <c r="M1068">
        <f t="shared" si="176"/>
        <v>370.31337508538434</v>
      </c>
      <c r="N1068">
        <f t="shared" si="177"/>
        <v>82315.675085292838</v>
      </c>
      <c r="O1068" s="39">
        <f t="shared" si="178"/>
        <v>97858.432486950172</v>
      </c>
      <c r="S1068">
        <f t="shared" si="179"/>
        <v>0</v>
      </c>
      <c r="T1068">
        <f t="shared" si="180"/>
        <v>1</v>
      </c>
      <c r="U1068">
        <f t="shared" si="181"/>
        <v>0</v>
      </c>
      <c r="V1068">
        <f t="shared" si="182"/>
        <v>0</v>
      </c>
      <c r="W1068">
        <f t="shared" si="183"/>
        <v>1</v>
      </c>
      <c r="Y1068" t="str">
        <f t="shared" si="184"/>
        <v/>
      </c>
    </row>
    <row r="1069" spans="8:25">
      <c r="H1069">
        <v>837</v>
      </c>
      <c r="I1069" s="18">
        <v>34</v>
      </c>
      <c r="J1069">
        <v>70</v>
      </c>
      <c r="K1069">
        <f t="shared" si="174"/>
        <v>350</v>
      </c>
      <c r="L1069" s="39">
        <f t="shared" si="175"/>
        <v>635.544193821215</v>
      </c>
      <c r="M1069">
        <f t="shared" si="176"/>
        <v>335.31337508538434</v>
      </c>
      <c r="N1069">
        <f t="shared" si="177"/>
        <v>74587.264026138946</v>
      </c>
      <c r="O1069" s="39">
        <f t="shared" si="178"/>
        <v>90130.02142779628</v>
      </c>
      <c r="S1069">
        <f t="shared" si="179"/>
        <v>0</v>
      </c>
      <c r="T1069">
        <f t="shared" si="180"/>
        <v>1</v>
      </c>
      <c r="U1069">
        <f t="shared" si="181"/>
        <v>0</v>
      </c>
      <c r="V1069">
        <f t="shared" si="182"/>
        <v>0</v>
      </c>
      <c r="W1069">
        <f t="shared" si="183"/>
        <v>0</v>
      </c>
      <c r="Y1069" t="str">
        <f t="shared" si="184"/>
        <v/>
      </c>
    </row>
    <row r="1070" spans="8:25">
      <c r="H1070">
        <v>838</v>
      </c>
      <c r="I1070" s="18">
        <v>45</v>
      </c>
      <c r="J1070">
        <v>40</v>
      </c>
      <c r="K1070">
        <f t="shared" si="174"/>
        <v>200</v>
      </c>
      <c r="L1070" s="39">
        <f t="shared" si="175"/>
        <v>636.17251235193305</v>
      </c>
      <c r="M1070">
        <f t="shared" si="176"/>
        <v>410.31337508538434</v>
      </c>
      <c r="N1070">
        <f t="shared" si="177"/>
        <v>91360.531737884507</v>
      </c>
      <c r="O1070" s="39">
        <f t="shared" si="178"/>
        <v>106903.28913954184</v>
      </c>
      <c r="S1070">
        <f t="shared" si="179"/>
        <v>0</v>
      </c>
      <c r="T1070">
        <f t="shared" si="180"/>
        <v>1</v>
      </c>
      <c r="U1070">
        <f t="shared" si="181"/>
        <v>0</v>
      </c>
      <c r="V1070">
        <f t="shared" si="182"/>
        <v>0</v>
      </c>
      <c r="W1070">
        <f t="shared" si="183"/>
        <v>1</v>
      </c>
      <c r="Y1070" t="str">
        <f t="shared" si="184"/>
        <v/>
      </c>
    </row>
    <row r="1071" spans="8:25">
      <c r="H1071">
        <v>839</v>
      </c>
      <c r="I1071" s="18">
        <v>30</v>
      </c>
      <c r="J1071">
        <v>90</v>
      </c>
      <c r="K1071">
        <f t="shared" si="174"/>
        <v>450</v>
      </c>
      <c r="L1071" s="39">
        <f t="shared" si="175"/>
        <v>636.17251235193316</v>
      </c>
      <c r="M1071">
        <f t="shared" si="176"/>
        <v>285.31337508538434</v>
      </c>
      <c r="N1071">
        <f t="shared" si="177"/>
        <v>63527.984322487442</v>
      </c>
      <c r="O1071" s="39">
        <f t="shared" si="178"/>
        <v>79070.741724144784</v>
      </c>
      <c r="S1071">
        <f t="shared" si="179"/>
        <v>0</v>
      </c>
      <c r="T1071">
        <f t="shared" si="180"/>
        <v>1</v>
      </c>
      <c r="U1071">
        <f t="shared" si="181"/>
        <v>0</v>
      </c>
      <c r="V1071">
        <f t="shared" si="182"/>
        <v>0</v>
      </c>
      <c r="W1071">
        <f t="shared" si="183"/>
        <v>0</v>
      </c>
      <c r="Y1071" t="str">
        <f t="shared" si="184"/>
        <v/>
      </c>
    </row>
    <row r="1072" spans="8:25">
      <c r="H1072">
        <v>840</v>
      </c>
      <c r="I1072" s="18">
        <v>32</v>
      </c>
      <c r="J1072">
        <v>80</v>
      </c>
      <c r="K1072">
        <f t="shared" si="174"/>
        <v>400</v>
      </c>
      <c r="L1072" s="39">
        <f t="shared" si="175"/>
        <v>643.39817545518974</v>
      </c>
      <c r="M1072">
        <f t="shared" si="176"/>
        <v>310.31337508538434</v>
      </c>
      <c r="N1072">
        <f t="shared" si="177"/>
        <v>69879.270772247371</v>
      </c>
      <c r="O1072" s="39">
        <f t="shared" si="178"/>
        <v>85422.028173904706</v>
      </c>
      <c r="S1072">
        <f t="shared" si="179"/>
        <v>0</v>
      </c>
      <c r="T1072">
        <f t="shared" si="180"/>
        <v>1</v>
      </c>
      <c r="U1072">
        <f t="shared" si="181"/>
        <v>0</v>
      </c>
      <c r="V1072">
        <f t="shared" si="182"/>
        <v>0</v>
      </c>
      <c r="W1072">
        <f t="shared" si="183"/>
        <v>0</v>
      </c>
      <c r="Y1072" t="str">
        <f t="shared" si="184"/>
        <v/>
      </c>
    </row>
    <row r="1073" spans="8:25">
      <c r="H1073">
        <v>841</v>
      </c>
      <c r="I1073" s="18">
        <v>30</v>
      </c>
      <c r="J1073">
        <v>92</v>
      </c>
      <c r="K1073">
        <f t="shared" si="174"/>
        <v>460</v>
      </c>
      <c r="L1073" s="39">
        <f t="shared" si="175"/>
        <v>650.30967929308713</v>
      </c>
      <c r="M1073">
        <f t="shared" si="176"/>
        <v>280.31337508538434</v>
      </c>
      <c r="N1073">
        <f t="shared" si="177"/>
        <v>63801.675368668693</v>
      </c>
      <c r="O1073" s="39">
        <f t="shared" si="178"/>
        <v>79344.432770326035</v>
      </c>
      <c r="S1073">
        <f t="shared" si="179"/>
        <v>0</v>
      </c>
      <c r="T1073">
        <f t="shared" si="180"/>
        <v>1</v>
      </c>
      <c r="U1073">
        <f t="shared" si="181"/>
        <v>0</v>
      </c>
      <c r="V1073">
        <f t="shared" si="182"/>
        <v>0</v>
      </c>
      <c r="W1073">
        <f t="shared" si="183"/>
        <v>0</v>
      </c>
      <c r="Y1073" t="str">
        <f t="shared" si="184"/>
        <v/>
      </c>
    </row>
    <row r="1074" spans="8:25">
      <c r="H1074">
        <v>842</v>
      </c>
      <c r="I1074" s="18">
        <v>36</v>
      </c>
      <c r="J1074">
        <v>64</v>
      </c>
      <c r="K1074">
        <f t="shared" si="174"/>
        <v>320</v>
      </c>
      <c r="L1074" s="39">
        <f t="shared" si="175"/>
        <v>651.44065264837957</v>
      </c>
      <c r="M1074">
        <f t="shared" si="176"/>
        <v>350.31337508538434</v>
      </c>
      <c r="N1074">
        <f t="shared" si="177"/>
        <v>79872.930793977779</v>
      </c>
      <c r="O1074" s="39">
        <f t="shared" si="178"/>
        <v>95415.688195635114</v>
      </c>
      <c r="S1074">
        <f t="shared" si="179"/>
        <v>0</v>
      </c>
      <c r="T1074">
        <f t="shared" si="180"/>
        <v>1</v>
      </c>
      <c r="U1074">
        <f t="shared" si="181"/>
        <v>0</v>
      </c>
      <c r="V1074">
        <f t="shared" si="182"/>
        <v>0</v>
      </c>
      <c r="W1074">
        <f t="shared" si="183"/>
        <v>0</v>
      </c>
      <c r="Y1074" t="str">
        <f t="shared" si="184"/>
        <v/>
      </c>
    </row>
    <row r="1075" spans="8:25">
      <c r="H1075">
        <v>843</v>
      </c>
      <c r="I1075" s="18">
        <v>40</v>
      </c>
      <c r="J1075">
        <v>52</v>
      </c>
      <c r="K1075">
        <f t="shared" si="174"/>
        <v>260</v>
      </c>
      <c r="L1075" s="39">
        <f t="shared" si="175"/>
        <v>653.45127194667702</v>
      </c>
      <c r="M1075">
        <f t="shared" si="176"/>
        <v>380.31337508538434</v>
      </c>
      <c r="N1075">
        <f t="shared" si="177"/>
        <v>86980.690540757321</v>
      </c>
      <c r="O1075" s="39">
        <f t="shared" si="178"/>
        <v>102523.44794241466</v>
      </c>
      <c r="S1075">
        <f t="shared" si="179"/>
        <v>0</v>
      </c>
      <c r="T1075">
        <f t="shared" si="180"/>
        <v>1</v>
      </c>
      <c r="U1075">
        <f t="shared" si="181"/>
        <v>0</v>
      </c>
      <c r="V1075">
        <f t="shared" si="182"/>
        <v>0</v>
      </c>
      <c r="W1075">
        <f t="shared" si="183"/>
        <v>1</v>
      </c>
      <c r="Y1075" t="str">
        <f t="shared" si="184"/>
        <v/>
      </c>
    </row>
    <row r="1076" spans="8:25">
      <c r="H1076">
        <v>844</v>
      </c>
      <c r="I1076" s="18">
        <v>34</v>
      </c>
      <c r="J1076">
        <v>72</v>
      </c>
      <c r="K1076">
        <f t="shared" si="174"/>
        <v>360</v>
      </c>
      <c r="L1076" s="39">
        <f t="shared" si="175"/>
        <v>653.70259935896411</v>
      </c>
      <c r="M1076">
        <f t="shared" si="176"/>
        <v>330.31337508538434</v>
      </c>
      <c r="N1076">
        <f t="shared" si="177"/>
        <v>75574.349163721898</v>
      </c>
      <c r="O1076" s="39">
        <f t="shared" si="178"/>
        <v>91117.106565379232</v>
      </c>
      <c r="S1076">
        <f t="shared" si="179"/>
        <v>0</v>
      </c>
      <c r="T1076">
        <f t="shared" si="180"/>
        <v>1</v>
      </c>
      <c r="U1076">
        <f t="shared" si="181"/>
        <v>0</v>
      </c>
      <c r="V1076">
        <f t="shared" si="182"/>
        <v>0</v>
      </c>
      <c r="W1076">
        <f t="shared" si="183"/>
        <v>0</v>
      </c>
      <c r="Y1076" t="str">
        <f t="shared" si="184"/>
        <v/>
      </c>
    </row>
    <row r="1077" spans="8:25">
      <c r="H1077">
        <v>845</v>
      </c>
      <c r="I1077" s="18">
        <v>38</v>
      </c>
      <c r="J1077">
        <v>58</v>
      </c>
      <c r="K1077">
        <f t="shared" si="174"/>
        <v>290</v>
      </c>
      <c r="L1077" s="39">
        <f t="shared" si="175"/>
        <v>657.7866698086309</v>
      </c>
      <c r="M1077">
        <f t="shared" si="176"/>
        <v>365.31337508538434</v>
      </c>
      <c r="N1077">
        <f t="shared" si="177"/>
        <v>84104.393951888196</v>
      </c>
      <c r="O1077" s="39">
        <f t="shared" si="178"/>
        <v>99647.151353545531</v>
      </c>
      <c r="S1077">
        <f t="shared" si="179"/>
        <v>0</v>
      </c>
      <c r="T1077">
        <f t="shared" si="180"/>
        <v>1</v>
      </c>
      <c r="U1077">
        <f t="shared" si="181"/>
        <v>0</v>
      </c>
      <c r="V1077">
        <f t="shared" si="182"/>
        <v>0</v>
      </c>
      <c r="W1077">
        <f t="shared" si="183"/>
        <v>1</v>
      </c>
      <c r="Y1077" t="str">
        <f t="shared" si="184"/>
        <v/>
      </c>
    </row>
    <row r="1078" spans="8:25">
      <c r="H1078">
        <v>846</v>
      </c>
      <c r="I1078" s="18">
        <v>32</v>
      </c>
      <c r="J1078">
        <v>82</v>
      </c>
      <c r="K1078">
        <f t="shared" si="174"/>
        <v>410</v>
      </c>
      <c r="L1078" s="39">
        <f t="shared" si="175"/>
        <v>659.48312984156939</v>
      </c>
      <c r="M1078">
        <f t="shared" si="176"/>
        <v>305.31337508538434</v>
      </c>
      <c r="N1078">
        <f t="shared" si="177"/>
        <v>70472.157064330808</v>
      </c>
      <c r="O1078" s="39">
        <f t="shared" si="178"/>
        <v>86014.914465988142</v>
      </c>
      <c r="S1078">
        <f t="shared" si="179"/>
        <v>0</v>
      </c>
      <c r="T1078">
        <f t="shared" si="180"/>
        <v>1</v>
      </c>
      <c r="U1078">
        <f t="shared" si="181"/>
        <v>0</v>
      </c>
      <c r="V1078">
        <f t="shared" si="182"/>
        <v>0</v>
      </c>
      <c r="W1078">
        <f t="shared" si="183"/>
        <v>0</v>
      </c>
      <c r="Y1078" t="str">
        <f t="shared" si="184"/>
        <v/>
      </c>
    </row>
    <row r="1079" spans="8:25">
      <c r="H1079">
        <v>847</v>
      </c>
      <c r="I1079" s="18">
        <v>30</v>
      </c>
      <c r="J1079">
        <v>94</v>
      </c>
      <c r="K1079">
        <f t="shared" si="174"/>
        <v>470</v>
      </c>
      <c r="L1079" s="39">
        <f t="shared" si="175"/>
        <v>664.44684623424132</v>
      </c>
      <c r="M1079">
        <f t="shared" si="176"/>
        <v>275.31337508538434</v>
      </c>
      <c r="N1079">
        <f t="shared" si="177"/>
        <v>64025.886330555935</v>
      </c>
      <c r="O1079" s="39">
        <f t="shared" si="178"/>
        <v>79568.64373221327</v>
      </c>
      <c r="S1079">
        <f t="shared" si="179"/>
        <v>0</v>
      </c>
      <c r="T1079">
        <f t="shared" si="180"/>
        <v>1</v>
      </c>
      <c r="U1079">
        <f t="shared" si="181"/>
        <v>0</v>
      </c>
      <c r="V1079">
        <f t="shared" si="182"/>
        <v>0</v>
      </c>
      <c r="W1079">
        <f t="shared" si="183"/>
        <v>0</v>
      </c>
      <c r="Y1079" t="str">
        <f t="shared" si="184"/>
        <v/>
      </c>
    </row>
    <row r="1080" spans="8:25">
      <c r="H1080">
        <v>848</v>
      </c>
      <c r="I1080" s="18">
        <v>50</v>
      </c>
      <c r="J1080">
        <v>34</v>
      </c>
      <c r="K1080">
        <f t="shared" si="174"/>
        <v>170</v>
      </c>
      <c r="L1080" s="39">
        <f t="shared" si="175"/>
        <v>667.5884388878311</v>
      </c>
      <c r="M1080">
        <f t="shared" si="176"/>
        <v>425.31337508538434</v>
      </c>
      <c r="N1080">
        <f t="shared" si="177"/>
        <v>99377.00223897821</v>
      </c>
      <c r="O1080" s="39">
        <f t="shared" si="178"/>
        <v>114919.75964063554</v>
      </c>
      <c r="S1080">
        <f t="shared" si="179"/>
        <v>0</v>
      </c>
      <c r="T1080">
        <f t="shared" si="180"/>
        <v>1</v>
      </c>
      <c r="U1080">
        <f t="shared" si="181"/>
        <v>0</v>
      </c>
      <c r="V1080">
        <f t="shared" si="182"/>
        <v>0</v>
      </c>
      <c r="W1080">
        <f t="shared" si="183"/>
        <v>1</v>
      </c>
      <c r="Y1080" t="str">
        <f t="shared" si="184"/>
        <v/>
      </c>
    </row>
    <row r="1081" spans="8:25">
      <c r="H1081">
        <v>849</v>
      </c>
      <c r="I1081" s="18">
        <v>45</v>
      </c>
      <c r="J1081">
        <v>42</v>
      </c>
      <c r="K1081">
        <f t="shared" si="174"/>
        <v>210</v>
      </c>
      <c r="L1081" s="39">
        <f t="shared" si="175"/>
        <v>667.98113796952975</v>
      </c>
      <c r="M1081">
        <f t="shared" si="176"/>
        <v>405.31337508538434</v>
      </c>
      <c r="N1081">
        <f t="shared" si="177"/>
        <v>94759.591333332064</v>
      </c>
      <c r="O1081" s="39">
        <f t="shared" si="178"/>
        <v>110302.3487349894</v>
      </c>
      <c r="S1081">
        <f t="shared" si="179"/>
        <v>0</v>
      </c>
      <c r="T1081">
        <f t="shared" si="180"/>
        <v>1</v>
      </c>
      <c r="U1081">
        <f t="shared" si="181"/>
        <v>0</v>
      </c>
      <c r="V1081">
        <f t="shared" si="182"/>
        <v>0</v>
      </c>
      <c r="W1081">
        <f t="shared" si="183"/>
        <v>1</v>
      </c>
      <c r="Y1081" t="str">
        <f t="shared" si="184"/>
        <v/>
      </c>
    </row>
    <row r="1082" spans="8:25">
      <c r="H1082">
        <v>850</v>
      </c>
      <c r="I1082" s="18">
        <v>36</v>
      </c>
      <c r="J1082">
        <v>66</v>
      </c>
      <c r="K1082">
        <f t="shared" si="174"/>
        <v>330</v>
      </c>
      <c r="L1082" s="39">
        <f t="shared" si="175"/>
        <v>671.79817304364144</v>
      </c>
      <c r="M1082">
        <f t="shared" si="176"/>
        <v>345.31337508538434</v>
      </c>
      <c r="N1082">
        <f t="shared" si="177"/>
        <v>81193.313078463209</v>
      </c>
      <c r="O1082" s="39">
        <f t="shared" si="178"/>
        <v>96736.070480120543</v>
      </c>
      <c r="S1082">
        <f t="shared" si="179"/>
        <v>0</v>
      </c>
      <c r="T1082">
        <f t="shared" si="180"/>
        <v>1</v>
      </c>
      <c r="U1082">
        <f t="shared" si="181"/>
        <v>0</v>
      </c>
      <c r="V1082">
        <f t="shared" si="182"/>
        <v>0</v>
      </c>
      <c r="W1082">
        <f t="shared" si="183"/>
        <v>0</v>
      </c>
      <c r="Y1082" t="str">
        <f t="shared" si="184"/>
        <v/>
      </c>
    </row>
    <row r="1083" spans="8:25">
      <c r="H1083">
        <v>851</v>
      </c>
      <c r="I1083" s="18">
        <v>34</v>
      </c>
      <c r="J1083">
        <v>74</v>
      </c>
      <c r="K1083">
        <f t="shared" si="174"/>
        <v>370</v>
      </c>
      <c r="L1083" s="39">
        <f t="shared" si="175"/>
        <v>671.8610048967131</v>
      </c>
      <c r="M1083">
        <f t="shared" si="176"/>
        <v>325.31337508538434</v>
      </c>
      <c r="N1083">
        <f t="shared" si="177"/>
        <v>76497.879881922679</v>
      </c>
      <c r="O1083" s="39">
        <f t="shared" si="178"/>
        <v>92040.637283580014</v>
      </c>
      <c r="S1083">
        <f t="shared" si="179"/>
        <v>0</v>
      </c>
      <c r="T1083">
        <f t="shared" si="180"/>
        <v>1</v>
      </c>
      <c r="U1083">
        <f t="shared" si="181"/>
        <v>0</v>
      </c>
      <c r="V1083">
        <f t="shared" si="182"/>
        <v>0</v>
      </c>
      <c r="W1083">
        <f t="shared" si="183"/>
        <v>0</v>
      </c>
      <c r="Y1083" t="str">
        <f t="shared" si="184"/>
        <v/>
      </c>
    </row>
    <row r="1084" spans="8:25">
      <c r="H1084">
        <v>852</v>
      </c>
      <c r="I1084" s="18">
        <v>32</v>
      </c>
      <c r="J1084">
        <v>84</v>
      </c>
      <c r="K1084">
        <f t="shared" si="174"/>
        <v>420</v>
      </c>
      <c r="L1084" s="39">
        <f t="shared" si="175"/>
        <v>675.56808422794927</v>
      </c>
      <c r="M1084">
        <f t="shared" si="176"/>
        <v>300.31337508538434</v>
      </c>
      <c r="N1084">
        <f t="shared" si="177"/>
        <v>71008.746016061923</v>
      </c>
      <c r="O1084" s="39">
        <f t="shared" si="178"/>
        <v>86551.503417719257</v>
      </c>
      <c r="S1084">
        <f t="shared" si="179"/>
        <v>0</v>
      </c>
      <c r="T1084">
        <f t="shared" si="180"/>
        <v>1</v>
      </c>
      <c r="U1084">
        <f t="shared" si="181"/>
        <v>0</v>
      </c>
      <c r="V1084">
        <f t="shared" si="182"/>
        <v>0</v>
      </c>
      <c r="W1084">
        <f t="shared" si="183"/>
        <v>0</v>
      </c>
      <c r="Y1084" t="str">
        <f t="shared" si="184"/>
        <v/>
      </c>
    </row>
    <row r="1085" spans="8:25">
      <c r="H1085">
        <v>853</v>
      </c>
      <c r="I1085" s="18">
        <v>40</v>
      </c>
      <c r="J1085">
        <v>54</v>
      </c>
      <c r="K1085">
        <f t="shared" si="174"/>
        <v>270</v>
      </c>
      <c r="L1085" s="39">
        <f t="shared" si="175"/>
        <v>678.58401317539528</v>
      </c>
      <c r="M1085">
        <f t="shared" si="176"/>
        <v>375.31337508538434</v>
      </c>
      <c r="N1085">
        <f t="shared" si="177"/>
        <v>89138.57969234488</v>
      </c>
      <c r="O1085" s="39">
        <f t="shared" si="178"/>
        <v>104681.33709400221</v>
      </c>
      <c r="S1085">
        <f t="shared" si="179"/>
        <v>0</v>
      </c>
      <c r="T1085">
        <f t="shared" si="180"/>
        <v>1</v>
      </c>
      <c r="U1085">
        <f t="shared" si="181"/>
        <v>0</v>
      </c>
      <c r="V1085">
        <f t="shared" si="182"/>
        <v>0</v>
      </c>
      <c r="W1085">
        <f t="shared" si="183"/>
        <v>1</v>
      </c>
      <c r="Y1085" t="str">
        <f t="shared" si="184"/>
        <v/>
      </c>
    </row>
    <row r="1086" spans="8:25">
      <c r="H1086">
        <v>854</v>
      </c>
      <c r="I1086" s="18">
        <v>30</v>
      </c>
      <c r="J1086">
        <v>96</v>
      </c>
      <c r="K1086">
        <f t="shared" si="174"/>
        <v>480</v>
      </c>
      <c r="L1086" s="39">
        <f t="shared" si="175"/>
        <v>678.58401317539528</v>
      </c>
      <c r="M1086">
        <f t="shared" si="176"/>
        <v>270.31337508538434</v>
      </c>
      <c r="N1086">
        <f t="shared" si="177"/>
        <v>64200.617208149102</v>
      </c>
      <c r="O1086" s="39">
        <f t="shared" si="178"/>
        <v>79743.374609806429</v>
      </c>
      <c r="S1086">
        <f t="shared" si="179"/>
        <v>0</v>
      </c>
      <c r="T1086">
        <f t="shared" si="180"/>
        <v>1</v>
      </c>
      <c r="U1086">
        <f t="shared" si="181"/>
        <v>0</v>
      </c>
      <c r="V1086">
        <f t="shared" si="182"/>
        <v>0</v>
      </c>
      <c r="W1086">
        <f t="shared" si="183"/>
        <v>0</v>
      </c>
      <c r="Y1086" t="str">
        <f t="shared" si="184"/>
        <v/>
      </c>
    </row>
    <row r="1087" spans="8:25">
      <c r="H1087">
        <v>855</v>
      </c>
      <c r="I1087" s="18">
        <v>38</v>
      </c>
      <c r="J1087">
        <v>60</v>
      </c>
      <c r="K1087">
        <f t="shared" si="174"/>
        <v>300</v>
      </c>
      <c r="L1087" s="39">
        <f t="shared" si="175"/>
        <v>680.46896876754909</v>
      </c>
      <c r="M1087">
        <f t="shared" si="176"/>
        <v>360.31337508538434</v>
      </c>
      <c r="N1087">
        <f t="shared" si="177"/>
        <v>85813.724772127302</v>
      </c>
      <c r="O1087" s="39">
        <f t="shared" si="178"/>
        <v>101356.48217378464</v>
      </c>
      <c r="S1087">
        <f t="shared" si="179"/>
        <v>0</v>
      </c>
      <c r="T1087">
        <f t="shared" si="180"/>
        <v>1</v>
      </c>
      <c r="U1087">
        <f t="shared" si="181"/>
        <v>0</v>
      </c>
      <c r="V1087">
        <f t="shared" si="182"/>
        <v>0</v>
      </c>
      <c r="W1087">
        <f t="shared" si="183"/>
        <v>1</v>
      </c>
      <c r="Y1087" t="str">
        <f t="shared" si="184"/>
        <v/>
      </c>
    </row>
    <row r="1088" spans="8:25">
      <c r="H1088">
        <v>856</v>
      </c>
      <c r="I1088" s="18">
        <v>34</v>
      </c>
      <c r="J1088">
        <v>76</v>
      </c>
      <c r="K1088">
        <f t="shared" si="174"/>
        <v>380</v>
      </c>
      <c r="L1088" s="39">
        <f t="shared" si="175"/>
        <v>690.01941043446209</v>
      </c>
      <c r="M1088">
        <f t="shared" si="176"/>
        <v>320.31337508538434</v>
      </c>
      <c r="N1088">
        <f t="shared" si="177"/>
        <v>77357.856180741364</v>
      </c>
      <c r="O1088" s="39">
        <f t="shared" si="178"/>
        <v>92900.613582398699</v>
      </c>
      <c r="S1088">
        <f t="shared" si="179"/>
        <v>0</v>
      </c>
      <c r="T1088">
        <f t="shared" si="180"/>
        <v>1</v>
      </c>
      <c r="U1088">
        <f t="shared" si="181"/>
        <v>0</v>
      </c>
      <c r="V1088">
        <f t="shared" si="182"/>
        <v>0</v>
      </c>
      <c r="W1088">
        <f t="shared" si="183"/>
        <v>0</v>
      </c>
      <c r="Y1088" t="str">
        <f t="shared" si="184"/>
        <v/>
      </c>
    </row>
    <row r="1089" spans="8:25">
      <c r="H1089">
        <v>857</v>
      </c>
      <c r="I1089" s="18">
        <v>32</v>
      </c>
      <c r="J1089">
        <v>86</v>
      </c>
      <c r="K1089">
        <f t="shared" si="174"/>
        <v>430</v>
      </c>
      <c r="L1089" s="39">
        <f t="shared" si="175"/>
        <v>691.65303861432892</v>
      </c>
      <c r="M1089">
        <f t="shared" si="176"/>
        <v>295.31337508538434</v>
      </c>
      <c r="N1089">
        <f t="shared" si="177"/>
        <v>71489.037627440688</v>
      </c>
      <c r="O1089" s="39">
        <f t="shared" si="178"/>
        <v>87031.795029098022</v>
      </c>
      <c r="S1089">
        <f t="shared" si="179"/>
        <v>0</v>
      </c>
      <c r="T1089">
        <f t="shared" si="180"/>
        <v>1</v>
      </c>
      <c r="U1089">
        <f t="shared" si="181"/>
        <v>0</v>
      </c>
      <c r="V1089">
        <f t="shared" si="182"/>
        <v>0</v>
      </c>
      <c r="W1089">
        <f t="shared" si="183"/>
        <v>0</v>
      </c>
      <c r="Y1089" t="str">
        <f t="shared" si="184"/>
        <v/>
      </c>
    </row>
    <row r="1090" spans="8:25">
      <c r="H1090">
        <v>858</v>
      </c>
      <c r="I1090" s="18">
        <v>36</v>
      </c>
      <c r="J1090">
        <v>68</v>
      </c>
      <c r="K1090">
        <f t="shared" si="174"/>
        <v>340</v>
      </c>
      <c r="L1090" s="39">
        <f t="shared" si="175"/>
        <v>692.15569343890331</v>
      </c>
      <c r="M1090">
        <f t="shared" si="176"/>
        <v>340.31337508538434</v>
      </c>
      <c r="N1090">
        <f t="shared" si="177"/>
        <v>82442.444041565221</v>
      </c>
      <c r="O1090" s="39">
        <f t="shared" si="178"/>
        <v>97985.201443222555</v>
      </c>
      <c r="S1090">
        <f t="shared" si="179"/>
        <v>0</v>
      </c>
      <c r="T1090">
        <f t="shared" si="180"/>
        <v>1</v>
      </c>
      <c r="U1090">
        <f t="shared" si="181"/>
        <v>0</v>
      </c>
      <c r="V1090">
        <f t="shared" si="182"/>
        <v>0</v>
      </c>
      <c r="W1090">
        <f t="shared" si="183"/>
        <v>0</v>
      </c>
      <c r="Y1090" t="str">
        <f t="shared" si="184"/>
        <v/>
      </c>
    </row>
    <row r="1091" spans="8:25">
      <c r="H1091">
        <v>859</v>
      </c>
      <c r="I1091" s="18">
        <v>30</v>
      </c>
      <c r="J1091">
        <v>98</v>
      </c>
      <c r="K1091">
        <f t="shared" si="174"/>
        <v>490</v>
      </c>
      <c r="L1091" s="39">
        <f t="shared" si="175"/>
        <v>692.72118011654936</v>
      </c>
      <c r="M1091">
        <f t="shared" si="176"/>
        <v>265.31337508538434</v>
      </c>
      <c r="N1091">
        <f t="shared" si="177"/>
        <v>64325.868001448252</v>
      </c>
      <c r="O1091" s="39">
        <f t="shared" si="178"/>
        <v>79868.625403105587</v>
      </c>
      <c r="S1091">
        <f t="shared" si="179"/>
        <v>0</v>
      </c>
      <c r="T1091">
        <f t="shared" si="180"/>
        <v>1</v>
      </c>
      <c r="U1091">
        <f t="shared" si="181"/>
        <v>0</v>
      </c>
      <c r="V1091">
        <f t="shared" si="182"/>
        <v>0</v>
      </c>
      <c r="W1091">
        <f t="shared" si="183"/>
        <v>0</v>
      </c>
      <c r="Y1091" t="str">
        <f t="shared" si="184"/>
        <v/>
      </c>
    </row>
    <row r="1092" spans="8:25">
      <c r="H1092">
        <v>860</v>
      </c>
      <c r="I1092" s="18">
        <v>45</v>
      </c>
      <c r="J1092">
        <v>44</v>
      </c>
      <c r="K1092">
        <f t="shared" si="174"/>
        <v>220</v>
      </c>
      <c r="L1092" s="39">
        <f t="shared" si="175"/>
        <v>699.78976358712634</v>
      </c>
      <c r="M1092">
        <f t="shared" si="176"/>
        <v>400.31337508538434</v>
      </c>
      <c r="N1092">
        <f t="shared" si="177"/>
        <v>98047.320739118019</v>
      </c>
      <c r="O1092" s="39">
        <f t="shared" si="178"/>
        <v>113590.07814077535</v>
      </c>
      <c r="S1092">
        <f t="shared" si="179"/>
        <v>0</v>
      </c>
      <c r="T1092">
        <f t="shared" si="180"/>
        <v>1</v>
      </c>
      <c r="U1092">
        <f t="shared" si="181"/>
        <v>0</v>
      </c>
      <c r="V1092">
        <f t="shared" si="182"/>
        <v>0</v>
      </c>
      <c r="W1092">
        <f t="shared" si="183"/>
        <v>1</v>
      </c>
      <c r="Y1092" t="str">
        <f t="shared" si="184"/>
        <v/>
      </c>
    </row>
    <row r="1093" spans="8:25">
      <c r="H1093">
        <v>861</v>
      </c>
      <c r="I1093" s="18">
        <v>38</v>
      </c>
      <c r="J1093">
        <v>62</v>
      </c>
      <c r="K1093">
        <f t="shared" si="174"/>
        <v>310</v>
      </c>
      <c r="L1093" s="39">
        <f t="shared" si="175"/>
        <v>703.15126772646749</v>
      </c>
      <c r="M1093">
        <f t="shared" si="176"/>
        <v>355.31337508538434</v>
      </c>
      <c r="N1093">
        <f t="shared" si="177"/>
        <v>87443.667546010241</v>
      </c>
      <c r="O1093" s="39">
        <f t="shared" si="178"/>
        <v>102986.42494766758</v>
      </c>
      <c r="S1093">
        <f t="shared" si="179"/>
        <v>0</v>
      </c>
      <c r="T1093">
        <f t="shared" si="180"/>
        <v>1</v>
      </c>
      <c r="U1093">
        <f t="shared" si="181"/>
        <v>0</v>
      </c>
      <c r="V1093">
        <f t="shared" si="182"/>
        <v>0</v>
      </c>
      <c r="W1093">
        <f t="shared" si="183"/>
        <v>0</v>
      </c>
      <c r="Y1093" t="str">
        <f t="shared" si="184"/>
        <v/>
      </c>
    </row>
    <row r="1094" spans="8:25">
      <c r="H1094">
        <v>862</v>
      </c>
      <c r="I1094" s="18">
        <v>40</v>
      </c>
      <c r="J1094">
        <v>56</v>
      </c>
      <c r="K1094">
        <f t="shared" si="174"/>
        <v>280</v>
      </c>
      <c r="L1094" s="39">
        <f t="shared" si="175"/>
        <v>703.71675440411366</v>
      </c>
      <c r="M1094">
        <f t="shared" si="176"/>
        <v>370.31337508538434</v>
      </c>
      <c r="N1094">
        <f t="shared" si="177"/>
        <v>91208.504249631937</v>
      </c>
      <c r="O1094" s="39">
        <f t="shared" si="178"/>
        <v>106751.26165128927</v>
      </c>
      <c r="S1094">
        <f t="shared" si="179"/>
        <v>0</v>
      </c>
      <c r="T1094">
        <f t="shared" si="180"/>
        <v>1</v>
      </c>
      <c r="U1094">
        <f t="shared" si="181"/>
        <v>0</v>
      </c>
      <c r="V1094">
        <f t="shared" si="182"/>
        <v>0</v>
      </c>
      <c r="W1094">
        <f t="shared" si="183"/>
        <v>1</v>
      </c>
      <c r="Y1094" t="str">
        <f t="shared" si="184"/>
        <v/>
      </c>
    </row>
    <row r="1095" spans="8:25">
      <c r="H1095">
        <v>863</v>
      </c>
      <c r="I1095" s="18">
        <v>50</v>
      </c>
      <c r="J1095">
        <v>36</v>
      </c>
      <c r="K1095">
        <f t="shared" si="174"/>
        <v>180</v>
      </c>
      <c r="L1095" s="39">
        <f t="shared" si="175"/>
        <v>706.85834705770344</v>
      </c>
      <c r="M1095">
        <f t="shared" si="176"/>
        <v>420.31337508538434</v>
      </c>
      <c r="N1095">
        <f t="shared" si="177"/>
        <v>103985.70614568474</v>
      </c>
      <c r="O1095" s="39">
        <f t="shared" si="178"/>
        <v>119528.46354734208</v>
      </c>
      <c r="S1095">
        <f t="shared" si="179"/>
        <v>0</v>
      </c>
      <c r="T1095">
        <f t="shared" si="180"/>
        <v>1</v>
      </c>
      <c r="U1095">
        <f t="shared" si="181"/>
        <v>0</v>
      </c>
      <c r="V1095">
        <f t="shared" si="182"/>
        <v>0</v>
      </c>
      <c r="W1095">
        <f t="shared" si="183"/>
        <v>1</v>
      </c>
      <c r="Y1095" t="str">
        <f t="shared" si="184"/>
        <v/>
      </c>
    </row>
    <row r="1096" spans="8:25">
      <c r="H1096">
        <v>864</v>
      </c>
      <c r="I1096" s="18">
        <v>30</v>
      </c>
      <c r="J1096">
        <v>100</v>
      </c>
      <c r="K1096">
        <f t="shared" si="174"/>
        <v>500</v>
      </c>
      <c r="L1096" s="39">
        <f t="shared" si="175"/>
        <v>706.85834705770344</v>
      </c>
      <c r="M1096">
        <f t="shared" si="176"/>
        <v>260.31337508538434</v>
      </c>
      <c r="N1096">
        <f t="shared" si="177"/>
        <v>64401.638710453357</v>
      </c>
      <c r="O1096" s="39">
        <f t="shared" si="178"/>
        <v>79944.396112110699</v>
      </c>
      <c r="S1096">
        <f t="shared" si="179"/>
        <v>0</v>
      </c>
      <c r="T1096">
        <f t="shared" si="180"/>
        <v>1</v>
      </c>
      <c r="U1096">
        <f t="shared" si="181"/>
        <v>0</v>
      </c>
      <c r="V1096">
        <f t="shared" si="182"/>
        <v>0</v>
      </c>
      <c r="W1096">
        <f t="shared" si="183"/>
        <v>0</v>
      </c>
      <c r="Y1096" t="str">
        <f t="shared" si="184"/>
        <v/>
      </c>
    </row>
    <row r="1097" spans="8:25">
      <c r="H1097">
        <v>865</v>
      </c>
      <c r="I1097" s="18">
        <v>32</v>
      </c>
      <c r="J1097">
        <v>88</v>
      </c>
      <c r="K1097">
        <f t="shared" si="174"/>
        <v>440</v>
      </c>
      <c r="L1097" s="39">
        <f t="shared" si="175"/>
        <v>707.73799300070868</v>
      </c>
      <c r="M1097">
        <f t="shared" si="176"/>
        <v>290.31337508538434</v>
      </c>
      <c r="N1097">
        <f t="shared" si="177"/>
        <v>71913.031898467161</v>
      </c>
      <c r="O1097" s="39">
        <f t="shared" si="178"/>
        <v>87455.789300124496</v>
      </c>
      <c r="S1097">
        <f t="shared" si="179"/>
        <v>0</v>
      </c>
      <c r="T1097">
        <f t="shared" si="180"/>
        <v>1</v>
      </c>
      <c r="U1097">
        <f t="shared" si="181"/>
        <v>0</v>
      </c>
      <c r="V1097">
        <f t="shared" si="182"/>
        <v>0</v>
      </c>
      <c r="W1097">
        <f t="shared" si="183"/>
        <v>0</v>
      </c>
      <c r="Y1097" t="str">
        <f t="shared" si="184"/>
        <v/>
      </c>
    </row>
    <row r="1098" spans="8:25">
      <c r="H1098">
        <v>866</v>
      </c>
      <c r="I1098" s="18">
        <v>34</v>
      </c>
      <c r="J1098">
        <v>78</v>
      </c>
      <c r="K1098">
        <f t="shared" si="174"/>
        <v>390</v>
      </c>
      <c r="L1098" s="39">
        <f t="shared" si="175"/>
        <v>708.17781597221108</v>
      </c>
      <c r="M1098">
        <f t="shared" si="176"/>
        <v>315.31337508538434</v>
      </c>
      <c r="N1098">
        <f t="shared" si="177"/>
        <v>78154.278060177923</v>
      </c>
      <c r="O1098" s="39">
        <f t="shared" si="178"/>
        <v>93697.035461835258</v>
      </c>
      <c r="S1098">
        <f t="shared" si="179"/>
        <v>0</v>
      </c>
      <c r="T1098">
        <f t="shared" si="180"/>
        <v>1</v>
      </c>
      <c r="U1098">
        <f t="shared" si="181"/>
        <v>0</v>
      </c>
      <c r="V1098">
        <f t="shared" si="182"/>
        <v>0</v>
      </c>
      <c r="W1098">
        <f t="shared" si="183"/>
        <v>0</v>
      </c>
      <c r="Y1098" t="str">
        <f t="shared" si="184"/>
        <v/>
      </c>
    </row>
    <row r="1099" spans="8:25">
      <c r="H1099">
        <v>867</v>
      </c>
      <c r="I1099" s="18">
        <v>36</v>
      </c>
      <c r="J1099">
        <v>70</v>
      </c>
      <c r="K1099">
        <f t="shared" si="174"/>
        <v>350</v>
      </c>
      <c r="L1099" s="39">
        <f t="shared" si="175"/>
        <v>712.51321383416507</v>
      </c>
      <c r="M1099">
        <f t="shared" si="176"/>
        <v>335.31337508538434</v>
      </c>
      <c r="N1099">
        <f t="shared" si="177"/>
        <v>83620.323683283801</v>
      </c>
      <c r="O1099" s="39">
        <f t="shared" si="178"/>
        <v>99163.081084941135</v>
      </c>
      <c r="S1099">
        <f t="shared" si="179"/>
        <v>0</v>
      </c>
      <c r="T1099">
        <f t="shared" si="180"/>
        <v>1</v>
      </c>
      <c r="U1099">
        <f t="shared" si="181"/>
        <v>0</v>
      </c>
      <c r="V1099">
        <f t="shared" si="182"/>
        <v>0</v>
      </c>
      <c r="W1099">
        <f t="shared" si="183"/>
        <v>0</v>
      </c>
      <c r="Y1099" t="str">
        <f t="shared" si="184"/>
        <v/>
      </c>
    </row>
    <row r="1100" spans="8:25">
      <c r="H1100">
        <v>868</v>
      </c>
      <c r="I1100" s="18">
        <v>32</v>
      </c>
      <c r="J1100">
        <v>90</v>
      </c>
      <c r="K1100">
        <f t="shared" si="174"/>
        <v>450</v>
      </c>
      <c r="L1100" s="39">
        <f t="shared" si="175"/>
        <v>723.82294738708845</v>
      </c>
      <c r="M1100">
        <f t="shared" si="176"/>
        <v>285.31337508538434</v>
      </c>
      <c r="N1100">
        <f t="shared" si="177"/>
        <v>72280.72882914127</v>
      </c>
      <c r="O1100" s="39">
        <f t="shared" si="178"/>
        <v>87823.486230798604</v>
      </c>
      <c r="S1100">
        <f t="shared" si="179"/>
        <v>0</v>
      </c>
      <c r="T1100">
        <f t="shared" si="180"/>
        <v>1</v>
      </c>
      <c r="U1100">
        <f t="shared" si="181"/>
        <v>0</v>
      </c>
      <c r="V1100">
        <f t="shared" si="182"/>
        <v>0</v>
      </c>
      <c r="W1100">
        <f t="shared" si="183"/>
        <v>0</v>
      </c>
      <c r="Y1100" t="str">
        <f t="shared" si="184"/>
        <v/>
      </c>
    </row>
    <row r="1101" spans="8:25">
      <c r="H1101">
        <v>869</v>
      </c>
      <c r="I1101" s="18">
        <v>38</v>
      </c>
      <c r="J1101">
        <v>64</v>
      </c>
      <c r="K1101">
        <f t="shared" si="174"/>
        <v>320</v>
      </c>
      <c r="L1101" s="39">
        <f t="shared" si="175"/>
        <v>725.83356668538579</v>
      </c>
      <c r="M1101">
        <f t="shared" si="176"/>
        <v>350.31337508538434</v>
      </c>
      <c r="N1101">
        <f t="shared" si="177"/>
        <v>88994.222273536972</v>
      </c>
      <c r="O1101" s="39">
        <f t="shared" si="178"/>
        <v>104536.97967519431</v>
      </c>
      <c r="S1101">
        <f t="shared" si="179"/>
        <v>0</v>
      </c>
      <c r="T1101">
        <f t="shared" si="180"/>
        <v>1</v>
      </c>
      <c r="U1101">
        <f t="shared" si="181"/>
        <v>0</v>
      </c>
      <c r="V1101">
        <f t="shared" si="182"/>
        <v>0</v>
      </c>
      <c r="W1101">
        <f t="shared" si="183"/>
        <v>0</v>
      </c>
      <c r="Y1101" t="str">
        <f t="shared" si="184"/>
        <v/>
      </c>
    </row>
    <row r="1102" spans="8:25">
      <c r="H1102">
        <v>870</v>
      </c>
      <c r="I1102" s="18">
        <v>34</v>
      </c>
      <c r="J1102">
        <v>80</v>
      </c>
      <c r="K1102">
        <f t="shared" si="174"/>
        <v>400</v>
      </c>
      <c r="L1102" s="39">
        <f t="shared" si="175"/>
        <v>726.33622150996007</v>
      </c>
      <c r="M1102">
        <f t="shared" si="176"/>
        <v>310.31337508538434</v>
      </c>
      <c r="N1102">
        <f t="shared" si="177"/>
        <v>78887.14552023237</v>
      </c>
      <c r="O1102" s="39">
        <f t="shared" si="178"/>
        <v>94429.902921889705</v>
      </c>
      <c r="S1102">
        <f t="shared" si="179"/>
        <v>0</v>
      </c>
      <c r="T1102">
        <f t="shared" si="180"/>
        <v>1</v>
      </c>
      <c r="U1102">
        <f t="shared" si="181"/>
        <v>0</v>
      </c>
      <c r="V1102">
        <f t="shared" si="182"/>
        <v>0</v>
      </c>
      <c r="W1102">
        <f t="shared" si="183"/>
        <v>0</v>
      </c>
      <c r="Y1102" t="str">
        <f t="shared" si="184"/>
        <v/>
      </c>
    </row>
    <row r="1103" spans="8:25">
      <c r="H1103">
        <v>871</v>
      </c>
      <c r="I1103" s="18">
        <v>40</v>
      </c>
      <c r="J1103">
        <v>58</v>
      </c>
      <c r="K1103">
        <f t="shared" si="174"/>
        <v>290</v>
      </c>
      <c r="L1103" s="39">
        <f t="shared" si="175"/>
        <v>728.84949563283203</v>
      </c>
      <c r="M1103">
        <f t="shared" si="176"/>
        <v>365.31337508538434</v>
      </c>
      <c r="N1103">
        <f t="shared" si="177"/>
        <v>93190.464212618492</v>
      </c>
      <c r="O1103" s="39">
        <f t="shared" si="178"/>
        <v>108733.22161427583</v>
      </c>
      <c r="S1103">
        <f t="shared" si="179"/>
        <v>0</v>
      </c>
      <c r="T1103">
        <f t="shared" si="180"/>
        <v>1</v>
      </c>
      <c r="U1103">
        <f t="shared" si="181"/>
        <v>0</v>
      </c>
      <c r="V1103">
        <f t="shared" si="182"/>
        <v>0</v>
      </c>
      <c r="W1103">
        <f t="shared" si="183"/>
        <v>1</v>
      </c>
      <c r="Y1103" t="str">
        <f t="shared" si="184"/>
        <v/>
      </c>
    </row>
    <row r="1104" spans="8:25">
      <c r="H1104">
        <v>872</v>
      </c>
      <c r="I1104" s="18">
        <v>45</v>
      </c>
      <c r="J1104">
        <v>46</v>
      </c>
      <c r="K1104">
        <f t="shared" si="174"/>
        <v>230</v>
      </c>
      <c r="L1104" s="39">
        <f t="shared" si="175"/>
        <v>731.59838920472305</v>
      </c>
      <c r="M1104">
        <f t="shared" si="176"/>
        <v>395.31337508538434</v>
      </c>
      <c r="N1104">
        <f t="shared" si="177"/>
        <v>101223.7199552424</v>
      </c>
      <c r="O1104" s="39">
        <f t="shared" si="178"/>
        <v>116766.47735689973</v>
      </c>
      <c r="S1104">
        <f t="shared" si="179"/>
        <v>0</v>
      </c>
      <c r="T1104">
        <f t="shared" si="180"/>
        <v>1</v>
      </c>
      <c r="U1104">
        <f t="shared" si="181"/>
        <v>0</v>
      </c>
      <c r="V1104">
        <f t="shared" si="182"/>
        <v>0</v>
      </c>
      <c r="W1104">
        <f t="shared" si="183"/>
        <v>1</v>
      </c>
      <c r="Y1104" t="str">
        <f t="shared" si="184"/>
        <v/>
      </c>
    </row>
    <row r="1105" spans="8:25">
      <c r="H1105">
        <v>873</v>
      </c>
      <c r="I1105" s="18">
        <v>36</v>
      </c>
      <c r="J1105">
        <v>72</v>
      </c>
      <c r="K1105">
        <f t="shared" si="174"/>
        <v>360</v>
      </c>
      <c r="L1105" s="39">
        <f t="shared" si="175"/>
        <v>732.87073422942694</v>
      </c>
      <c r="M1105">
        <f t="shared" si="176"/>
        <v>330.31337508538434</v>
      </c>
      <c r="N1105">
        <f t="shared" si="177"/>
        <v>84726.952003619008</v>
      </c>
      <c r="O1105" s="39">
        <f t="shared" si="178"/>
        <v>100269.70940527634</v>
      </c>
      <c r="S1105">
        <f t="shared" si="179"/>
        <v>0</v>
      </c>
      <c r="T1105">
        <f t="shared" si="180"/>
        <v>1</v>
      </c>
      <c r="U1105">
        <f t="shared" si="181"/>
        <v>0</v>
      </c>
      <c r="V1105">
        <f t="shared" si="182"/>
        <v>0</v>
      </c>
      <c r="W1105">
        <f t="shared" si="183"/>
        <v>0</v>
      </c>
      <c r="Y1105" t="str">
        <f t="shared" si="184"/>
        <v/>
      </c>
    </row>
    <row r="1106" spans="8:25">
      <c r="H1106">
        <v>874</v>
      </c>
      <c r="I1106" s="18">
        <v>32</v>
      </c>
      <c r="J1106">
        <v>92</v>
      </c>
      <c r="K1106">
        <f t="shared" si="174"/>
        <v>460</v>
      </c>
      <c r="L1106" s="39">
        <f t="shared" si="175"/>
        <v>739.90790177346821</v>
      </c>
      <c r="M1106">
        <f t="shared" si="176"/>
        <v>280.31337508538434</v>
      </c>
      <c r="N1106">
        <f t="shared" si="177"/>
        <v>72592.128419463072</v>
      </c>
      <c r="O1106" s="39">
        <f t="shared" si="178"/>
        <v>88134.885821120406</v>
      </c>
      <c r="S1106">
        <f t="shared" si="179"/>
        <v>0</v>
      </c>
      <c r="T1106">
        <f t="shared" si="180"/>
        <v>1</v>
      </c>
      <c r="U1106">
        <f t="shared" si="181"/>
        <v>0</v>
      </c>
      <c r="V1106">
        <f t="shared" si="182"/>
        <v>0</v>
      </c>
      <c r="W1106">
        <f t="shared" si="183"/>
        <v>0</v>
      </c>
      <c r="Y1106" t="str">
        <f t="shared" si="184"/>
        <v/>
      </c>
    </row>
    <row r="1107" spans="8:25">
      <c r="H1107">
        <v>875</v>
      </c>
      <c r="I1107" s="18">
        <v>34</v>
      </c>
      <c r="J1107">
        <v>82</v>
      </c>
      <c r="K1107">
        <f t="shared" si="174"/>
        <v>410</v>
      </c>
      <c r="L1107" s="39">
        <f t="shared" si="175"/>
        <v>744.49462704770906</v>
      </c>
      <c r="M1107">
        <f t="shared" si="176"/>
        <v>305.31337508538434</v>
      </c>
      <c r="N1107">
        <f t="shared" si="177"/>
        <v>79556.458560904677</v>
      </c>
      <c r="O1107" s="39">
        <f t="shared" si="178"/>
        <v>95099.215962562012</v>
      </c>
      <c r="S1107">
        <f t="shared" si="179"/>
        <v>0</v>
      </c>
      <c r="T1107">
        <f t="shared" si="180"/>
        <v>1</v>
      </c>
      <c r="U1107">
        <f t="shared" si="181"/>
        <v>0</v>
      </c>
      <c r="V1107">
        <f t="shared" si="182"/>
        <v>0</v>
      </c>
      <c r="W1107">
        <f t="shared" si="183"/>
        <v>0</v>
      </c>
      <c r="Y1107" t="str">
        <f t="shared" si="184"/>
        <v/>
      </c>
    </row>
    <row r="1108" spans="8:25">
      <c r="H1108">
        <v>876</v>
      </c>
      <c r="I1108" s="18">
        <v>50</v>
      </c>
      <c r="J1108">
        <v>38</v>
      </c>
      <c r="K1108">
        <f t="shared" si="174"/>
        <v>190</v>
      </c>
      <c r="L1108" s="39">
        <f t="shared" si="175"/>
        <v>746.12825522757578</v>
      </c>
      <c r="M1108">
        <f t="shared" si="176"/>
        <v>415.31337508538434</v>
      </c>
      <c r="N1108">
        <f t="shared" si="177"/>
        <v>108456.96537379675</v>
      </c>
      <c r="O1108" s="39">
        <f t="shared" si="178"/>
        <v>123999.72277545408</v>
      </c>
      <c r="S1108">
        <f t="shared" si="179"/>
        <v>0</v>
      </c>
      <c r="T1108">
        <f t="shared" si="180"/>
        <v>1</v>
      </c>
      <c r="U1108">
        <f t="shared" si="181"/>
        <v>0</v>
      </c>
      <c r="V1108">
        <f t="shared" si="182"/>
        <v>0</v>
      </c>
      <c r="W1108">
        <f t="shared" si="183"/>
        <v>1</v>
      </c>
      <c r="Y1108" t="str">
        <f t="shared" si="184"/>
        <v/>
      </c>
    </row>
    <row r="1109" spans="8:25">
      <c r="H1109">
        <v>877</v>
      </c>
      <c r="I1109" s="18">
        <v>38</v>
      </c>
      <c r="J1109">
        <v>66</v>
      </c>
      <c r="K1109">
        <f t="shared" si="174"/>
        <v>330</v>
      </c>
      <c r="L1109" s="39">
        <f t="shared" si="175"/>
        <v>748.51586564430409</v>
      </c>
      <c r="M1109">
        <f t="shared" si="176"/>
        <v>345.31337508538434</v>
      </c>
      <c r="N1109">
        <f t="shared" si="177"/>
        <v>90465.388954707465</v>
      </c>
      <c r="O1109" s="39">
        <f t="shared" si="178"/>
        <v>106008.1463563648</v>
      </c>
      <c r="S1109">
        <f t="shared" si="179"/>
        <v>0</v>
      </c>
      <c r="T1109">
        <f t="shared" si="180"/>
        <v>1</v>
      </c>
      <c r="U1109">
        <f t="shared" si="181"/>
        <v>0</v>
      </c>
      <c r="V1109">
        <f t="shared" si="182"/>
        <v>0</v>
      </c>
      <c r="W1109">
        <f t="shared" si="183"/>
        <v>0</v>
      </c>
      <c r="Y1109" t="str">
        <f t="shared" si="184"/>
        <v/>
      </c>
    </row>
    <row r="1110" spans="8:25">
      <c r="H1110">
        <v>878</v>
      </c>
      <c r="I1110" s="18">
        <v>36</v>
      </c>
      <c r="J1110">
        <v>74</v>
      </c>
      <c r="K1110">
        <f t="shared" si="174"/>
        <v>370</v>
      </c>
      <c r="L1110" s="39">
        <f t="shared" si="175"/>
        <v>753.22825462468882</v>
      </c>
      <c r="M1110">
        <f t="shared" si="176"/>
        <v>325.31337508538434</v>
      </c>
      <c r="N1110">
        <f t="shared" si="177"/>
        <v>85762.329002570783</v>
      </c>
      <c r="O1110" s="39">
        <f t="shared" si="178"/>
        <v>101305.08640422812</v>
      </c>
      <c r="S1110">
        <f t="shared" si="179"/>
        <v>0</v>
      </c>
      <c r="T1110">
        <f t="shared" si="180"/>
        <v>1</v>
      </c>
      <c r="U1110">
        <f t="shared" si="181"/>
        <v>0</v>
      </c>
      <c r="V1110">
        <f t="shared" si="182"/>
        <v>0</v>
      </c>
      <c r="W1110">
        <f t="shared" si="183"/>
        <v>0</v>
      </c>
      <c r="Y1110" t="str">
        <f t="shared" si="184"/>
        <v/>
      </c>
    </row>
    <row r="1111" spans="8:25">
      <c r="H1111">
        <v>879</v>
      </c>
      <c r="I1111" s="18">
        <v>40</v>
      </c>
      <c r="J1111">
        <v>60</v>
      </c>
      <c r="K1111">
        <f t="shared" si="174"/>
        <v>300</v>
      </c>
      <c r="L1111" s="39">
        <f t="shared" si="175"/>
        <v>753.98223686155029</v>
      </c>
      <c r="M1111">
        <f t="shared" si="176"/>
        <v>360.31337508538434</v>
      </c>
      <c r="N1111">
        <f t="shared" si="177"/>
        <v>95084.459581304502</v>
      </c>
      <c r="O1111" s="39">
        <f t="shared" si="178"/>
        <v>110627.21698296184</v>
      </c>
      <c r="S1111">
        <f t="shared" si="179"/>
        <v>0</v>
      </c>
      <c r="T1111">
        <f t="shared" si="180"/>
        <v>1</v>
      </c>
      <c r="U1111">
        <f t="shared" si="181"/>
        <v>0</v>
      </c>
      <c r="V1111">
        <f t="shared" si="182"/>
        <v>0</v>
      </c>
      <c r="W1111">
        <f t="shared" si="183"/>
        <v>1</v>
      </c>
      <c r="Y1111" t="str">
        <f t="shared" si="184"/>
        <v/>
      </c>
    </row>
    <row r="1112" spans="8:25">
      <c r="H1112">
        <v>880</v>
      </c>
      <c r="I1112" s="18">
        <v>32</v>
      </c>
      <c r="J1112">
        <v>94</v>
      </c>
      <c r="K1112">
        <f t="shared" si="174"/>
        <v>470</v>
      </c>
      <c r="L1112" s="39">
        <f t="shared" si="175"/>
        <v>755.99285615984797</v>
      </c>
      <c r="M1112">
        <f t="shared" si="176"/>
        <v>275.31337508538434</v>
      </c>
      <c r="N1112">
        <f t="shared" si="177"/>
        <v>72847.230669432538</v>
      </c>
      <c r="O1112" s="39">
        <f t="shared" si="178"/>
        <v>88389.988071089872</v>
      </c>
      <c r="S1112">
        <f t="shared" si="179"/>
        <v>0</v>
      </c>
      <c r="T1112">
        <f t="shared" si="180"/>
        <v>1</v>
      </c>
      <c r="U1112">
        <f t="shared" si="181"/>
        <v>0</v>
      </c>
      <c r="V1112">
        <f t="shared" si="182"/>
        <v>0</v>
      </c>
      <c r="W1112">
        <f t="shared" si="183"/>
        <v>0</v>
      </c>
      <c r="Y1112" t="str">
        <f t="shared" si="184"/>
        <v/>
      </c>
    </row>
    <row r="1113" spans="8:25">
      <c r="H1113">
        <v>881</v>
      </c>
      <c r="I1113" s="18">
        <v>34</v>
      </c>
      <c r="J1113">
        <v>84</v>
      </c>
      <c r="K1113">
        <f t="shared" si="174"/>
        <v>420</v>
      </c>
      <c r="L1113" s="39">
        <f t="shared" si="175"/>
        <v>762.65303258545816</v>
      </c>
      <c r="M1113">
        <f t="shared" si="176"/>
        <v>300.31337508538434</v>
      </c>
      <c r="N1113">
        <f t="shared" si="177"/>
        <v>80162.217182194887</v>
      </c>
      <c r="O1113" s="39">
        <f t="shared" si="178"/>
        <v>95704.974583852221</v>
      </c>
      <c r="S1113">
        <f t="shared" si="179"/>
        <v>0</v>
      </c>
      <c r="T1113">
        <f t="shared" si="180"/>
        <v>1</v>
      </c>
      <c r="U1113">
        <f t="shared" si="181"/>
        <v>0</v>
      </c>
      <c r="V1113">
        <f t="shared" si="182"/>
        <v>0</v>
      </c>
      <c r="W1113">
        <f t="shared" si="183"/>
        <v>0</v>
      </c>
      <c r="Y1113" t="str">
        <f t="shared" si="184"/>
        <v/>
      </c>
    </row>
    <row r="1114" spans="8:25">
      <c r="H1114">
        <v>882</v>
      </c>
      <c r="I1114" s="18">
        <v>45</v>
      </c>
      <c r="J1114">
        <v>48</v>
      </c>
      <c r="K1114">
        <f t="shared" si="174"/>
        <v>240</v>
      </c>
      <c r="L1114" s="39">
        <f t="shared" si="175"/>
        <v>763.40701482231975</v>
      </c>
      <c r="M1114">
        <f t="shared" si="176"/>
        <v>390.31337508538434</v>
      </c>
      <c r="N1114">
        <f t="shared" si="177"/>
        <v>104288.78898170519</v>
      </c>
      <c r="O1114" s="39">
        <f t="shared" si="178"/>
        <v>119831.54638336253</v>
      </c>
      <c r="S1114">
        <f t="shared" si="179"/>
        <v>0</v>
      </c>
      <c r="T1114">
        <f t="shared" si="180"/>
        <v>1</v>
      </c>
      <c r="U1114">
        <f t="shared" si="181"/>
        <v>0</v>
      </c>
      <c r="V1114">
        <f t="shared" si="182"/>
        <v>0</v>
      </c>
      <c r="W1114">
        <f t="shared" si="183"/>
        <v>1</v>
      </c>
      <c r="Y1114" t="str">
        <f t="shared" si="184"/>
        <v/>
      </c>
    </row>
    <row r="1115" spans="8:25">
      <c r="H1115">
        <v>883</v>
      </c>
      <c r="I1115" s="18">
        <v>38</v>
      </c>
      <c r="J1115">
        <v>68</v>
      </c>
      <c r="K1115">
        <f t="shared" si="174"/>
        <v>340</v>
      </c>
      <c r="L1115" s="39">
        <f t="shared" si="175"/>
        <v>771.19816460322249</v>
      </c>
      <c r="M1115">
        <f t="shared" si="176"/>
        <v>340.31337508538434</v>
      </c>
      <c r="N1115">
        <f t="shared" si="177"/>
        <v>91857.167589521749</v>
      </c>
      <c r="O1115" s="39">
        <f t="shared" si="178"/>
        <v>107399.92499117908</v>
      </c>
      <c r="S1115">
        <f t="shared" si="179"/>
        <v>0</v>
      </c>
      <c r="T1115">
        <f t="shared" si="180"/>
        <v>1</v>
      </c>
      <c r="U1115">
        <f t="shared" si="181"/>
        <v>0</v>
      </c>
      <c r="V1115">
        <f t="shared" si="182"/>
        <v>0</v>
      </c>
      <c r="W1115">
        <f t="shared" si="183"/>
        <v>0</v>
      </c>
      <c r="Y1115" t="str">
        <f t="shared" si="184"/>
        <v/>
      </c>
    </row>
    <row r="1116" spans="8:25">
      <c r="H1116">
        <v>884</v>
      </c>
      <c r="I1116" s="18">
        <v>32</v>
      </c>
      <c r="J1116">
        <v>96</v>
      </c>
      <c r="K1116">
        <f t="shared" si="174"/>
        <v>480</v>
      </c>
      <c r="L1116" s="39">
        <f t="shared" si="175"/>
        <v>772.07781054622774</v>
      </c>
      <c r="M1116">
        <f t="shared" si="176"/>
        <v>270.31337508538434</v>
      </c>
      <c r="N1116">
        <f t="shared" si="177"/>
        <v>73046.035579049683</v>
      </c>
      <c r="O1116" s="39">
        <f t="shared" si="178"/>
        <v>88588.792980707018</v>
      </c>
      <c r="S1116">
        <f t="shared" si="179"/>
        <v>0</v>
      </c>
      <c r="T1116">
        <f t="shared" si="180"/>
        <v>1</v>
      </c>
      <c r="U1116">
        <f t="shared" si="181"/>
        <v>0</v>
      </c>
      <c r="V1116">
        <f t="shared" si="182"/>
        <v>0</v>
      </c>
      <c r="W1116">
        <f t="shared" si="183"/>
        <v>0</v>
      </c>
      <c r="Y1116" t="str">
        <f t="shared" si="184"/>
        <v/>
      </c>
    </row>
    <row r="1117" spans="8:25">
      <c r="H1117">
        <v>885</v>
      </c>
      <c r="I1117" s="18">
        <v>36</v>
      </c>
      <c r="J1117">
        <v>76</v>
      </c>
      <c r="K1117">
        <f t="shared" si="174"/>
        <v>380</v>
      </c>
      <c r="L1117" s="39">
        <f t="shared" si="175"/>
        <v>773.58577501995069</v>
      </c>
      <c r="M1117">
        <f t="shared" si="176"/>
        <v>320.31337508538434</v>
      </c>
      <c r="N1117">
        <f t="shared" si="177"/>
        <v>86726.454680139126</v>
      </c>
      <c r="O1117" s="39">
        <f t="shared" si="178"/>
        <v>102269.21208179646</v>
      </c>
      <c r="S1117">
        <f t="shared" si="179"/>
        <v>0</v>
      </c>
      <c r="T1117">
        <f t="shared" si="180"/>
        <v>1</v>
      </c>
      <c r="U1117">
        <f t="shared" si="181"/>
        <v>0</v>
      </c>
      <c r="V1117">
        <f t="shared" si="182"/>
        <v>0</v>
      </c>
      <c r="W1117">
        <f t="shared" si="183"/>
        <v>0</v>
      </c>
      <c r="Y1117" t="str">
        <f t="shared" si="184"/>
        <v/>
      </c>
    </row>
    <row r="1118" spans="8:25">
      <c r="H1118">
        <v>886</v>
      </c>
      <c r="I1118" s="18">
        <v>40</v>
      </c>
      <c r="J1118">
        <v>62</v>
      </c>
      <c r="K1118">
        <f t="shared" si="174"/>
        <v>310</v>
      </c>
      <c r="L1118" s="39">
        <f t="shared" si="175"/>
        <v>779.11497809026866</v>
      </c>
      <c r="M1118">
        <f t="shared" si="176"/>
        <v>355.31337508538434</v>
      </c>
      <c r="N1118">
        <f t="shared" si="177"/>
        <v>96890.490355690039</v>
      </c>
      <c r="O1118" s="39">
        <f t="shared" si="178"/>
        <v>112433.24775734737</v>
      </c>
      <c r="S1118">
        <f t="shared" si="179"/>
        <v>0</v>
      </c>
      <c r="T1118">
        <f t="shared" si="180"/>
        <v>1</v>
      </c>
      <c r="U1118">
        <f t="shared" si="181"/>
        <v>0</v>
      </c>
      <c r="V1118">
        <f t="shared" si="182"/>
        <v>0</v>
      </c>
      <c r="W1118">
        <f t="shared" si="183"/>
        <v>0</v>
      </c>
      <c r="Y1118" t="str">
        <f t="shared" si="184"/>
        <v/>
      </c>
    </row>
    <row r="1119" spans="8:25">
      <c r="H1119">
        <v>887</v>
      </c>
      <c r="I1119" s="18">
        <v>34</v>
      </c>
      <c r="J1119">
        <v>86</v>
      </c>
      <c r="K1119">
        <f t="shared" si="174"/>
        <v>430</v>
      </c>
      <c r="L1119" s="39">
        <f t="shared" si="175"/>
        <v>780.81143812320704</v>
      </c>
      <c r="M1119">
        <f t="shared" si="176"/>
        <v>295.31337508538434</v>
      </c>
      <c r="N1119">
        <f t="shared" si="177"/>
        <v>80704.421384102956</v>
      </c>
      <c r="O1119" s="39">
        <f t="shared" si="178"/>
        <v>96247.17878576029</v>
      </c>
      <c r="S1119">
        <f t="shared" si="179"/>
        <v>0</v>
      </c>
      <c r="T1119">
        <f t="shared" si="180"/>
        <v>1</v>
      </c>
      <c r="U1119">
        <f t="shared" si="181"/>
        <v>0</v>
      </c>
      <c r="V1119">
        <f t="shared" si="182"/>
        <v>0</v>
      </c>
      <c r="W1119">
        <f t="shared" si="183"/>
        <v>0</v>
      </c>
      <c r="Y1119" t="str">
        <f t="shared" si="184"/>
        <v/>
      </c>
    </row>
    <row r="1120" spans="8:25">
      <c r="H1120">
        <v>888</v>
      </c>
      <c r="I1120" s="18">
        <v>50</v>
      </c>
      <c r="J1120">
        <v>40</v>
      </c>
      <c r="K1120">
        <f t="shared" si="174"/>
        <v>200</v>
      </c>
      <c r="L1120" s="39">
        <f t="shared" si="175"/>
        <v>785.39816339744823</v>
      </c>
      <c r="M1120">
        <f t="shared" si="176"/>
        <v>410.31337508538434</v>
      </c>
      <c r="N1120">
        <f t="shared" si="177"/>
        <v>112790.7799233142</v>
      </c>
      <c r="O1120" s="39">
        <f t="shared" si="178"/>
        <v>128333.53732497153</v>
      </c>
      <c r="S1120">
        <f t="shared" si="179"/>
        <v>0</v>
      </c>
      <c r="T1120">
        <f t="shared" si="180"/>
        <v>1</v>
      </c>
      <c r="U1120">
        <f t="shared" si="181"/>
        <v>0</v>
      </c>
      <c r="V1120">
        <f t="shared" si="182"/>
        <v>0</v>
      </c>
      <c r="W1120">
        <f t="shared" si="183"/>
        <v>1</v>
      </c>
      <c r="Y1120" t="str">
        <f t="shared" si="184"/>
        <v/>
      </c>
    </row>
    <row r="1121" spans="8:25">
      <c r="H1121">
        <v>889</v>
      </c>
      <c r="I1121" s="18">
        <v>32</v>
      </c>
      <c r="J1121">
        <v>98</v>
      </c>
      <c r="K1121">
        <f t="shared" si="174"/>
        <v>490</v>
      </c>
      <c r="L1121" s="39">
        <f t="shared" si="175"/>
        <v>788.16276493260739</v>
      </c>
      <c r="M1121">
        <f t="shared" si="176"/>
        <v>265.31337508538434</v>
      </c>
      <c r="N1121">
        <f t="shared" si="177"/>
        <v>73188.543148314464</v>
      </c>
      <c r="O1121" s="39">
        <f t="shared" si="178"/>
        <v>88731.300549971798</v>
      </c>
      <c r="S1121">
        <f t="shared" si="179"/>
        <v>0</v>
      </c>
      <c r="T1121">
        <f t="shared" si="180"/>
        <v>1</v>
      </c>
      <c r="U1121">
        <f t="shared" si="181"/>
        <v>0</v>
      </c>
      <c r="V1121">
        <f t="shared" si="182"/>
        <v>0</v>
      </c>
      <c r="W1121">
        <f t="shared" si="183"/>
        <v>0</v>
      </c>
      <c r="Y1121" t="str">
        <f t="shared" si="184"/>
        <v/>
      </c>
    </row>
    <row r="1122" spans="8:25">
      <c r="H1122">
        <v>890</v>
      </c>
      <c r="I1122" s="18">
        <v>38</v>
      </c>
      <c r="J1122">
        <v>70</v>
      </c>
      <c r="K1122">
        <f t="shared" si="174"/>
        <v>350</v>
      </c>
      <c r="L1122" s="39">
        <f t="shared" si="175"/>
        <v>793.88046356214068</v>
      </c>
      <c r="M1122">
        <f t="shared" si="176"/>
        <v>335.31337508538434</v>
      </c>
      <c r="N1122">
        <f t="shared" si="177"/>
        <v>93169.558177979794</v>
      </c>
      <c r="O1122" s="39">
        <f t="shared" si="178"/>
        <v>108712.31557963713</v>
      </c>
      <c r="S1122">
        <f t="shared" si="179"/>
        <v>0</v>
      </c>
      <c r="T1122">
        <f t="shared" si="180"/>
        <v>1</v>
      </c>
      <c r="U1122">
        <f t="shared" si="181"/>
        <v>0</v>
      </c>
      <c r="V1122">
        <f t="shared" si="182"/>
        <v>0</v>
      </c>
      <c r="W1122">
        <f t="shared" si="183"/>
        <v>0</v>
      </c>
      <c r="Y1122" t="str">
        <f t="shared" si="184"/>
        <v/>
      </c>
    </row>
    <row r="1123" spans="8:25">
      <c r="H1123">
        <v>891</v>
      </c>
      <c r="I1123" s="18">
        <v>36</v>
      </c>
      <c r="J1123">
        <v>78</v>
      </c>
      <c r="K1123">
        <f t="shared" si="174"/>
        <v>390</v>
      </c>
      <c r="L1123" s="39">
        <f t="shared" si="175"/>
        <v>793.94329541521256</v>
      </c>
      <c r="M1123">
        <f t="shared" si="176"/>
        <v>315.31337508538434</v>
      </c>
      <c r="N1123">
        <f t="shared" si="177"/>
        <v>87619.329036324067</v>
      </c>
      <c r="O1123" s="39">
        <f t="shared" si="178"/>
        <v>103162.0864379814</v>
      </c>
      <c r="S1123">
        <f t="shared" si="179"/>
        <v>0</v>
      </c>
      <c r="T1123">
        <f t="shared" si="180"/>
        <v>1</v>
      </c>
      <c r="U1123">
        <f t="shared" si="181"/>
        <v>0</v>
      </c>
      <c r="V1123">
        <f t="shared" si="182"/>
        <v>0</v>
      </c>
      <c r="W1123">
        <f t="shared" si="183"/>
        <v>0</v>
      </c>
      <c r="Y1123" t="str">
        <f t="shared" si="184"/>
        <v/>
      </c>
    </row>
    <row r="1124" spans="8:25">
      <c r="H1124">
        <v>892</v>
      </c>
      <c r="I1124" s="18">
        <v>45</v>
      </c>
      <c r="J1124">
        <v>50</v>
      </c>
      <c r="K1124">
        <f t="shared" si="174"/>
        <v>250</v>
      </c>
      <c r="L1124" s="39">
        <f t="shared" si="175"/>
        <v>795.21564043991646</v>
      </c>
      <c r="M1124">
        <f t="shared" si="176"/>
        <v>385.31337508538434</v>
      </c>
      <c r="N1124">
        <f t="shared" si="177"/>
        <v>107242.52781850639</v>
      </c>
      <c r="O1124" s="39">
        <f t="shared" si="178"/>
        <v>122785.28522016373</v>
      </c>
      <c r="S1124">
        <f t="shared" si="179"/>
        <v>0</v>
      </c>
      <c r="T1124">
        <f t="shared" si="180"/>
        <v>1</v>
      </c>
      <c r="U1124">
        <f t="shared" si="181"/>
        <v>0</v>
      </c>
      <c r="V1124">
        <f t="shared" si="182"/>
        <v>0</v>
      </c>
      <c r="W1124">
        <f t="shared" si="183"/>
        <v>1</v>
      </c>
      <c r="Y1124" t="str">
        <f t="shared" si="184"/>
        <v/>
      </c>
    </row>
    <row r="1125" spans="8:25">
      <c r="H1125">
        <v>893</v>
      </c>
      <c r="I1125" s="18">
        <v>34</v>
      </c>
      <c r="J1125">
        <v>88</v>
      </c>
      <c r="K1125">
        <f t="shared" si="174"/>
        <v>440</v>
      </c>
      <c r="L1125" s="39">
        <f t="shared" si="175"/>
        <v>798.96984366095603</v>
      </c>
      <c r="M1125">
        <f t="shared" si="176"/>
        <v>290.31337508538434</v>
      </c>
      <c r="N1125">
        <f t="shared" si="177"/>
        <v>81183.071166628913</v>
      </c>
      <c r="O1125" s="39">
        <f t="shared" si="178"/>
        <v>96725.828568286248</v>
      </c>
      <c r="S1125">
        <f t="shared" si="179"/>
        <v>0</v>
      </c>
      <c r="T1125">
        <f t="shared" si="180"/>
        <v>1</v>
      </c>
      <c r="U1125">
        <f t="shared" si="181"/>
        <v>0</v>
      </c>
      <c r="V1125">
        <f t="shared" si="182"/>
        <v>0</v>
      </c>
      <c r="W1125">
        <f t="shared" si="183"/>
        <v>0</v>
      </c>
      <c r="Y1125" t="str">
        <f t="shared" si="184"/>
        <v/>
      </c>
    </row>
    <row r="1126" spans="8:25">
      <c r="H1126">
        <v>894</v>
      </c>
      <c r="I1126" s="18">
        <v>40</v>
      </c>
      <c r="J1126">
        <v>64</v>
      </c>
      <c r="K1126">
        <f t="shared" si="174"/>
        <v>320</v>
      </c>
      <c r="L1126" s="39">
        <f t="shared" si="175"/>
        <v>804.24771931898704</v>
      </c>
      <c r="M1126">
        <f t="shared" si="176"/>
        <v>350.31337508538434</v>
      </c>
      <c r="N1126">
        <f t="shared" si="177"/>
        <v>98608.556535775017</v>
      </c>
      <c r="O1126" s="39">
        <f t="shared" si="178"/>
        <v>114151.31393743235</v>
      </c>
      <c r="S1126">
        <f t="shared" si="179"/>
        <v>0</v>
      </c>
      <c r="T1126">
        <f t="shared" si="180"/>
        <v>1</v>
      </c>
      <c r="U1126">
        <f t="shared" si="181"/>
        <v>0</v>
      </c>
      <c r="V1126">
        <f t="shared" si="182"/>
        <v>0</v>
      </c>
      <c r="W1126">
        <f t="shared" si="183"/>
        <v>0</v>
      </c>
      <c r="Y1126" t="str">
        <f t="shared" si="184"/>
        <v/>
      </c>
    </row>
    <row r="1127" spans="8:25">
      <c r="H1127">
        <v>895</v>
      </c>
      <c r="I1127" s="18">
        <v>32</v>
      </c>
      <c r="J1127">
        <v>100</v>
      </c>
      <c r="K1127">
        <f t="shared" si="174"/>
        <v>500</v>
      </c>
      <c r="L1127" s="39">
        <f t="shared" si="175"/>
        <v>804.24771931898727</v>
      </c>
      <c r="M1127">
        <f t="shared" si="176"/>
        <v>260.31337508538434</v>
      </c>
      <c r="N1127">
        <f t="shared" si="177"/>
        <v>73274.753377226953</v>
      </c>
      <c r="O1127" s="39">
        <f t="shared" si="178"/>
        <v>88817.510778884287</v>
      </c>
      <c r="S1127">
        <f t="shared" si="179"/>
        <v>0</v>
      </c>
      <c r="T1127">
        <f t="shared" si="180"/>
        <v>1</v>
      </c>
      <c r="U1127">
        <f t="shared" si="181"/>
        <v>0</v>
      </c>
      <c r="V1127">
        <f t="shared" si="182"/>
        <v>0</v>
      </c>
      <c r="W1127">
        <f t="shared" si="183"/>
        <v>0</v>
      </c>
      <c r="Y1127" t="str">
        <f t="shared" si="184"/>
        <v/>
      </c>
    </row>
    <row r="1128" spans="8:25">
      <c r="H1128">
        <v>896</v>
      </c>
      <c r="I1128" s="18">
        <v>36</v>
      </c>
      <c r="J1128">
        <v>80</v>
      </c>
      <c r="K1128">
        <f t="shared" si="174"/>
        <v>400</v>
      </c>
      <c r="L1128" s="39">
        <f t="shared" si="175"/>
        <v>814.30081581047443</v>
      </c>
      <c r="M1128">
        <f t="shared" si="176"/>
        <v>310.31337508538434</v>
      </c>
      <c r="N1128">
        <f t="shared" si="177"/>
        <v>88440.952071125575</v>
      </c>
      <c r="O1128" s="39">
        <f t="shared" si="178"/>
        <v>103983.70947278291</v>
      </c>
      <c r="S1128">
        <f t="shared" si="179"/>
        <v>0</v>
      </c>
      <c r="T1128">
        <f t="shared" si="180"/>
        <v>1</v>
      </c>
      <c r="U1128">
        <f t="shared" si="181"/>
        <v>0</v>
      </c>
      <c r="V1128">
        <f t="shared" si="182"/>
        <v>0</v>
      </c>
      <c r="W1128">
        <f t="shared" si="183"/>
        <v>0</v>
      </c>
      <c r="Y1128" t="str">
        <f t="shared" si="184"/>
        <v/>
      </c>
    </row>
    <row r="1129" spans="8:25">
      <c r="H1129">
        <v>897</v>
      </c>
      <c r="I1129" s="18">
        <v>38</v>
      </c>
      <c r="J1129">
        <v>72</v>
      </c>
      <c r="K1129">
        <f t="shared" ref="K1129:K1192" si="185">$F$230+$F$231*(J1129-2)/2</f>
        <v>360</v>
      </c>
      <c r="L1129" s="39">
        <f t="shared" ref="L1129:L1192" si="186">J1129*0.25*PI()*(I1129/10)^2</f>
        <v>816.56276252105897</v>
      </c>
      <c r="M1129">
        <f t="shared" ref="M1129:M1192" si="187">$F$233-(K1129+$F$232)/2</f>
        <v>330.31337508538434</v>
      </c>
      <c r="N1129">
        <f t="shared" ref="N1129:N1192" si="188">L1129*$F$235*M1129*0.001</f>
        <v>94402.560720081659</v>
      </c>
      <c r="O1129" s="39">
        <f t="shared" ref="O1129:O1192" si="189">N1129+$F$237</f>
        <v>109945.31812173899</v>
      </c>
      <c r="S1129">
        <f t="shared" ref="S1129:S1192" si="190">IF(L1129&lt;$F$236,1,0)</f>
        <v>0</v>
      </c>
      <c r="T1129">
        <f t="shared" ref="T1129:T1192" si="191">IF(O1129&gt;$F$234,1,0)</f>
        <v>1</v>
      </c>
      <c r="U1129">
        <f t="shared" ref="U1129:U1192" si="192">IF(I1129&lt;=$F$238,1,0)</f>
        <v>0</v>
      </c>
      <c r="V1129">
        <f t="shared" ref="V1129:V1192" si="193">IF(J1129&lt;=$F$239,1,0)</f>
        <v>0</v>
      </c>
      <c r="W1129">
        <f t="shared" ref="W1129:W1192" si="194">IF(K1129&lt;=$F$240,1,0)</f>
        <v>0</v>
      </c>
      <c r="Y1129" t="str">
        <f t="shared" ref="Y1129:Y1192" si="195">IF(SUM(S1129:W1129)=5,H1129,"")</f>
        <v/>
      </c>
    </row>
    <row r="1130" spans="8:25">
      <c r="H1130">
        <v>898</v>
      </c>
      <c r="I1130" s="18">
        <v>34</v>
      </c>
      <c r="J1130">
        <v>90</v>
      </c>
      <c r="K1130">
        <f t="shared" si="185"/>
        <v>450</v>
      </c>
      <c r="L1130" s="39">
        <f t="shared" si="186"/>
        <v>817.12824919870513</v>
      </c>
      <c r="M1130">
        <f t="shared" si="187"/>
        <v>285.31337508538434</v>
      </c>
      <c r="N1130">
        <f t="shared" si="188"/>
        <v>81598.166529772745</v>
      </c>
      <c r="O1130" s="39">
        <f t="shared" si="189"/>
        <v>97140.923931430079</v>
      </c>
      <c r="S1130">
        <f t="shared" si="190"/>
        <v>0</v>
      </c>
      <c r="T1130">
        <f t="shared" si="191"/>
        <v>1</v>
      </c>
      <c r="U1130">
        <f t="shared" si="192"/>
        <v>0</v>
      </c>
      <c r="V1130">
        <f t="shared" si="193"/>
        <v>0</v>
      </c>
      <c r="W1130">
        <f t="shared" si="194"/>
        <v>0</v>
      </c>
      <c r="Y1130" t="str">
        <f t="shared" si="195"/>
        <v/>
      </c>
    </row>
    <row r="1131" spans="8:25">
      <c r="H1131">
        <v>899</v>
      </c>
      <c r="I1131" s="18">
        <v>50</v>
      </c>
      <c r="J1131">
        <v>42</v>
      </c>
      <c r="K1131">
        <f t="shared" si="185"/>
        <v>210</v>
      </c>
      <c r="L1131" s="39">
        <f t="shared" si="186"/>
        <v>824.66807156732079</v>
      </c>
      <c r="M1131">
        <f t="shared" si="187"/>
        <v>405.31337508538434</v>
      </c>
      <c r="N1131">
        <f t="shared" si="188"/>
        <v>116987.14979423711</v>
      </c>
      <c r="O1131" s="39">
        <f t="shared" si="189"/>
        <v>132529.90719589446</v>
      </c>
      <c r="S1131">
        <f t="shared" si="190"/>
        <v>0</v>
      </c>
      <c r="T1131">
        <f t="shared" si="191"/>
        <v>1</v>
      </c>
      <c r="U1131">
        <f t="shared" si="192"/>
        <v>0</v>
      </c>
      <c r="V1131">
        <f t="shared" si="193"/>
        <v>0</v>
      </c>
      <c r="W1131">
        <f t="shared" si="194"/>
        <v>1</v>
      </c>
      <c r="Y1131" t="str">
        <f t="shared" si="195"/>
        <v/>
      </c>
    </row>
    <row r="1132" spans="8:25">
      <c r="H1132">
        <v>900</v>
      </c>
      <c r="I1132" s="18">
        <v>45</v>
      </c>
      <c r="J1132">
        <v>52</v>
      </c>
      <c r="K1132">
        <f t="shared" si="185"/>
        <v>260</v>
      </c>
      <c r="L1132" s="39">
        <f t="shared" si="186"/>
        <v>827.02426605751316</v>
      </c>
      <c r="M1132">
        <f t="shared" si="187"/>
        <v>380.31337508538434</v>
      </c>
      <c r="N1132">
        <f t="shared" si="188"/>
        <v>110084.93646564599</v>
      </c>
      <c r="O1132" s="39">
        <f t="shared" si="189"/>
        <v>125627.69386730333</v>
      </c>
      <c r="S1132">
        <f t="shared" si="190"/>
        <v>0</v>
      </c>
      <c r="T1132">
        <f t="shared" si="191"/>
        <v>1</v>
      </c>
      <c r="U1132">
        <f t="shared" si="192"/>
        <v>0</v>
      </c>
      <c r="V1132">
        <f t="shared" si="193"/>
        <v>0</v>
      </c>
      <c r="W1132">
        <f t="shared" si="194"/>
        <v>1</v>
      </c>
      <c r="Y1132" t="str">
        <f t="shared" si="195"/>
        <v/>
      </c>
    </row>
    <row r="1133" spans="8:25">
      <c r="H1133">
        <v>901</v>
      </c>
      <c r="I1133" s="18">
        <v>40</v>
      </c>
      <c r="J1133">
        <v>66</v>
      </c>
      <c r="K1133">
        <f t="shared" si="185"/>
        <v>330</v>
      </c>
      <c r="L1133" s="39">
        <f t="shared" si="186"/>
        <v>829.38046054770541</v>
      </c>
      <c r="M1133">
        <f t="shared" si="187"/>
        <v>345.31337508538434</v>
      </c>
      <c r="N1133">
        <f t="shared" si="188"/>
        <v>100238.65812155951</v>
      </c>
      <c r="O1133" s="39">
        <f t="shared" si="189"/>
        <v>115781.41552321684</v>
      </c>
      <c r="S1133">
        <f t="shared" si="190"/>
        <v>0</v>
      </c>
      <c r="T1133">
        <f t="shared" si="191"/>
        <v>1</v>
      </c>
      <c r="U1133">
        <f t="shared" si="192"/>
        <v>0</v>
      </c>
      <c r="V1133">
        <f t="shared" si="193"/>
        <v>0</v>
      </c>
      <c r="W1133">
        <f t="shared" si="194"/>
        <v>0</v>
      </c>
      <c r="Y1133" t="str">
        <f t="shared" si="195"/>
        <v/>
      </c>
    </row>
    <row r="1134" spans="8:25">
      <c r="H1134">
        <v>902</v>
      </c>
      <c r="I1134" s="18">
        <v>36</v>
      </c>
      <c r="J1134">
        <v>82</v>
      </c>
      <c r="K1134">
        <f t="shared" si="185"/>
        <v>410</v>
      </c>
      <c r="L1134" s="39">
        <f t="shared" si="186"/>
        <v>834.65833620573619</v>
      </c>
      <c r="M1134">
        <f t="shared" si="187"/>
        <v>305.31337508538434</v>
      </c>
      <c r="N1134">
        <f t="shared" si="188"/>
        <v>89191.323784543682</v>
      </c>
      <c r="O1134" s="39">
        <f t="shared" si="189"/>
        <v>104734.08118620102</v>
      </c>
      <c r="S1134">
        <f t="shared" si="190"/>
        <v>0</v>
      </c>
      <c r="T1134">
        <f t="shared" si="191"/>
        <v>1</v>
      </c>
      <c r="U1134">
        <f t="shared" si="192"/>
        <v>0</v>
      </c>
      <c r="V1134">
        <f t="shared" si="193"/>
        <v>0</v>
      </c>
      <c r="W1134">
        <f t="shared" si="194"/>
        <v>0</v>
      </c>
      <c r="Y1134" t="str">
        <f t="shared" si="195"/>
        <v/>
      </c>
    </row>
    <row r="1135" spans="8:25">
      <c r="H1135">
        <v>903</v>
      </c>
      <c r="I1135" s="18">
        <v>34</v>
      </c>
      <c r="J1135">
        <v>92</v>
      </c>
      <c r="K1135">
        <f t="shared" si="185"/>
        <v>460</v>
      </c>
      <c r="L1135" s="39">
        <f t="shared" si="186"/>
        <v>835.28665473645401</v>
      </c>
      <c r="M1135">
        <f t="shared" si="187"/>
        <v>280.31337508538434</v>
      </c>
      <c r="N1135">
        <f t="shared" si="188"/>
        <v>81949.70747353445</v>
      </c>
      <c r="O1135" s="39">
        <f t="shared" si="189"/>
        <v>97492.464875191785</v>
      </c>
      <c r="S1135">
        <f t="shared" si="190"/>
        <v>0</v>
      </c>
      <c r="T1135">
        <f t="shared" si="191"/>
        <v>1</v>
      </c>
      <c r="U1135">
        <f t="shared" si="192"/>
        <v>0</v>
      </c>
      <c r="V1135">
        <f t="shared" si="193"/>
        <v>0</v>
      </c>
      <c r="W1135">
        <f t="shared" si="194"/>
        <v>0</v>
      </c>
      <c r="Y1135" t="str">
        <f t="shared" si="195"/>
        <v/>
      </c>
    </row>
    <row r="1136" spans="8:25">
      <c r="H1136">
        <v>904</v>
      </c>
      <c r="I1136" s="18">
        <v>38</v>
      </c>
      <c r="J1136">
        <v>74</v>
      </c>
      <c r="K1136">
        <f t="shared" si="185"/>
        <v>370</v>
      </c>
      <c r="L1136" s="39">
        <f t="shared" si="186"/>
        <v>839.24506147997738</v>
      </c>
      <c r="M1136">
        <f t="shared" si="187"/>
        <v>325.31337508538434</v>
      </c>
      <c r="N1136">
        <f t="shared" si="188"/>
        <v>95556.175215827316</v>
      </c>
      <c r="O1136" s="39">
        <f t="shared" si="189"/>
        <v>111098.93261748465</v>
      </c>
      <c r="S1136">
        <f t="shared" si="190"/>
        <v>0</v>
      </c>
      <c r="T1136">
        <f t="shared" si="191"/>
        <v>1</v>
      </c>
      <c r="U1136">
        <f t="shared" si="192"/>
        <v>0</v>
      </c>
      <c r="V1136">
        <f t="shared" si="193"/>
        <v>0</v>
      </c>
      <c r="W1136">
        <f t="shared" si="194"/>
        <v>0</v>
      </c>
      <c r="Y1136" t="str">
        <f t="shared" si="195"/>
        <v/>
      </c>
    </row>
    <row r="1137" spans="8:25">
      <c r="H1137">
        <v>905</v>
      </c>
      <c r="I1137" s="18">
        <v>34</v>
      </c>
      <c r="J1137">
        <v>94</v>
      </c>
      <c r="K1137">
        <f t="shared" si="185"/>
        <v>470</v>
      </c>
      <c r="L1137" s="39">
        <f t="shared" si="186"/>
        <v>853.44506027420312</v>
      </c>
      <c r="M1137">
        <f t="shared" si="187"/>
        <v>275.31337508538434</v>
      </c>
      <c r="N1137">
        <f t="shared" si="188"/>
        <v>82237.693997914044</v>
      </c>
      <c r="O1137" s="39">
        <f t="shared" si="189"/>
        <v>97780.451399571379</v>
      </c>
      <c r="S1137">
        <f t="shared" si="190"/>
        <v>0</v>
      </c>
      <c r="T1137">
        <f t="shared" si="191"/>
        <v>1</v>
      </c>
      <c r="U1137">
        <f t="shared" si="192"/>
        <v>0</v>
      </c>
      <c r="V1137">
        <f t="shared" si="193"/>
        <v>0</v>
      </c>
      <c r="W1137">
        <f t="shared" si="194"/>
        <v>0</v>
      </c>
      <c r="Y1137" t="str">
        <f t="shared" si="195"/>
        <v/>
      </c>
    </row>
    <row r="1138" spans="8:25">
      <c r="H1138">
        <v>906</v>
      </c>
      <c r="I1138" s="18">
        <v>40</v>
      </c>
      <c r="J1138">
        <v>68</v>
      </c>
      <c r="K1138">
        <f t="shared" si="185"/>
        <v>340</v>
      </c>
      <c r="L1138" s="39">
        <f t="shared" si="186"/>
        <v>854.51320177642378</v>
      </c>
      <c r="M1138">
        <f t="shared" si="187"/>
        <v>340.31337508538434</v>
      </c>
      <c r="N1138">
        <f t="shared" si="188"/>
        <v>101780.7951130435</v>
      </c>
      <c r="O1138" s="39">
        <f t="shared" si="189"/>
        <v>117323.55251470083</v>
      </c>
      <c r="S1138">
        <f t="shared" si="190"/>
        <v>0</v>
      </c>
      <c r="T1138">
        <f t="shared" si="191"/>
        <v>1</v>
      </c>
      <c r="U1138">
        <f t="shared" si="192"/>
        <v>0</v>
      </c>
      <c r="V1138">
        <f t="shared" si="193"/>
        <v>0</v>
      </c>
      <c r="W1138">
        <f t="shared" si="194"/>
        <v>0</v>
      </c>
      <c r="Y1138" t="str">
        <f t="shared" si="195"/>
        <v/>
      </c>
    </row>
    <row r="1139" spans="8:25">
      <c r="H1139">
        <v>907</v>
      </c>
      <c r="I1139" s="18">
        <v>36</v>
      </c>
      <c r="J1139">
        <v>84</v>
      </c>
      <c r="K1139">
        <f t="shared" si="185"/>
        <v>420</v>
      </c>
      <c r="L1139" s="39">
        <f t="shared" si="186"/>
        <v>855.01585660099818</v>
      </c>
      <c r="M1139">
        <f t="shared" si="187"/>
        <v>300.31337508538434</v>
      </c>
      <c r="N1139">
        <f t="shared" si="188"/>
        <v>89870.444176578356</v>
      </c>
      <c r="O1139" s="39">
        <f t="shared" si="189"/>
        <v>105413.20157823569</v>
      </c>
      <c r="S1139">
        <f t="shared" si="190"/>
        <v>0</v>
      </c>
      <c r="T1139">
        <f t="shared" si="191"/>
        <v>1</v>
      </c>
      <c r="U1139">
        <f t="shared" si="192"/>
        <v>0</v>
      </c>
      <c r="V1139">
        <f t="shared" si="193"/>
        <v>0</v>
      </c>
      <c r="W1139">
        <f t="shared" si="194"/>
        <v>0</v>
      </c>
      <c r="Y1139" t="str">
        <f t="shared" si="195"/>
        <v/>
      </c>
    </row>
    <row r="1140" spans="8:25">
      <c r="H1140">
        <v>908</v>
      </c>
      <c r="I1140" s="18">
        <v>45</v>
      </c>
      <c r="J1140">
        <v>54</v>
      </c>
      <c r="K1140">
        <f t="shared" si="185"/>
        <v>270</v>
      </c>
      <c r="L1140" s="39">
        <f t="shared" si="186"/>
        <v>858.83289167510964</v>
      </c>
      <c r="M1140">
        <f t="shared" si="187"/>
        <v>375.31337508538434</v>
      </c>
      <c r="N1140">
        <f t="shared" si="188"/>
        <v>112816.01492312399</v>
      </c>
      <c r="O1140" s="39">
        <f t="shared" si="189"/>
        <v>128358.77232478133</v>
      </c>
      <c r="S1140">
        <f t="shared" si="190"/>
        <v>0</v>
      </c>
      <c r="T1140">
        <f t="shared" si="191"/>
        <v>1</v>
      </c>
      <c r="U1140">
        <f t="shared" si="192"/>
        <v>0</v>
      </c>
      <c r="V1140">
        <f t="shared" si="193"/>
        <v>0</v>
      </c>
      <c r="W1140">
        <f t="shared" si="194"/>
        <v>1</v>
      </c>
      <c r="Y1140" t="str">
        <f t="shared" si="195"/>
        <v/>
      </c>
    </row>
    <row r="1141" spans="8:25">
      <c r="H1141">
        <v>909</v>
      </c>
      <c r="I1141" s="18">
        <v>38</v>
      </c>
      <c r="J1141">
        <v>76</v>
      </c>
      <c r="K1141">
        <f t="shared" si="185"/>
        <v>380</v>
      </c>
      <c r="L1141" s="39">
        <f t="shared" si="186"/>
        <v>861.92736043889556</v>
      </c>
      <c r="M1141">
        <f t="shared" si="187"/>
        <v>320.31337508538434</v>
      </c>
      <c r="N1141">
        <f t="shared" si="188"/>
        <v>96630.401665216734</v>
      </c>
      <c r="O1141" s="39">
        <f t="shared" si="189"/>
        <v>112173.15906687407</v>
      </c>
      <c r="S1141">
        <f t="shared" si="190"/>
        <v>0</v>
      </c>
      <c r="T1141">
        <f t="shared" si="191"/>
        <v>1</v>
      </c>
      <c r="U1141">
        <f t="shared" si="192"/>
        <v>0</v>
      </c>
      <c r="V1141">
        <f t="shared" si="193"/>
        <v>0</v>
      </c>
      <c r="W1141">
        <f t="shared" si="194"/>
        <v>0</v>
      </c>
      <c r="Y1141" t="str">
        <f t="shared" si="195"/>
        <v/>
      </c>
    </row>
    <row r="1142" spans="8:25">
      <c r="H1142">
        <v>910</v>
      </c>
      <c r="I1142" s="18">
        <v>50</v>
      </c>
      <c r="J1142">
        <v>44</v>
      </c>
      <c r="K1142">
        <f t="shared" si="185"/>
        <v>220</v>
      </c>
      <c r="L1142" s="39">
        <f t="shared" si="186"/>
        <v>863.93797973719302</v>
      </c>
      <c r="M1142">
        <f t="shared" si="187"/>
        <v>400.31337508538434</v>
      </c>
      <c r="N1142">
        <f t="shared" si="188"/>
        <v>121046.07498656547</v>
      </c>
      <c r="O1142" s="39">
        <f t="shared" si="189"/>
        <v>136588.8323882228</v>
      </c>
      <c r="S1142">
        <f t="shared" si="190"/>
        <v>0</v>
      </c>
      <c r="T1142">
        <f t="shared" si="191"/>
        <v>1</v>
      </c>
      <c r="U1142">
        <f t="shared" si="192"/>
        <v>0</v>
      </c>
      <c r="V1142">
        <f t="shared" si="193"/>
        <v>0</v>
      </c>
      <c r="W1142">
        <f t="shared" si="194"/>
        <v>1</v>
      </c>
      <c r="Y1142" t="str">
        <f t="shared" si="195"/>
        <v/>
      </c>
    </row>
    <row r="1143" spans="8:25">
      <c r="H1143">
        <v>911</v>
      </c>
      <c r="I1143" s="18">
        <v>34</v>
      </c>
      <c r="J1143">
        <v>96</v>
      </c>
      <c r="K1143">
        <f t="shared" si="185"/>
        <v>480</v>
      </c>
      <c r="L1143" s="39">
        <f t="shared" si="186"/>
        <v>871.60346581195211</v>
      </c>
      <c r="M1143">
        <f t="shared" si="187"/>
        <v>270.31337508538434</v>
      </c>
      <c r="N1143">
        <f t="shared" si="188"/>
        <v>82462.126102911512</v>
      </c>
      <c r="O1143" s="39">
        <f t="shared" si="189"/>
        <v>98004.883504568847</v>
      </c>
      <c r="S1143">
        <f t="shared" si="190"/>
        <v>0</v>
      </c>
      <c r="T1143">
        <f t="shared" si="191"/>
        <v>1</v>
      </c>
      <c r="U1143">
        <f t="shared" si="192"/>
        <v>0</v>
      </c>
      <c r="V1143">
        <f t="shared" si="193"/>
        <v>0</v>
      </c>
      <c r="W1143">
        <f t="shared" si="194"/>
        <v>0</v>
      </c>
      <c r="Y1143" t="str">
        <f t="shared" si="195"/>
        <v/>
      </c>
    </row>
    <row r="1144" spans="8:25">
      <c r="H1144">
        <v>912</v>
      </c>
      <c r="I1144" s="18">
        <v>36</v>
      </c>
      <c r="J1144">
        <v>86</v>
      </c>
      <c r="K1144">
        <f t="shared" si="185"/>
        <v>430</v>
      </c>
      <c r="L1144" s="39">
        <f t="shared" si="186"/>
        <v>875.37337699625994</v>
      </c>
      <c r="M1144">
        <f t="shared" si="187"/>
        <v>295.31337508538434</v>
      </c>
      <c r="N1144">
        <f t="shared" si="188"/>
        <v>90478.313247229627</v>
      </c>
      <c r="O1144" s="39">
        <f t="shared" si="189"/>
        <v>106021.07064888696</v>
      </c>
      <c r="S1144">
        <f t="shared" si="190"/>
        <v>0</v>
      </c>
      <c r="T1144">
        <f t="shared" si="191"/>
        <v>1</v>
      </c>
      <c r="U1144">
        <f t="shared" si="192"/>
        <v>0</v>
      </c>
      <c r="V1144">
        <f t="shared" si="193"/>
        <v>0</v>
      </c>
      <c r="W1144">
        <f t="shared" si="194"/>
        <v>0</v>
      </c>
      <c r="Y1144" t="str">
        <f t="shared" si="195"/>
        <v/>
      </c>
    </row>
    <row r="1145" spans="8:25">
      <c r="H1145">
        <v>913</v>
      </c>
      <c r="I1145" s="18">
        <v>40</v>
      </c>
      <c r="J1145">
        <v>70</v>
      </c>
      <c r="K1145">
        <f t="shared" si="185"/>
        <v>350</v>
      </c>
      <c r="L1145" s="39">
        <f t="shared" si="186"/>
        <v>879.64594300514204</v>
      </c>
      <c r="M1145">
        <f t="shared" si="187"/>
        <v>335.31337508538434</v>
      </c>
      <c r="N1145">
        <f t="shared" si="188"/>
        <v>103234.96751022694</v>
      </c>
      <c r="O1145" s="39">
        <f t="shared" si="189"/>
        <v>118777.72491188427</v>
      </c>
      <c r="S1145">
        <f t="shared" si="190"/>
        <v>0</v>
      </c>
      <c r="T1145">
        <f t="shared" si="191"/>
        <v>1</v>
      </c>
      <c r="U1145">
        <f t="shared" si="192"/>
        <v>0</v>
      </c>
      <c r="V1145">
        <f t="shared" si="193"/>
        <v>0</v>
      </c>
      <c r="W1145">
        <f t="shared" si="194"/>
        <v>0</v>
      </c>
      <c r="Y1145" t="str">
        <f t="shared" si="195"/>
        <v/>
      </c>
    </row>
    <row r="1146" spans="8:25">
      <c r="H1146">
        <v>914</v>
      </c>
      <c r="I1146" s="18">
        <v>38</v>
      </c>
      <c r="J1146">
        <v>78</v>
      </c>
      <c r="K1146">
        <f t="shared" si="185"/>
        <v>390</v>
      </c>
      <c r="L1146" s="39">
        <f t="shared" si="186"/>
        <v>884.60965939781386</v>
      </c>
      <c r="M1146">
        <f t="shared" si="187"/>
        <v>315.31337508538434</v>
      </c>
      <c r="N1146">
        <f t="shared" si="188"/>
        <v>97625.240068249928</v>
      </c>
      <c r="O1146" s="39">
        <f t="shared" si="189"/>
        <v>113167.99746990726</v>
      </c>
      <c r="S1146">
        <f t="shared" si="190"/>
        <v>0</v>
      </c>
      <c r="T1146">
        <f t="shared" si="191"/>
        <v>1</v>
      </c>
      <c r="U1146">
        <f t="shared" si="192"/>
        <v>0</v>
      </c>
      <c r="V1146">
        <f t="shared" si="193"/>
        <v>0</v>
      </c>
      <c r="W1146">
        <f t="shared" si="194"/>
        <v>0</v>
      </c>
      <c r="Y1146" t="str">
        <f t="shared" si="195"/>
        <v/>
      </c>
    </row>
    <row r="1147" spans="8:25">
      <c r="H1147">
        <v>915</v>
      </c>
      <c r="I1147" s="18">
        <v>34</v>
      </c>
      <c r="J1147">
        <v>98</v>
      </c>
      <c r="K1147">
        <f t="shared" si="185"/>
        <v>490</v>
      </c>
      <c r="L1147" s="39">
        <f t="shared" si="186"/>
        <v>889.7618713497011</v>
      </c>
      <c r="M1147">
        <f t="shared" si="187"/>
        <v>265.31337508538434</v>
      </c>
      <c r="N1147">
        <f t="shared" si="188"/>
        <v>82623.003788526868</v>
      </c>
      <c r="O1147" s="39">
        <f t="shared" si="189"/>
        <v>98165.761190184203</v>
      </c>
      <c r="S1147">
        <f t="shared" si="190"/>
        <v>0</v>
      </c>
      <c r="T1147">
        <f t="shared" si="191"/>
        <v>1</v>
      </c>
      <c r="U1147">
        <f t="shared" si="192"/>
        <v>0</v>
      </c>
      <c r="V1147">
        <f t="shared" si="193"/>
        <v>0</v>
      </c>
      <c r="W1147">
        <f t="shared" si="194"/>
        <v>0</v>
      </c>
      <c r="Y1147" t="str">
        <f t="shared" si="195"/>
        <v/>
      </c>
    </row>
    <row r="1148" spans="8:25">
      <c r="H1148">
        <v>916</v>
      </c>
      <c r="I1148" s="18">
        <v>45</v>
      </c>
      <c r="J1148">
        <v>56</v>
      </c>
      <c r="K1148">
        <f t="shared" si="185"/>
        <v>280</v>
      </c>
      <c r="L1148" s="39">
        <f t="shared" si="186"/>
        <v>890.64151729270634</v>
      </c>
      <c r="M1148">
        <f t="shared" si="187"/>
        <v>370.31337508538434</v>
      </c>
      <c r="N1148">
        <f t="shared" si="188"/>
        <v>115435.76319094043</v>
      </c>
      <c r="O1148" s="39">
        <f t="shared" si="189"/>
        <v>130978.52059259776</v>
      </c>
      <c r="S1148">
        <f t="shared" si="190"/>
        <v>0</v>
      </c>
      <c r="T1148">
        <f t="shared" si="191"/>
        <v>1</v>
      </c>
      <c r="U1148">
        <f t="shared" si="192"/>
        <v>0</v>
      </c>
      <c r="V1148">
        <f t="shared" si="193"/>
        <v>0</v>
      </c>
      <c r="W1148">
        <f t="shared" si="194"/>
        <v>1</v>
      </c>
      <c r="Y1148" t="str">
        <f t="shared" si="195"/>
        <v/>
      </c>
    </row>
    <row r="1149" spans="8:25">
      <c r="H1149">
        <v>917</v>
      </c>
      <c r="I1149" s="18">
        <v>36</v>
      </c>
      <c r="J1149">
        <v>88</v>
      </c>
      <c r="K1149">
        <f t="shared" si="185"/>
        <v>440</v>
      </c>
      <c r="L1149" s="39">
        <f t="shared" si="186"/>
        <v>895.73089739152181</v>
      </c>
      <c r="M1149">
        <f t="shared" si="187"/>
        <v>290.31337508538434</v>
      </c>
      <c r="N1149">
        <f t="shared" si="188"/>
        <v>91014.930996497467</v>
      </c>
      <c r="O1149" s="39">
        <f t="shared" si="189"/>
        <v>106557.6883981548</v>
      </c>
      <c r="S1149">
        <f t="shared" si="190"/>
        <v>0</v>
      </c>
      <c r="T1149">
        <f t="shared" si="191"/>
        <v>1</v>
      </c>
      <c r="U1149">
        <f t="shared" si="192"/>
        <v>0</v>
      </c>
      <c r="V1149">
        <f t="shared" si="193"/>
        <v>0</v>
      </c>
      <c r="W1149">
        <f t="shared" si="194"/>
        <v>0</v>
      </c>
      <c r="Y1149" t="str">
        <f t="shared" si="195"/>
        <v/>
      </c>
    </row>
    <row r="1150" spans="8:25">
      <c r="H1150">
        <v>918</v>
      </c>
      <c r="I1150" s="18">
        <v>50</v>
      </c>
      <c r="J1150">
        <v>46</v>
      </c>
      <c r="K1150">
        <f t="shared" si="185"/>
        <v>230</v>
      </c>
      <c r="L1150" s="39">
        <f t="shared" si="186"/>
        <v>903.20788790706547</v>
      </c>
      <c r="M1150">
        <f t="shared" si="187"/>
        <v>395.31337508538434</v>
      </c>
      <c r="N1150">
        <f t="shared" si="188"/>
        <v>124967.55550029925</v>
      </c>
      <c r="O1150" s="39">
        <f t="shared" si="189"/>
        <v>140510.31290195658</v>
      </c>
      <c r="S1150">
        <f t="shared" si="190"/>
        <v>0</v>
      </c>
      <c r="T1150">
        <f t="shared" si="191"/>
        <v>1</v>
      </c>
      <c r="U1150">
        <f t="shared" si="192"/>
        <v>0</v>
      </c>
      <c r="V1150">
        <f t="shared" si="193"/>
        <v>0</v>
      </c>
      <c r="W1150">
        <f t="shared" si="194"/>
        <v>1</v>
      </c>
      <c r="Y1150" t="str">
        <f t="shared" si="195"/>
        <v/>
      </c>
    </row>
    <row r="1151" spans="8:25">
      <c r="H1151">
        <v>919</v>
      </c>
      <c r="I1151" s="18">
        <v>40</v>
      </c>
      <c r="J1151">
        <v>72</v>
      </c>
      <c r="K1151">
        <f t="shared" si="185"/>
        <v>360</v>
      </c>
      <c r="L1151" s="39">
        <f t="shared" si="186"/>
        <v>904.77868423386042</v>
      </c>
      <c r="M1151">
        <f t="shared" si="187"/>
        <v>330.31337508538434</v>
      </c>
      <c r="N1151">
        <f t="shared" si="188"/>
        <v>104601.17531310988</v>
      </c>
      <c r="O1151" s="39">
        <f t="shared" si="189"/>
        <v>120143.93271476722</v>
      </c>
      <c r="S1151">
        <f t="shared" si="190"/>
        <v>0</v>
      </c>
      <c r="T1151">
        <f t="shared" si="191"/>
        <v>1</v>
      </c>
      <c r="U1151">
        <f t="shared" si="192"/>
        <v>0</v>
      </c>
      <c r="V1151">
        <f t="shared" si="193"/>
        <v>0</v>
      </c>
      <c r="W1151">
        <f t="shared" si="194"/>
        <v>0</v>
      </c>
      <c r="Y1151" t="str">
        <f t="shared" si="195"/>
        <v/>
      </c>
    </row>
    <row r="1152" spans="8:25">
      <c r="H1152">
        <v>920</v>
      </c>
      <c r="I1152" s="18">
        <v>38</v>
      </c>
      <c r="J1152">
        <v>80</v>
      </c>
      <c r="K1152">
        <f t="shared" si="185"/>
        <v>400</v>
      </c>
      <c r="L1152" s="39">
        <f t="shared" si="186"/>
        <v>907.29195835673227</v>
      </c>
      <c r="M1152">
        <f t="shared" si="187"/>
        <v>310.31337508538434</v>
      </c>
      <c r="N1152">
        <f t="shared" si="188"/>
        <v>98540.690424926957</v>
      </c>
      <c r="O1152" s="39">
        <f t="shared" si="189"/>
        <v>114083.44782658429</v>
      </c>
      <c r="S1152">
        <f t="shared" si="190"/>
        <v>0</v>
      </c>
      <c r="T1152">
        <f t="shared" si="191"/>
        <v>1</v>
      </c>
      <c r="U1152">
        <f t="shared" si="192"/>
        <v>0</v>
      </c>
      <c r="V1152">
        <f t="shared" si="193"/>
        <v>0</v>
      </c>
      <c r="W1152">
        <f t="shared" si="194"/>
        <v>0</v>
      </c>
      <c r="Y1152" t="str">
        <f t="shared" si="195"/>
        <v/>
      </c>
    </row>
    <row r="1153" spans="8:25">
      <c r="H1153">
        <v>921</v>
      </c>
      <c r="I1153" s="18">
        <v>34</v>
      </c>
      <c r="J1153">
        <v>100</v>
      </c>
      <c r="K1153">
        <f t="shared" si="185"/>
        <v>500</v>
      </c>
      <c r="L1153" s="39">
        <f t="shared" si="186"/>
        <v>907.9202768874502</v>
      </c>
      <c r="M1153">
        <f t="shared" si="187"/>
        <v>260.31337508538434</v>
      </c>
      <c r="N1153">
        <f t="shared" si="188"/>
        <v>82720.327054760099</v>
      </c>
      <c r="O1153" s="39">
        <f t="shared" si="189"/>
        <v>98263.084456417433</v>
      </c>
      <c r="S1153">
        <f t="shared" si="190"/>
        <v>0</v>
      </c>
      <c r="T1153">
        <f t="shared" si="191"/>
        <v>1</v>
      </c>
      <c r="U1153">
        <f t="shared" si="192"/>
        <v>0</v>
      </c>
      <c r="V1153">
        <f t="shared" si="193"/>
        <v>0</v>
      </c>
      <c r="W1153">
        <f t="shared" si="194"/>
        <v>0</v>
      </c>
      <c r="Y1153" t="str">
        <f t="shared" si="195"/>
        <v/>
      </c>
    </row>
    <row r="1154" spans="8:25">
      <c r="H1154">
        <v>922</v>
      </c>
      <c r="I1154" s="18">
        <v>36</v>
      </c>
      <c r="J1154">
        <v>90</v>
      </c>
      <c r="K1154">
        <f t="shared" si="185"/>
        <v>450</v>
      </c>
      <c r="L1154" s="39">
        <f t="shared" si="186"/>
        <v>916.08841778678379</v>
      </c>
      <c r="M1154">
        <f t="shared" si="187"/>
        <v>285.31337508538434</v>
      </c>
      <c r="N1154">
        <f t="shared" si="188"/>
        <v>91480.297424381934</v>
      </c>
      <c r="O1154" s="39">
        <f t="shared" si="189"/>
        <v>107023.05482603927</v>
      </c>
      <c r="S1154">
        <f t="shared" si="190"/>
        <v>0</v>
      </c>
      <c r="T1154">
        <f t="shared" si="191"/>
        <v>1</v>
      </c>
      <c r="U1154">
        <f t="shared" si="192"/>
        <v>0</v>
      </c>
      <c r="V1154">
        <f t="shared" si="193"/>
        <v>0</v>
      </c>
      <c r="W1154">
        <f t="shared" si="194"/>
        <v>0</v>
      </c>
      <c r="Y1154" t="str">
        <f t="shared" si="195"/>
        <v/>
      </c>
    </row>
    <row r="1155" spans="8:25">
      <c r="H1155">
        <v>923</v>
      </c>
      <c r="I1155" s="18">
        <v>45</v>
      </c>
      <c r="J1155">
        <v>58</v>
      </c>
      <c r="K1155">
        <f t="shared" si="185"/>
        <v>290</v>
      </c>
      <c r="L1155" s="39">
        <f t="shared" si="186"/>
        <v>922.45014291030304</v>
      </c>
      <c r="M1155">
        <f t="shared" si="187"/>
        <v>365.31337508538434</v>
      </c>
      <c r="N1155">
        <f t="shared" si="188"/>
        <v>117944.18126909528</v>
      </c>
      <c r="O1155" s="39">
        <f t="shared" si="189"/>
        <v>133486.93867075263</v>
      </c>
      <c r="S1155">
        <f t="shared" si="190"/>
        <v>0</v>
      </c>
      <c r="T1155">
        <f t="shared" si="191"/>
        <v>1</v>
      </c>
      <c r="U1155">
        <f t="shared" si="192"/>
        <v>0</v>
      </c>
      <c r="V1155">
        <f t="shared" si="193"/>
        <v>0</v>
      </c>
      <c r="W1155">
        <f t="shared" si="194"/>
        <v>1</v>
      </c>
      <c r="Y1155" t="str">
        <f t="shared" si="195"/>
        <v/>
      </c>
    </row>
    <row r="1156" spans="8:25">
      <c r="H1156">
        <v>924</v>
      </c>
      <c r="I1156" s="18">
        <v>40</v>
      </c>
      <c r="J1156">
        <v>74</v>
      </c>
      <c r="K1156">
        <f t="shared" si="185"/>
        <v>370</v>
      </c>
      <c r="L1156" s="39">
        <f t="shared" si="186"/>
        <v>929.91142546257879</v>
      </c>
      <c r="M1156">
        <f t="shared" si="187"/>
        <v>325.31337508538434</v>
      </c>
      <c r="N1156">
        <f t="shared" si="188"/>
        <v>105879.41852169232</v>
      </c>
      <c r="O1156" s="39">
        <f t="shared" si="189"/>
        <v>121422.17592334966</v>
      </c>
      <c r="S1156">
        <f t="shared" si="190"/>
        <v>0</v>
      </c>
      <c r="T1156">
        <f t="shared" si="191"/>
        <v>1</v>
      </c>
      <c r="U1156">
        <f t="shared" si="192"/>
        <v>0</v>
      </c>
      <c r="V1156">
        <f t="shared" si="193"/>
        <v>0</v>
      </c>
      <c r="W1156">
        <f t="shared" si="194"/>
        <v>0</v>
      </c>
      <c r="Y1156" t="str">
        <f t="shared" si="195"/>
        <v/>
      </c>
    </row>
    <row r="1157" spans="8:25">
      <c r="H1157">
        <v>925</v>
      </c>
      <c r="I1157" s="18">
        <v>38</v>
      </c>
      <c r="J1157">
        <v>82</v>
      </c>
      <c r="K1157">
        <f t="shared" si="185"/>
        <v>410</v>
      </c>
      <c r="L1157" s="39">
        <f t="shared" si="186"/>
        <v>929.97425731565045</v>
      </c>
      <c r="M1157">
        <f t="shared" si="187"/>
        <v>305.31337508538434</v>
      </c>
      <c r="N1157">
        <f t="shared" si="188"/>
        <v>99376.752735247719</v>
      </c>
      <c r="O1157" s="39">
        <f t="shared" si="189"/>
        <v>114919.51013690505</v>
      </c>
      <c r="S1157">
        <f t="shared" si="190"/>
        <v>0</v>
      </c>
      <c r="T1157">
        <f t="shared" si="191"/>
        <v>1</v>
      </c>
      <c r="U1157">
        <f t="shared" si="192"/>
        <v>0</v>
      </c>
      <c r="V1157">
        <f t="shared" si="193"/>
        <v>0</v>
      </c>
      <c r="W1157">
        <f t="shared" si="194"/>
        <v>0</v>
      </c>
      <c r="Y1157" t="str">
        <f t="shared" si="195"/>
        <v/>
      </c>
    </row>
    <row r="1158" spans="8:25">
      <c r="H1158">
        <v>926</v>
      </c>
      <c r="I1158" s="18">
        <v>36</v>
      </c>
      <c r="J1158">
        <v>92</v>
      </c>
      <c r="K1158">
        <f t="shared" si="185"/>
        <v>460</v>
      </c>
      <c r="L1158" s="39">
        <f t="shared" si="186"/>
        <v>936.44593818204555</v>
      </c>
      <c r="M1158">
        <f t="shared" si="187"/>
        <v>280.31337508538434</v>
      </c>
      <c r="N1158">
        <f t="shared" si="188"/>
        <v>91874.412530882939</v>
      </c>
      <c r="O1158" s="39">
        <f t="shared" si="189"/>
        <v>107417.16993254027</v>
      </c>
      <c r="S1158">
        <f t="shared" si="190"/>
        <v>0</v>
      </c>
      <c r="T1158">
        <f t="shared" si="191"/>
        <v>1</v>
      </c>
      <c r="U1158">
        <f t="shared" si="192"/>
        <v>0</v>
      </c>
      <c r="V1158">
        <f t="shared" si="193"/>
        <v>0</v>
      </c>
      <c r="W1158">
        <f t="shared" si="194"/>
        <v>0</v>
      </c>
      <c r="Y1158" t="str">
        <f t="shared" si="195"/>
        <v/>
      </c>
    </row>
    <row r="1159" spans="8:25">
      <c r="H1159">
        <v>927</v>
      </c>
      <c r="I1159" s="18">
        <v>50</v>
      </c>
      <c r="J1159">
        <v>48</v>
      </c>
      <c r="K1159">
        <f t="shared" si="185"/>
        <v>240</v>
      </c>
      <c r="L1159" s="39">
        <f t="shared" si="186"/>
        <v>942.47779607693792</v>
      </c>
      <c r="M1159">
        <f t="shared" si="187"/>
        <v>390.31337508538434</v>
      </c>
      <c r="N1159">
        <f t="shared" si="188"/>
        <v>128751.5913354385</v>
      </c>
      <c r="O1159" s="39">
        <f t="shared" si="189"/>
        <v>144294.34873709583</v>
      </c>
      <c r="S1159">
        <f t="shared" si="190"/>
        <v>0</v>
      </c>
      <c r="T1159">
        <f t="shared" si="191"/>
        <v>1</v>
      </c>
      <c r="U1159">
        <f t="shared" si="192"/>
        <v>0</v>
      </c>
      <c r="V1159">
        <f t="shared" si="193"/>
        <v>0</v>
      </c>
      <c r="W1159">
        <f t="shared" si="194"/>
        <v>1</v>
      </c>
      <c r="Y1159" t="str">
        <f t="shared" si="195"/>
        <v/>
      </c>
    </row>
    <row r="1160" spans="8:25">
      <c r="H1160">
        <v>928</v>
      </c>
      <c r="I1160" s="18">
        <v>38</v>
      </c>
      <c r="J1160">
        <v>84</v>
      </c>
      <c r="K1160">
        <f t="shared" si="185"/>
        <v>420</v>
      </c>
      <c r="L1160" s="39">
        <f t="shared" si="186"/>
        <v>952.65655627456886</v>
      </c>
      <c r="M1160">
        <f t="shared" si="187"/>
        <v>300.31337508538434</v>
      </c>
      <c r="N1160">
        <f t="shared" si="188"/>
        <v>100133.42699921232</v>
      </c>
      <c r="O1160" s="39">
        <f t="shared" si="189"/>
        <v>115676.18440086965</v>
      </c>
      <c r="S1160">
        <f t="shared" si="190"/>
        <v>0</v>
      </c>
      <c r="T1160">
        <f t="shared" si="191"/>
        <v>1</v>
      </c>
      <c r="U1160">
        <f t="shared" si="192"/>
        <v>0</v>
      </c>
      <c r="V1160">
        <f t="shared" si="193"/>
        <v>0</v>
      </c>
      <c r="W1160">
        <f t="shared" si="194"/>
        <v>0</v>
      </c>
      <c r="Y1160" t="str">
        <f t="shared" si="195"/>
        <v/>
      </c>
    </row>
    <row r="1161" spans="8:25">
      <c r="H1161">
        <v>929</v>
      </c>
      <c r="I1161" s="18">
        <v>45</v>
      </c>
      <c r="J1161">
        <v>60</v>
      </c>
      <c r="K1161">
        <f t="shared" si="185"/>
        <v>300</v>
      </c>
      <c r="L1161" s="39">
        <f t="shared" si="186"/>
        <v>954.25876852789963</v>
      </c>
      <c r="M1161">
        <f t="shared" si="187"/>
        <v>360.31337508538434</v>
      </c>
      <c r="N1161">
        <f t="shared" si="188"/>
        <v>120341.26915758851</v>
      </c>
      <c r="O1161" s="39">
        <f t="shared" si="189"/>
        <v>135884.02655924583</v>
      </c>
      <c r="S1161">
        <f t="shared" si="190"/>
        <v>0</v>
      </c>
      <c r="T1161">
        <f t="shared" si="191"/>
        <v>1</v>
      </c>
      <c r="U1161">
        <f t="shared" si="192"/>
        <v>0</v>
      </c>
      <c r="V1161">
        <f t="shared" si="193"/>
        <v>0</v>
      </c>
      <c r="W1161">
        <f t="shared" si="194"/>
        <v>1</v>
      </c>
      <c r="Y1161" t="str">
        <f t="shared" si="195"/>
        <v/>
      </c>
    </row>
    <row r="1162" spans="8:25">
      <c r="H1162">
        <v>930</v>
      </c>
      <c r="I1162" s="18">
        <v>40</v>
      </c>
      <c r="J1162">
        <v>76</v>
      </c>
      <c r="K1162">
        <f t="shared" si="185"/>
        <v>380</v>
      </c>
      <c r="L1162" s="39">
        <f t="shared" si="186"/>
        <v>955.04416669129705</v>
      </c>
      <c r="M1162">
        <f t="shared" si="187"/>
        <v>320.31337508538434</v>
      </c>
      <c r="N1162">
        <f t="shared" si="188"/>
        <v>107069.69713597422</v>
      </c>
      <c r="O1162" s="39">
        <f t="shared" si="189"/>
        <v>122612.45453763155</v>
      </c>
      <c r="S1162">
        <f t="shared" si="190"/>
        <v>0</v>
      </c>
      <c r="T1162">
        <f t="shared" si="191"/>
        <v>1</v>
      </c>
      <c r="U1162">
        <f t="shared" si="192"/>
        <v>0</v>
      </c>
      <c r="V1162">
        <f t="shared" si="193"/>
        <v>0</v>
      </c>
      <c r="W1162">
        <f t="shared" si="194"/>
        <v>0</v>
      </c>
      <c r="Y1162" t="str">
        <f t="shared" si="195"/>
        <v/>
      </c>
    </row>
    <row r="1163" spans="8:25">
      <c r="H1163">
        <v>931</v>
      </c>
      <c r="I1163" s="18">
        <v>36</v>
      </c>
      <c r="J1163">
        <v>94</v>
      </c>
      <c r="K1163">
        <f t="shared" si="185"/>
        <v>470</v>
      </c>
      <c r="L1163" s="39">
        <f t="shared" si="186"/>
        <v>956.80345857730754</v>
      </c>
      <c r="M1163">
        <f t="shared" si="187"/>
        <v>275.31337508538434</v>
      </c>
      <c r="N1163">
        <f t="shared" si="188"/>
        <v>92197.276316000542</v>
      </c>
      <c r="O1163" s="39">
        <f t="shared" si="189"/>
        <v>107740.03371765788</v>
      </c>
      <c r="S1163">
        <f t="shared" si="190"/>
        <v>0</v>
      </c>
      <c r="T1163">
        <f t="shared" si="191"/>
        <v>1</v>
      </c>
      <c r="U1163">
        <f t="shared" si="192"/>
        <v>0</v>
      </c>
      <c r="V1163">
        <f t="shared" si="193"/>
        <v>0</v>
      </c>
      <c r="W1163">
        <f t="shared" si="194"/>
        <v>0</v>
      </c>
      <c r="Y1163" t="str">
        <f t="shared" si="195"/>
        <v/>
      </c>
    </row>
    <row r="1164" spans="8:25">
      <c r="H1164">
        <v>932</v>
      </c>
      <c r="I1164" s="18">
        <v>38</v>
      </c>
      <c r="J1164">
        <v>86</v>
      </c>
      <c r="K1164">
        <f t="shared" si="185"/>
        <v>430</v>
      </c>
      <c r="L1164" s="39">
        <f t="shared" si="186"/>
        <v>975.33885523348715</v>
      </c>
      <c r="M1164">
        <f t="shared" si="187"/>
        <v>295.31337508538434</v>
      </c>
      <c r="N1164">
        <f t="shared" si="188"/>
        <v>100810.71321682066</v>
      </c>
      <c r="O1164" s="39">
        <f t="shared" si="189"/>
        <v>116353.47061847799</v>
      </c>
      <c r="S1164">
        <f t="shared" si="190"/>
        <v>0</v>
      </c>
      <c r="T1164">
        <f t="shared" si="191"/>
        <v>1</v>
      </c>
      <c r="U1164">
        <f t="shared" si="192"/>
        <v>0</v>
      </c>
      <c r="V1164">
        <f t="shared" si="193"/>
        <v>0</v>
      </c>
      <c r="W1164">
        <f t="shared" si="194"/>
        <v>0</v>
      </c>
      <c r="Y1164" t="str">
        <f t="shared" si="195"/>
        <v/>
      </c>
    </row>
    <row r="1165" spans="8:25">
      <c r="H1165">
        <v>933</v>
      </c>
      <c r="I1165" s="18">
        <v>36</v>
      </c>
      <c r="J1165">
        <v>96</v>
      </c>
      <c r="K1165">
        <f t="shared" si="185"/>
        <v>480</v>
      </c>
      <c r="L1165" s="39">
        <f t="shared" si="186"/>
        <v>977.1609789725693</v>
      </c>
      <c r="M1165">
        <f t="shared" si="187"/>
        <v>270.31337508538434</v>
      </c>
      <c r="N1165">
        <f t="shared" si="188"/>
        <v>92448.888779734712</v>
      </c>
      <c r="O1165" s="39">
        <f t="shared" si="189"/>
        <v>107991.64618139205</v>
      </c>
      <c r="S1165">
        <f t="shared" si="190"/>
        <v>0</v>
      </c>
      <c r="T1165">
        <f t="shared" si="191"/>
        <v>1</v>
      </c>
      <c r="U1165">
        <f t="shared" si="192"/>
        <v>0</v>
      </c>
      <c r="V1165">
        <f t="shared" si="193"/>
        <v>0</v>
      </c>
      <c r="W1165">
        <f t="shared" si="194"/>
        <v>0</v>
      </c>
      <c r="Y1165" t="str">
        <f t="shared" si="195"/>
        <v/>
      </c>
    </row>
    <row r="1166" spans="8:25">
      <c r="H1166">
        <v>934</v>
      </c>
      <c r="I1166" s="18">
        <v>40</v>
      </c>
      <c r="J1166">
        <v>78</v>
      </c>
      <c r="K1166">
        <f t="shared" si="185"/>
        <v>390</v>
      </c>
      <c r="L1166" s="39">
        <f t="shared" si="186"/>
        <v>980.17690792001542</v>
      </c>
      <c r="M1166">
        <f t="shared" si="187"/>
        <v>315.31337508538434</v>
      </c>
      <c r="N1166">
        <f t="shared" si="188"/>
        <v>108172.01115595561</v>
      </c>
      <c r="O1166" s="39">
        <f t="shared" si="189"/>
        <v>123714.76855761294</v>
      </c>
      <c r="S1166">
        <f t="shared" si="190"/>
        <v>0</v>
      </c>
      <c r="T1166">
        <f t="shared" si="191"/>
        <v>1</v>
      </c>
      <c r="U1166">
        <f t="shared" si="192"/>
        <v>0</v>
      </c>
      <c r="V1166">
        <f t="shared" si="193"/>
        <v>0</v>
      </c>
      <c r="W1166">
        <f t="shared" si="194"/>
        <v>0</v>
      </c>
      <c r="Y1166" t="str">
        <f t="shared" si="195"/>
        <v/>
      </c>
    </row>
    <row r="1167" spans="8:25">
      <c r="H1167">
        <v>935</v>
      </c>
      <c r="I1167" s="18">
        <v>50</v>
      </c>
      <c r="J1167">
        <v>50</v>
      </c>
      <c r="K1167">
        <f t="shared" si="185"/>
        <v>250</v>
      </c>
      <c r="L1167" s="39">
        <f t="shared" si="186"/>
        <v>981.74770424681037</v>
      </c>
      <c r="M1167">
        <f t="shared" si="187"/>
        <v>385.31337508538434</v>
      </c>
      <c r="N1167">
        <f t="shared" si="188"/>
        <v>132398.18249198317</v>
      </c>
      <c r="O1167" s="39">
        <f t="shared" si="189"/>
        <v>147940.93989364052</v>
      </c>
      <c r="S1167">
        <f t="shared" si="190"/>
        <v>0</v>
      </c>
      <c r="T1167">
        <f t="shared" si="191"/>
        <v>1</v>
      </c>
      <c r="U1167">
        <f t="shared" si="192"/>
        <v>0</v>
      </c>
      <c r="V1167">
        <f t="shared" si="193"/>
        <v>0</v>
      </c>
      <c r="W1167">
        <f t="shared" si="194"/>
        <v>1</v>
      </c>
      <c r="Y1167" t="str">
        <f t="shared" si="195"/>
        <v/>
      </c>
    </row>
    <row r="1168" spans="8:25">
      <c r="H1168">
        <v>936</v>
      </c>
      <c r="I1168" s="18">
        <v>45</v>
      </c>
      <c r="J1168">
        <v>62</v>
      </c>
      <c r="K1168">
        <f t="shared" si="185"/>
        <v>310</v>
      </c>
      <c r="L1168" s="39">
        <f t="shared" si="186"/>
        <v>986.06739414549622</v>
      </c>
      <c r="M1168">
        <f t="shared" si="187"/>
        <v>355.31337508538434</v>
      </c>
      <c r="N1168">
        <f t="shared" si="188"/>
        <v>122627.02685642017</v>
      </c>
      <c r="O1168" s="39">
        <f t="shared" si="189"/>
        <v>138169.7842580775</v>
      </c>
      <c r="S1168">
        <f t="shared" si="190"/>
        <v>0</v>
      </c>
      <c r="T1168">
        <f t="shared" si="191"/>
        <v>1</v>
      </c>
      <c r="U1168">
        <f t="shared" si="192"/>
        <v>0</v>
      </c>
      <c r="V1168">
        <f t="shared" si="193"/>
        <v>0</v>
      </c>
      <c r="W1168">
        <f t="shared" si="194"/>
        <v>0</v>
      </c>
      <c r="Y1168" t="str">
        <f t="shared" si="195"/>
        <v/>
      </c>
    </row>
    <row r="1169" spans="8:25">
      <c r="H1169">
        <v>937</v>
      </c>
      <c r="I1169" s="18">
        <v>36</v>
      </c>
      <c r="J1169">
        <v>98</v>
      </c>
      <c r="K1169">
        <f t="shared" si="185"/>
        <v>490</v>
      </c>
      <c r="L1169" s="39">
        <f t="shared" si="186"/>
        <v>997.51849936783105</v>
      </c>
      <c r="M1169">
        <f t="shared" si="187"/>
        <v>265.31337508538434</v>
      </c>
      <c r="N1169">
        <f t="shared" si="188"/>
        <v>92629.249922085466</v>
      </c>
      <c r="O1169" s="39">
        <f t="shared" si="189"/>
        <v>108172.0073237428</v>
      </c>
      <c r="S1169">
        <f t="shared" si="190"/>
        <v>0</v>
      </c>
      <c r="T1169">
        <f t="shared" si="191"/>
        <v>1</v>
      </c>
      <c r="U1169">
        <f t="shared" si="192"/>
        <v>0</v>
      </c>
      <c r="V1169">
        <f t="shared" si="193"/>
        <v>0</v>
      </c>
      <c r="W1169">
        <f t="shared" si="194"/>
        <v>0</v>
      </c>
      <c r="Y1169" t="str">
        <f t="shared" si="195"/>
        <v/>
      </c>
    </row>
    <row r="1170" spans="8:25">
      <c r="H1170">
        <v>938</v>
      </c>
      <c r="I1170" s="18">
        <v>38</v>
      </c>
      <c r="J1170">
        <v>88</v>
      </c>
      <c r="K1170">
        <f t="shared" si="185"/>
        <v>440</v>
      </c>
      <c r="L1170" s="39">
        <f t="shared" si="186"/>
        <v>998.02115419240533</v>
      </c>
      <c r="M1170">
        <f t="shared" si="187"/>
        <v>290.31337508538434</v>
      </c>
      <c r="N1170">
        <f t="shared" si="188"/>
        <v>101408.61138807279</v>
      </c>
      <c r="O1170" s="39">
        <f t="shared" si="189"/>
        <v>116951.36878973013</v>
      </c>
      <c r="S1170">
        <f t="shared" si="190"/>
        <v>0</v>
      </c>
      <c r="T1170">
        <f t="shared" si="191"/>
        <v>1</v>
      </c>
      <c r="U1170">
        <f t="shared" si="192"/>
        <v>0</v>
      </c>
      <c r="V1170">
        <f t="shared" si="193"/>
        <v>0</v>
      </c>
      <c r="W1170">
        <f t="shared" si="194"/>
        <v>0</v>
      </c>
      <c r="Y1170" t="str">
        <f t="shared" si="195"/>
        <v/>
      </c>
    </row>
    <row r="1171" spans="8:25">
      <c r="H1171">
        <v>939</v>
      </c>
      <c r="I1171" s="18">
        <v>40</v>
      </c>
      <c r="J1171">
        <v>80</v>
      </c>
      <c r="K1171">
        <f t="shared" si="185"/>
        <v>400</v>
      </c>
      <c r="L1171" s="39">
        <f t="shared" si="186"/>
        <v>1005.3096491487338</v>
      </c>
      <c r="M1171">
        <f t="shared" si="187"/>
        <v>310.31337508538434</v>
      </c>
      <c r="N1171">
        <f t="shared" si="188"/>
        <v>109186.3605816365</v>
      </c>
      <c r="O1171" s="39">
        <f t="shared" si="189"/>
        <v>124729.11798329384</v>
      </c>
      <c r="S1171">
        <f t="shared" si="190"/>
        <v>0</v>
      </c>
      <c r="T1171">
        <f t="shared" si="191"/>
        <v>1</v>
      </c>
      <c r="U1171">
        <f t="shared" si="192"/>
        <v>0</v>
      </c>
      <c r="V1171">
        <f t="shared" si="193"/>
        <v>0</v>
      </c>
      <c r="W1171">
        <f t="shared" si="194"/>
        <v>0</v>
      </c>
      <c r="Y1171" t="str">
        <f t="shared" si="195"/>
        <v/>
      </c>
    </row>
    <row r="1172" spans="8:25">
      <c r="H1172">
        <v>940</v>
      </c>
      <c r="I1172" s="18">
        <v>45</v>
      </c>
      <c r="J1172">
        <v>64</v>
      </c>
      <c r="K1172">
        <f t="shared" si="185"/>
        <v>320</v>
      </c>
      <c r="L1172" s="39">
        <f t="shared" si="186"/>
        <v>1017.8760197630929</v>
      </c>
      <c r="M1172">
        <f t="shared" si="187"/>
        <v>350.31337508538434</v>
      </c>
      <c r="N1172">
        <f t="shared" si="188"/>
        <v>124801.45436559027</v>
      </c>
      <c r="O1172" s="39">
        <f t="shared" si="189"/>
        <v>140344.21176724759</v>
      </c>
      <c r="S1172">
        <f t="shared" si="190"/>
        <v>0</v>
      </c>
      <c r="T1172">
        <f t="shared" si="191"/>
        <v>1</v>
      </c>
      <c r="U1172">
        <f t="shared" si="192"/>
        <v>0</v>
      </c>
      <c r="V1172">
        <f t="shared" si="193"/>
        <v>0</v>
      </c>
      <c r="W1172">
        <f t="shared" si="194"/>
        <v>0</v>
      </c>
      <c r="Y1172" t="str">
        <f t="shared" si="195"/>
        <v/>
      </c>
    </row>
    <row r="1173" spans="8:25">
      <c r="H1173">
        <v>941</v>
      </c>
      <c r="I1173" s="18">
        <v>36</v>
      </c>
      <c r="J1173">
        <v>100</v>
      </c>
      <c r="K1173">
        <f t="shared" si="185"/>
        <v>500</v>
      </c>
      <c r="L1173" s="39">
        <f t="shared" si="186"/>
        <v>1017.876019763093</v>
      </c>
      <c r="M1173">
        <f t="shared" si="187"/>
        <v>260.31337508538434</v>
      </c>
      <c r="N1173">
        <f t="shared" si="188"/>
        <v>92738.359743052846</v>
      </c>
      <c r="O1173" s="39">
        <f t="shared" si="189"/>
        <v>108281.11714471018</v>
      </c>
      <c r="S1173">
        <f t="shared" si="190"/>
        <v>0</v>
      </c>
      <c r="T1173">
        <f t="shared" si="191"/>
        <v>1</v>
      </c>
      <c r="U1173">
        <f t="shared" si="192"/>
        <v>0</v>
      </c>
      <c r="V1173">
        <f t="shared" si="193"/>
        <v>0</v>
      </c>
      <c r="W1173">
        <f t="shared" si="194"/>
        <v>0</v>
      </c>
      <c r="Y1173" t="str">
        <f t="shared" si="195"/>
        <v/>
      </c>
    </row>
    <row r="1174" spans="8:25">
      <c r="H1174">
        <v>942</v>
      </c>
      <c r="I1174" s="18">
        <v>38</v>
      </c>
      <c r="J1174">
        <v>90</v>
      </c>
      <c r="K1174">
        <f t="shared" si="185"/>
        <v>450</v>
      </c>
      <c r="L1174" s="39">
        <f t="shared" si="186"/>
        <v>1020.7034531513237</v>
      </c>
      <c r="M1174">
        <f t="shared" si="187"/>
        <v>285.31337508538434</v>
      </c>
      <c r="N1174">
        <f t="shared" si="188"/>
        <v>101927.12151296873</v>
      </c>
      <c r="O1174" s="39">
        <f t="shared" si="189"/>
        <v>117469.87891462607</v>
      </c>
      <c r="S1174">
        <f t="shared" si="190"/>
        <v>0</v>
      </c>
      <c r="T1174">
        <f t="shared" si="191"/>
        <v>1</v>
      </c>
      <c r="U1174">
        <f t="shared" si="192"/>
        <v>0</v>
      </c>
      <c r="V1174">
        <f t="shared" si="193"/>
        <v>0</v>
      </c>
      <c r="W1174">
        <f t="shared" si="194"/>
        <v>0</v>
      </c>
      <c r="Y1174" t="str">
        <f t="shared" si="195"/>
        <v/>
      </c>
    </row>
    <row r="1175" spans="8:25">
      <c r="H1175">
        <v>943</v>
      </c>
      <c r="I1175" s="18">
        <v>50</v>
      </c>
      <c r="J1175">
        <v>52</v>
      </c>
      <c r="K1175">
        <f t="shared" si="185"/>
        <v>260</v>
      </c>
      <c r="L1175" s="39">
        <f t="shared" si="186"/>
        <v>1021.0176124166828</v>
      </c>
      <c r="M1175">
        <f t="shared" si="187"/>
        <v>380.31337508538434</v>
      </c>
      <c r="N1175">
        <f t="shared" si="188"/>
        <v>135907.32896993333</v>
      </c>
      <c r="O1175" s="39">
        <f t="shared" si="189"/>
        <v>151450.08637159067</v>
      </c>
      <c r="S1175">
        <f t="shared" si="190"/>
        <v>0</v>
      </c>
      <c r="T1175">
        <f t="shared" si="191"/>
        <v>1</v>
      </c>
      <c r="U1175">
        <f t="shared" si="192"/>
        <v>0</v>
      </c>
      <c r="V1175">
        <f t="shared" si="193"/>
        <v>0</v>
      </c>
      <c r="W1175">
        <f t="shared" si="194"/>
        <v>1</v>
      </c>
      <c r="Y1175" t="str">
        <f t="shared" si="195"/>
        <v/>
      </c>
    </row>
    <row r="1176" spans="8:25">
      <c r="H1176">
        <v>944</v>
      </c>
      <c r="I1176" s="18">
        <v>40</v>
      </c>
      <c r="J1176">
        <v>82</v>
      </c>
      <c r="K1176">
        <f t="shared" si="185"/>
        <v>410</v>
      </c>
      <c r="L1176" s="39">
        <f t="shared" si="186"/>
        <v>1030.4423903774521</v>
      </c>
      <c r="M1176">
        <f t="shared" si="187"/>
        <v>305.31337508538434</v>
      </c>
      <c r="N1176">
        <f t="shared" si="188"/>
        <v>110112.74541301686</v>
      </c>
      <c r="O1176" s="39">
        <f t="shared" si="189"/>
        <v>125655.5028146742</v>
      </c>
      <c r="S1176">
        <f t="shared" si="190"/>
        <v>0</v>
      </c>
      <c r="T1176">
        <f t="shared" si="191"/>
        <v>1</v>
      </c>
      <c r="U1176">
        <f t="shared" si="192"/>
        <v>0</v>
      </c>
      <c r="V1176">
        <f t="shared" si="193"/>
        <v>0</v>
      </c>
      <c r="W1176">
        <f t="shared" si="194"/>
        <v>0</v>
      </c>
      <c r="Y1176" t="str">
        <f t="shared" si="195"/>
        <v/>
      </c>
    </row>
    <row r="1177" spans="8:25">
      <c r="H1177">
        <v>945</v>
      </c>
      <c r="I1177" s="18">
        <v>38</v>
      </c>
      <c r="J1177">
        <v>92</v>
      </c>
      <c r="K1177">
        <f t="shared" si="185"/>
        <v>460</v>
      </c>
      <c r="L1177" s="39">
        <f t="shared" si="186"/>
        <v>1043.385752110242</v>
      </c>
      <c r="M1177">
        <f t="shared" si="187"/>
        <v>280.31337508538434</v>
      </c>
      <c r="N1177">
        <f t="shared" si="188"/>
        <v>102366.24359150845</v>
      </c>
      <c r="O1177" s="39">
        <f t="shared" si="189"/>
        <v>117909.00099316578</v>
      </c>
      <c r="S1177">
        <f t="shared" si="190"/>
        <v>0</v>
      </c>
      <c r="T1177">
        <f t="shared" si="191"/>
        <v>1</v>
      </c>
      <c r="U1177">
        <f t="shared" si="192"/>
        <v>0</v>
      </c>
      <c r="V1177">
        <f t="shared" si="193"/>
        <v>0</v>
      </c>
      <c r="W1177">
        <f t="shared" si="194"/>
        <v>0</v>
      </c>
      <c r="Y1177" t="str">
        <f t="shared" si="195"/>
        <v/>
      </c>
    </row>
    <row r="1178" spans="8:25">
      <c r="H1178">
        <v>946</v>
      </c>
      <c r="I1178" s="18">
        <v>45</v>
      </c>
      <c r="J1178">
        <v>66</v>
      </c>
      <c r="K1178">
        <f t="shared" si="185"/>
        <v>330</v>
      </c>
      <c r="L1178" s="39">
        <f t="shared" si="186"/>
        <v>1049.6846453806897</v>
      </c>
      <c r="M1178">
        <f t="shared" si="187"/>
        <v>345.31337508538434</v>
      </c>
      <c r="N1178">
        <f t="shared" si="188"/>
        <v>126864.55168509878</v>
      </c>
      <c r="O1178" s="39">
        <f t="shared" si="189"/>
        <v>142407.30908675611</v>
      </c>
      <c r="S1178">
        <f t="shared" si="190"/>
        <v>0</v>
      </c>
      <c r="T1178">
        <f t="shared" si="191"/>
        <v>1</v>
      </c>
      <c r="U1178">
        <f t="shared" si="192"/>
        <v>0</v>
      </c>
      <c r="V1178">
        <f t="shared" si="193"/>
        <v>0</v>
      </c>
      <c r="W1178">
        <f t="shared" si="194"/>
        <v>0</v>
      </c>
      <c r="Y1178" t="str">
        <f t="shared" si="195"/>
        <v/>
      </c>
    </row>
    <row r="1179" spans="8:25">
      <c r="H1179">
        <v>947</v>
      </c>
      <c r="I1179" s="18">
        <v>40</v>
      </c>
      <c r="J1179">
        <v>84</v>
      </c>
      <c r="K1179">
        <f t="shared" si="185"/>
        <v>420</v>
      </c>
      <c r="L1179" s="39">
        <f t="shared" si="186"/>
        <v>1055.5751316061705</v>
      </c>
      <c r="M1179">
        <f t="shared" si="187"/>
        <v>300.31337508538434</v>
      </c>
      <c r="N1179">
        <f t="shared" si="188"/>
        <v>110951.16565009675</v>
      </c>
      <c r="O1179" s="39">
        <f t="shared" si="189"/>
        <v>126493.92305175409</v>
      </c>
      <c r="S1179">
        <f t="shared" si="190"/>
        <v>0</v>
      </c>
      <c r="T1179">
        <f t="shared" si="191"/>
        <v>1</v>
      </c>
      <c r="U1179">
        <f t="shared" si="192"/>
        <v>0</v>
      </c>
      <c r="V1179">
        <f t="shared" si="193"/>
        <v>0</v>
      </c>
      <c r="W1179">
        <f t="shared" si="194"/>
        <v>0</v>
      </c>
      <c r="Y1179" t="str">
        <f t="shared" si="195"/>
        <v/>
      </c>
    </row>
    <row r="1180" spans="8:25">
      <c r="H1180">
        <v>948</v>
      </c>
      <c r="I1180" s="18">
        <v>50</v>
      </c>
      <c r="J1180">
        <v>54</v>
      </c>
      <c r="K1180">
        <f t="shared" si="185"/>
        <v>270</v>
      </c>
      <c r="L1180" s="39">
        <f t="shared" si="186"/>
        <v>1060.287520586555</v>
      </c>
      <c r="M1180">
        <f t="shared" si="187"/>
        <v>375.31337508538434</v>
      </c>
      <c r="N1180">
        <f t="shared" si="188"/>
        <v>139279.03076928886</v>
      </c>
      <c r="O1180" s="39">
        <f t="shared" si="189"/>
        <v>154821.78817094618</v>
      </c>
      <c r="S1180">
        <f t="shared" si="190"/>
        <v>0</v>
      </c>
      <c r="T1180">
        <f t="shared" si="191"/>
        <v>1</v>
      </c>
      <c r="U1180">
        <f t="shared" si="192"/>
        <v>0</v>
      </c>
      <c r="V1180">
        <f t="shared" si="193"/>
        <v>0</v>
      </c>
      <c r="W1180">
        <f t="shared" si="194"/>
        <v>1</v>
      </c>
      <c r="Y1180" t="str">
        <f t="shared" si="195"/>
        <v/>
      </c>
    </row>
    <row r="1181" spans="8:25">
      <c r="H1181">
        <v>949</v>
      </c>
      <c r="I1181" s="18">
        <v>38</v>
      </c>
      <c r="J1181">
        <v>94</v>
      </c>
      <c r="K1181">
        <f t="shared" si="185"/>
        <v>470</v>
      </c>
      <c r="L1181" s="39">
        <f t="shared" si="186"/>
        <v>1066.0680510691604</v>
      </c>
      <c r="M1181">
        <f t="shared" si="187"/>
        <v>275.31337508538434</v>
      </c>
      <c r="N1181">
        <f t="shared" si="188"/>
        <v>102725.97762369196</v>
      </c>
      <c r="O1181" s="39">
        <f t="shared" si="189"/>
        <v>118268.73502534929</v>
      </c>
      <c r="S1181">
        <f t="shared" si="190"/>
        <v>0</v>
      </c>
      <c r="T1181">
        <f t="shared" si="191"/>
        <v>1</v>
      </c>
      <c r="U1181">
        <f t="shared" si="192"/>
        <v>0</v>
      </c>
      <c r="V1181">
        <f t="shared" si="193"/>
        <v>0</v>
      </c>
      <c r="W1181">
        <f t="shared" si="194"/>
        <v>0</v>
      </c>
      <c r="Y1181" t="str">
        <f t="shared" si="195"/>
        <v/>
      </c>
    </row>
    <row r="1182" spans="8:25">
      <c r="H1182">
        <v>950</v>
      </c>
      <c r="I1182" s="18">
        <v>40</v>
      </c>
      <c r="J1182">
        <v>86</v>
      </c>
      <c r="K1182">
        <f t="shared" si="185"/>
        <v>430</v>
      </c>
      <c r="L1182" s="39">
        <f t="shared" si="186"/>
        <v>1080.7078728348888</v>
      </c>
      <c r="M1182">
        <f t="shared" si="187"/>
        <v>295.31337508538434</v>
      </c>
      <c r="N1182">
        <f t="shared" si="188"/>
        <v>111701.62129287608</v>
      </c>
      <c r="O1182" s="39">
        <f t="shared" si="189"/>
        <v>127244.37869453341</v>
      </c>
      <c r="S1182">
        <f t="shared" si="190"/>
        <v>0</v>
      </c>
      <c r="T1182">
        <f t="shared" si="191"/>
        <v>1</v>
      </c>
      <c r="U1182">
        <f t="shared" si="192"/>
        <v>0</v>
      </c>
      <c r="V1182">
        <f t="shared" si="193"/>
        <v>0</v>
      </c>
      <c r="W1182">
        <f t="shared" si="194"/>
        <v>0</v>
      </c>
      <c r="Y1182" t="str">
        <f t="shared" si="195"/>
        <v/>
      </c>
    </row>
    <row r="1183" spans="8:25">
      <c r="H1183">
        <v>951</v>
      </c>
      <c r="I1183" s="18">
        <v>45</v>
      </c>
      <c r="J1183">
        <v>68</v>
      </c>
      <c r="K1183">
        <f t="shared" si="185"/>
        <v>340</v>
      </c>
      <c r="L1183" s="39">
        <f t="shared" si="186"/>
        <v>1081.4932709982863</v>
      </c>
      <c r="M1183">
        <f t="shared" si="187"/>
        <v>340.31337508538434</v>
      </c>
      <c r="N1183">
        <f t="shared" si="188"/>
        <v>128816.31881494565</v>
      </c>
      <c r="O1183" s="39">
        <f t="shared" si="189"/>
        <v>144359.07621660299</v>
      </c>
      <c r="S1183">
        <f t="shared" si="190"/>
        <v>0</v>
      </c>
      <c r="T1183">
        <f t="shared" si="191"/>
        <v>1</v>
      </c>
      <c r="U1183">
        <f t="shared" si="192"/>
        <v>0</v>
      </c>
      <c r="V1183">
        <f t="shared" si="193"/>
        <v>0</v>
      </c>
      <c r="W1183">
        <f t="shared" si="194"/>
        <v>0</v>
      </c>
      <c r="Y1183" t="str">
        <f t="shared" si="195"/>
        <v/>
      </c>
    </row>
    <row r="1184" spans="8:25">
      <c r="H1184">
        <v>952</v>
      </c>
      <c r="I1184" s="18">
        <v>38</v>
      </c>
      <c r="J1184">
        <v>96</v>
      </c>
      <c r="K1184">
        <f t="shared" si="185"/>
        <v>480</v>
      </c>
      <c r="L1184" s="39">
        <f t="shared" si="186"/>
        <v>1088.7503500280786</v>
      </c>
      <c r="M1184">
        <f t="shared" si="187"/>
        <v>270.31337508538434</v>
      </c>
      <c r="N1184">
        <f t="shared" si="188"/>
        <v>103006.32360951923</v>
      </c>
      <c r="O1184" s="39">
        <f t="shared" si="189"/>
        <v>118549.08101117656</v>
      </c>
      <c r="S1184">
        <f t="shared" si="190"/>
        <v>0</v>
      </c>
      <c r="T1184">
        <f t="shared" si="191"/>
        <v>1</v>
      </c>
      <c r="U1184">
        <f t="shared" si="192"/>
        <v>0</v>
      </c>
      <c r="V1184">
        <f t="shared" si="193"/>
        <v>0</v>
      </c>
      <c r="W1184">
        <f t="shared" si="194"/>
        <v>0</v>
      </c>
      <c r="Y1184" t="str">
        <f t="shared" si="195"/>
        <v/>
      </c>
    </row>
    <row r="1185" spans="8:25">
      <c r="H1185">
        <v>953</v>
      </c>
      <c r="I1185" s="18">
        <v>50</v>
      </c>
      <c r="J1185">
        <v>56</v>
      </c>
      <c r="K1185">
        <f t="shared" si="185"/>
        <v>280</v>
      </c>
      <c r="L1185" s="39">
        <f t="shared" si="186"/>
        <v>1099.5574287564275</v>
      </c>
      <c r="M1185">
        <f t="shared" si="187"/>
        <v>370.31337508538434</v>
      </c>
      <c r="N1185">
        <f t="shared" si="188"/>
        <v>142513.28789004989</v>
      </c>
      <c r="O1185" s="39">
        <f t="shared" si="189"/>
        <v>158056.04529170721</v>
      </c>
      <c r="S1185">
        <f t="shared" si="190"/>
        <v>0</v>
      </c>
      <c r="T1185">
        <f t="shared" si="191"/>
        <v>1</v>
      </c>
      <c r="U1185">
        <f t="shared" si="192"/>
        <v>0</v>
      </c>
      <c r="V1185">
        <f t="shared" si="193"/>
        <v>0</v>
      </c>
      <c r="W1185">
        <f t="shared" si="194"/>
        <v>1</v>
      </c>
      <c r="Y1185" t="str">
        <f t="shared" si="195"/>
        <v/>
      </c>
    </row>
    <row r="1186" spans="8:25">
      <c r="H1186">
        <v>954</v>
      </c>
      <c r="I1186" s="18">
        <v>40</v>
      </c>
      <c r="J1186">
        <v>88</v>
      </c>
      <c r="K1186">
        <f t="shared" si="185"/>
        <v>440</v>
      </c>
      <c r="L1186" s="39">
        <f t="shared" si="186"/>
        <v>1105.8406140636071</v>
      </c>
      <c r="M1186">
        <f t="shared" si="187"/>
        <v>290.31337508538434</v>
      </c>
      <c r="N1186">
        <f t="shared" si="188"/>
        <v>112364.11234135489</v>
      </c>
      <c r="O1186" s="39">
        <f t="shared" si="189"/>
        <v>127906.86974301223</v>
      </c>
      <c r="S1186">
        <f t="shared" si="190"/>
        <v>0</v>
      </c>
      <c r="T1186">
        <f t="shared" si="191"/>
        <v>1</v>
      </c>
      <c r="U1186">
        <f t="shared" si="192"/>
        <v>0</v>
      </c>
      <c r="V1186">
        <f t="shared" si="193"/>
        <v>0</v>
      </c>
      <c r="W1186">
        <f t="shared" si="194"/>
        <v>0</v>
      </c>
      <c r="Y1186" t="str">
        <f t="shared" si="195"/>
        <v/>
      </c>
    </row>
    <row r="1187" spans="8:25">
      <c r="H1187">
        <v>955</v>
      </c>
      <c r="I1187" s="18">
        <v>38</v>
      </c>
      <c r="J1187">
        <v>98</v>
      </c>
      <c r="K1187">
        <f t="shared" si="185"/>
        <v>490</v>
      </c>
      <c r="L1187" s="39">
        <f t="shared" si="186"/>
        <v>1111.4326489869968</v>
      </c>
      <c r="M1187">
        <f t="shared" si="187"/>
        <v>265.31337508538434</v>
      </c>
      <c r="N1187">
        <f t="shared" si="188"/>
        <v>103207.28154899029</v>
      </c>
      <c r="O1187" s="39">
        <f t="shared" si="189"/>
        <v>118750.03895064762</v>
      </c>
      <c r="S1187">
        <f t="shared" si="190"/>
        <v>0</v>
      </c>
      <c r="T1187">
        <f t="shared" si="191"/>
        <v>1</v>
      </c>
      <c r="U1187">
        <f t="shared" si="192"/>
        <v>0</v>
      </c>
      <c r="V1187">
        <f t="shared" si="193"/>
        <v>0</v>
      </c>
      <c r="W1187">
        <f t="shared" si="194"/>
        <v>0</v>
      </c>
      <c r="Y1187" t="str">
        <f t="shared" si="195"/>
        <v/>
      </c>
    </row>
    <row r="1188" spans="8:25">
      <c r="H1188">
        <v>956</v>
      </c>
      <c r="I1188" s="18">
        <v>45</v>
      </c>
      <c r="J1188">
        <v>70</v>
      </c>
      <c r="K1188">
        <f t="shared" si="185"/>
        <v>350</v>
      </c>
      <c r="L1188" s="39">
        <f t="shared" si="186"/>
        <v>1113.3018966158829</v>
      </c>
      <c r="M1188">
        <f t="shared" si="187"/>
        <v>335.31337508538434</v>
      </c>
      <c r="N1188">
        <f t="shared" si="188"/>
        <v>130656.75575513096</v>
      </c>
      <c r="O1188" s="39">
        <f t="shared" si="189"/>
        <v>146199.51315678831</v>
      </c>
      <c r="S1188">
        <f t="shared" si="190"/>
        <v>0</v>
      </c>
      <c r="T1188">
        <f t="shared" si="191"/>
        <v>1</v>
      </c>
      <c r="U1188">
        <f t="shared" si="192"/>
        <v>0</v>
      </c>
      <c r="V1188">
        <f t="shared" si="193"/>
        <v>0</v>
      </c>
      <c r="W1188">
        <f t="shared" si="194"/>
        <v>0</v>
      </c>
      <c r="Y1188" t="str">
        <f t="shared" si="195"/>
        <v/>
      </c>
    </row>
    <row r="1189" spans="8:25">
      <c r="H1189">
        <v>957</v>
      </c>
      <c r="I1189" s="18">
        <v>40</v>
      </c>
      <c r="J1189">
        <v>90</v>
      </c>
      <c r="K1189">
        <f t="shared" si="185"/>
        <v>450</v>
      </c>
      <c r="L1189" s="39">
        <f t="shared" si="186"/>
        <v>1130.9733552923256</v>
      </c>
      <c r="M1189">
        <f t="shared" si="187"/>
        <v>285.31337508538434</v>
      </c>
      <c r="N1189">
        <f t="shared" si="188"/>
        <v>112938.63879553322</v>
      </c>
      <c r="O1189" s="39">
        <f t="shared" si="189"/>
        <v>128481.39619719055</v>
      </c>
      <c r="S1189">
        <f t="shared" si="190"/>
        <v>0</v>
      </c>
      <c r="T1189">
        <f t="shared" si="191"/>
        <v>1</v>
      </c>
      <c r="U1189">
        <f t="shared" si="192"/>
        <v>0</v>
      </c>
      <c r="V1189">
        <f t="shared" si="193"/>
        <v>0</v>
      </c>
      <c r="W1189">
        <f t="shared" si="194"/>
        <v>0</v>
      </c>
      <c r="Y1189" t="str">
        <f t="shared" si="195"/>
        <v/>
      </c>
    </row>
    <row r="1190" spans="8:25">
      <c r="H1190">
        <v>958</v>
      </c>
      <c r="I1190" s="18">
        <v>38</v>
      </c>
      <c r="J1190">
        <v>100</v>
      </c>
      <c r="K1190">
        <f t="shared" si="185"/>
        <v>500</v>
      </c>
      <c r="L1190" s="39">
        <f t="shared" si="186"/>
        <v>1134.1149479459152</v>
      </c>
      <c r="M1190">
        <f t="shared" si="187"/>
        <v>260.31337508538434</v>
      </c>
      <c r="N1190">
        <f t="shared" si="188"/>
        <v>103328.85144210517</v>
      </c>
      <c r="O1190" s="39">
        <f t="shared" si="189"/>
        <v>118871.6088437625</v>
      </c>
      <c r="S1190">
        <f t="shared" si="190"/>
        <v>0</v>
      </c>
      <c r="T1190">
        <f t="shared" si="191"/>
        <v>1</v>
      </c>
      <c r="U1190">
        <f t="shared" si="192"/>
        <v>0</v>
      </c>
      <c r="V1190">
        <f t="shared" si="193"/>
        <v>0</v>
      </c>
      <c r="W1190">
        <f t="shared" si="194"/>
        <v>0</v>
      </c>
      <c r="Y1190" t="str">
        <f t="shared" si="195"/>
        <v/>
      </c>
    </row>
    <row r="1191" spans="8:25">
      <c r="H1191">
        <v>959</v>
      </c>
      <c r="I1191" s="18">
        <v>50</v>
      </c>
      <c r="J1191">
        <v>58</v>
      </c>
      <c r="K1191">
        <f t="shared" si="185"/>
        <v>290</v>
      </c>
      <c r="L1191" s="39">
        <f t="shared" si="186"/>
        <v>1138.8273369262999</v>
      </c>
      <c r="M1191">
        <f t="shared" si="187"/>
        <v>365.31337508538434</v>
      </c>
      <c r="N1191">
        <f t="shared" si="188"/>
        <v>145610.10033221639</v>
      </c>
      <c r="O1191" s="39">
        <f t="shared" si="189"/>
        <v>161152.85773387371</v>
      </c>
      <c r="S1191">
        <f t="shared" si="190"/>
        <v>0</v>
      </c>
      <c r="T1191">
        <f t="shared" si="191"/>
        <v>1</v>
      </c>
      <c r="U1191">
        <f t="shared" si="192"/>
        <v>0</v>
      </c>
      <c r="V1191">
        <f t="shared" si="193"/>
        <v>0</v>
      </c>
      <c r="W1191">
        <f t="shared" si="194"/>
        <v>1</v>
      </c>
      <c r="Y1191" t="str">
        <f t="shared" si="195"/>
        <v/>
      </c>
    </row>
    <row r="1192" spans="8:25">
      <c r="H1192">
        <v>960</v>
      </c>
      <c r="I1192" s="18">
        <v>45</v>
      </c>
      <c r="J1192">
        <v>72</v>
      </c>
      <c r="K1192">
        <f t="shared" si="185"/>
        <v>360</v>
      </c>
      <c r="L1192" s="39">
        <f t="shared" si="186"/>
        <v>1145.1105222334795</v>
      </c>
      <c r="M1192">
        <f t="shared" si="187"/>
        <v>330.31337508538434</v>
      </c>
      <c r="N1192">
        <f t="shared" si="188"/>
        <v>132385.86250565469</v>
      </c>
      <c r="O1192" s="39">
        <f t="shared" si="189"/>
        <v>147928.61990731204</v>
      </c>
      <c r="S1192">
        <f t="shared" si="190"/>
        <v>0</v>
      </c>
      <c r="T1192">
        <f t="shared" si="191"/>
        <v>1</v>
      </c>
      <c r="U1192">
        <f t="shared" si="192"/>
        <v>0</v>
      </c>
      <c r="V1192">
        <f t="shared" si="193"/>
        <v>0</v>
      </c>
      <c r="W1192">
        <f t="shared" si="194"/>
        <v>0</v>
      </c>
      <c r="Y1192" t="str">
        <f t="shared" si="195"/>
        <v/>
      </c>
    </row>
    <row r="1193" spans="8:25">
      <c r="H1193">
        <v>961</v>
      </c>
      <c r="I1193" s="18">
        <v>40</v>
      </c>
      <c r="J1193">
        <v>92</v>
      </c>
      <c r="K1193">
        <f t="shared" ref="K1193:K1232" si="196">$F$230+$F$231*(J1193-2)/2</f>
        <v>460</v>
      </c>
      <c r="L1193" s="39">
        <f t="shared" ref="L1193:L1232" si="197">J1193*0.25*PI()*(I1193/10)^2</f>
        <v>1156.1060965210438</v>
      </c>
      <c r="M1193">
        <f t="shared" ref="M1193:M1232" si="198">$F$233-(K1193+$F$232)/2</f>
        <v>280.31337508538434</v>
      </c>
      <c r="N1193">
        <f t="shared" ref="N1193:N1232" si="199">L1193*$F$235*M1193*0.001</f>
        <v>113425.20065541103</v>
      </c>
      <c r="O1193" s="39">
        <f t="shared" ref="O1193:O1232" si="200">N1193+$F$237</f>
        <v>128967.95805706836</v>
      </c>
      <c r="S1193">
        <f t="shared" ref="S1193:S1232" si="201">IF(L1193&lt;$F$236,1,0)</f>
        <v>0</v>
      </c>
      <c r="T1193">
        <f t="shared" ref="T1193:T1232" si="202">IF(O1193&gt;$F$234,1,0)</f>
        <v>1</v>
      </c>
      <c r="U1193">
        <f t="shared" ref="U1193:U1232" si="203">IF(I1193&lt;=$F$238,1,0)</f>
        <v>0</v>
      </c>
      <c r="V1193">
        <f t="shared" ref="V1193:V1232" si="204">IF(J1193&lt;=$F$239,1,0)</f>
        <v>0</v>
      </c>
      <c r="W1193">
        <f t="shared" ref="W1193:W1232" si="205">IF(K1193&lt;=$F$240,1,0)</f>
        <v>0</v>
      </c>
      <c r="Y1193" t="str">
        <f t="shared" ref="Y1193:Y1232" si="206">IF(SUM(S1193:W1193)=5,H1193,"")</f>
        <v/>
      </c>
    </row>
    <row r="1194" spans="8:25">
      <c r="H1194">
        <v>962</v>
      </c>
      <c r="I1194" s="18">
        <v>45</v>
      </c>
      <c r="J1194">
        <v>74</v>
      </c>
      <c r="K1194">
        <f t="shared" si="196"/>
        <v>370</v>
      </c>
      <c r="L1194" s="39">
        <f t="shared" si="197"/>
        <v>1176.9191478510763</v>
      </c>
      <c r="M1194">
        <f t="shared" si="198"/>
        <v>325.31337508538434</v>
      </c>
      <c r="N1194">
        <f t="shared" si="199"/>
        <v>134003.63906651683</v>
      </c>
      <c r="O1194" s="39">
        <f t="shared" si="200"/>
        <v>149546.39646817418</v>
      </c>
      <c r="S1194">
        <f t="shared" si="201"/>
        <v>0</v>
      </c>
      <c r="T1194">
        <f t="shared" si="202"/>
        <v>1</v>
      </c>
      <c r="U1194">
        <f t="shared" si="203"/>
        <v>0</v>
      </c>
      <c r="V1194">
        <f t="shared" si="204"/>
        <v>0</v>
      </c>
      <c r="W1194">
        <f t="shared" si="205"/>
        <v>0</v>
      </c>
      <c r="Y1194" t="str">
        <f t="shared" si="206"/>
        <v/>
      </c>
    </row>
    <row r="1195" spans="8:25">
      <c r="H1195">
        <v>963</v>
      </c>
      <c r="I1195" s="18">
        <v>50</v>
      </c>
      <c r="J1195">
        <v>60</v>
      </c>
      <c r="K1195">
        <f t="shared" si="196"/>
        <v>300</v>
      </c>
      <c r="L1195" s="39">
        <f t="shared" si="197"/>
        <v>1178.0972450961724</v>
      </c>
      <c r="M1195">
        <f t="shared" si="198"/>
        <v>360.31337508538434</v>
      </c>
      <c r="N1195">
        <f t="shared" si="199"/>
        <v>148569.4680957883</v>
      </c>
      <c r="O1195" s="39">
        <f t="shared" si="200"/>
        <v>164112.22549744562</v>
      </c>
      <c r="S1195">
        <f t="shared" si="201"/>
        <v>0</v>
      </c>
      <c r="T1195">
        <f t="shared" si="202"/>
        <v>1</v>
      </c>
      <c r="U1195">
        <f t="shared" si="203"/>
        <v>0</v>
      </c>
      <c r="V1195">
        <f t="shared" si="204"/>
        <v>0</v>
      </c>
      <c r="W1195">
        <f t="shared" si="205"/>
        <v>1</v>
      </c>
      <c r="Y1195" t="str">
        <f t="shared" si="206"/>
        <v/>
      </c>
    </row>
    <row r="1196" spans="8:25">
      <c r="H1196">
        <v>964</v>
      </c>
      <c r="I1196" s="18">
        <v>40</v>
      </c>
      <c r="J1196">
        <v>94</v>
      </c>
      <c r="K1196">
        <f t="shared" si="196"/>
        <v>470</v>
      </c>
      <c r="L1196" s="39">
        <f t="shared" si="197"/>
        <v>1181.2388377497623</v>
      </c>
      <c r="M1196">
        <f t="shared" si="198"/>
        <v>275.31337508538434</v>
      </c>
      <c r="N1196">
        <f t="shared" si="199"/>
        <v>113823.79792098832</v>
      </c>
      <c r="O1196" s="39">
        <f t="shared" si="200"/>
        <v>129366.55532264565</v>
      </c>
      <c r="S1196">
        <f t="shared" si="201"/>
        <v>0</v>
      </c>
      <c r="T1196">
        <f t="shared" si="202"/>
        <v>1</v>
      </c>
      <c r="U1196">
        <f t="shared" si="203"/>
        <v>0</v>
      </c>
      <c r="V1196">
        <f t="shared" si="204"/>
        <v>0</v>
      </c>
      <c r="W1196">
        <f t="shared" si="205"/>
        <v>0</v>
      </c>
      <c r="Y1196" t="str">
        <f t="shared" si="206"/>
        <v/>
      </c>
    </row>
    <row r="1197" spans="8:25">
      <c r="H1197">
        <v>965</v>
      </c>
      <c r="I1197" s="18">
        <v>40</v>
      </c>
      <c r="J1197">
        <v>96</v>
      </c>
      <c r="K1197">
        <f t="shared" si="196"/>
        <v>480</v>
      </c>
      <c r="L1197" s="39">
        <f t="shared" si="197"/>
        <v>1206.3715789784806</v>
      </c>
      <c r="M1197">
        <f t="shared" si="198"/>
        <v>270.31337508538434</v>
      </c>
      <c r="N1197">
        <f t="shared" si="199"/>
        <v>114134.43059226508</v>
      </c>
      <c r="O1197" s="39">
        <f t="shared" si="200"/>
        <v>129677.18799392242</v>
      </c>
      <c r="S1197">
        <f t="shared" si="201"/>
        <v>0</v>
      </c>
      <c r="T1197">
        <f t="shared" si="202"/>
        <v>1</v>
      </c>
      <c r="U1197">
        <f t="shared" si="203"/>
        <v>0</v>
      </c>
      <c r="V1197">
        <f t="shared" si="204"/>
        <v>0</v>
      </c>
      <c r="W1197">
        <f t="shared" si="205"/>
        <v>0</v>
      </c>
      <c r="Y1197" t="str">
        <f t="shared" si="206"/>
        <v/>
      </c>
    </row>
    <row r="1198" spans="8:25">
      <c r="H1198">
        <v>966</v>
      </c>
      <c r="I1198" s="18">
        <v>45</v>
      </c>
      <c r="J1198">
        <v>76</v>
      </c>
      <c r="K1198">
        <f t="shared" si="196"/>
        <v>380</v>
      </c>
      <c r="L1198" s="39">
        <f t="shared" si="197"/>
        <v>1208.7277734686729</v>
      </c>
      <c r="M1198">
        <f t="shared" si="198"/>
        <v>320.31337508538434</v>
      </c>
      <c r="N1198">
        <f t="shared" si="199"/>
        <v>135510.08543771738</v>
      </c>
      <c r="O1198" s="39">
        <f t="shared" si="200"/>
        <v>151052.84283937473</v>
      </c>
      <c r="S1198">
        <f t="shared" si="201"/>
        <v>0</v>
      </c>
      <c r="T1198">
        <f t="shared" si="202"/>
        <v>1</v>
      </c>
      <c r="U1198">
        <f t="shared" si="203"/>
        <v>0</v>
      </c>
      <c r="V1198">
        <f t="shared" si="204"/>
        <v>0</v>
      </c>
      <c r="W1198">
        <f t="shared" si="205"/>
        <v>0</v>
      </c>
      <c r="Y1198" t="str">
        <f t="shared" si="206"/>
        <v/>
      </c>
    </row>
    <row r="1199" spans="8:25">
      <c r="H1199">
        <v>967</v>
      </c>
      <c r="I1199" s="18">
        <v>50</v>
      </c>
      <c r="J1199">
        <v>62</v>
      </c>
      <c r="K1199">
        <f t="shared" si="196"/>
        <v>310</v>
      </c>
      <c r="L1199" s="39">
        <f t="shared" si="197"/>
        <v>1217.3671532660449</v>
      </c>
      <c r="M1199">
        <f t="shared" si="198"/>
        <v>355.31337508538434</v>
      </c>
      <c r="N1199">
        <f t="shared" si="199"/>
        <v>151391.39118076567</v>
      </c>
      <c r="O1199" s="39">
        <f t="shared" si="200"/>
        <v>166934.14858242299</v>
      </c>
      <c r="S1199">
        <f t="shared" si="201"/>
        <v>0</v>
      </c>
      <c r="T1199">
        <f t="shared" si="202"/>
        <v>1</v>
      </c>
      <c r="U1199">
        <f t="shared" si="203"/>
        <v>0</v>
      </c>
      <c r="V1199">
        <f t="shared" si="204"/>
        <v>0</v>
      </c>
      <c r="W1199">
        <f t="shared" si="205"/>
        <v>0</v>
      </c>
      <c r="Y1199" t="str">
        <f t="shared" si="206"/>
        <v/>
      </c>
    </row>
    <row r="1200" spans="8:25">
      <c r="H1200">
        <v>968</v>
      </c>
      <c r="I1200" s="18">
        <v>40</v>
      </c>
      <c r="J1200">
        <v>98</v>
      </c>
      <c r="K1200">
        <f t="shared" si="196"/>
        <v>490</v>
      </c>
      <c r="L1200" s="39">
        <f t="shared" si="197"/>
        <v>1231.5043202071988</v>
      </c>
      <c r="M1200">
        <f t="shared" si="198"/>
        <v>265.31337508538434</v>
      </c>
      <c r="N1200">
        <f t="shared" si="199"/>
        <v>114357.09866924133</v>
      </c>
      <c r="O1200" s="39">
        <f t="shared" si="200"/>
        <v>129899.85607089866</v>
      </c>
      <c r="S1200">
        <f t="shared" si="201"/>
        <v>0</v>
      </c>
      <c r="T1200">
        <f t="shared" si="202"/>
        <v>1</v>
      </c>
      <c r="U1200">
        <f t="shared" si="203"/>
        <v>0</v>
      </c>
      <c r="V1200">
        <f t="shared" si="204"/>
        <v>0</v>
      </c>
      <c r="W1200">
        <f t="shared" si="205"/>
        <v>0</v>
      </c>
      <c r="Y1200" t="str">
        <f t="shared" si="206"/>
        <v/>
      </c>
    </row>
    <row r="1201" spans="8:25">
      <c r="H1201">
        <v>969</v>
      </c>
      <c r="I1201" s="18">
        <v>45</v>
      </c>
      <c r="J1201">
        <v>78</v>
      </c>
      <c r="K1201">
        <f t="shared" si="196"/>
        <v>390</v>
      </c>
      <c r="L1201" s="39">
        <f t="shared" si="197"/>
        <v>1240.5363990862695</v>
      </c>
      <c r="M1201">
        <f t="shared" si="198"/>
        <v>315.31337508538434</v>
      </c>
      <c r="N1201">
        <f t="shared" si="199"/>
        <v>136905.20161925635</v>
      </c>
      <c r="O1201" s="39">
        <f t="shared" si="200"/>
        <v>152447.95902091369</v>
      </c>
      <c r="S1201">
        <f t="shared" si="201"/>
        <v>0</v>
      </c>
      <c r="T1201">
        <f t="shared" si="202"/>
        <v>1</v>
      </c>
      <c r="U1201">
        <f t="shared" si="203"/>
        <v>0</v>
      </c>
      <c r="V1201">
        <f t="shared" si="204"/>
        <v>0</v>
      </c>
      <c r="W1201">
        <f t="shared" si="205"/>
        <v>0</v>
      </c>
      <c r="Y1201" t="str">
        <f t="shared" si="206"/>
        <v/>
      </c>
    </row>
    <row r="1202" spans="8:25">
      <c r="H1202">
        <v>970</v>
      </c>
      <c r="I1202" s="18">
        <v>50</v>
      </c>
      <c r="J1202">
        <v>64</v>
      </c>
      <c r="K1202">
        <f t="shared" si="196"/>
        <v>320</v>
      </c>
      <c r="L1202" s="39">
        <f t="shared" si="197"/>
        <v>1256.6370614359173</v>
      </c>
      <c r="M1202">
        <f t="shared" si="198"/>
        <v>350.31337508538434</v>
      </c>
      <c r="N1202">
        <f t="shared" si="199"/>
        <v>154075.86958714848</v>
      </c>
      <c r="O1202" s="39">
        <f t="shared" si="200"/>
        <v>169618.62698880583</v>
      </c>
      <c r="S1202">
        <f t="shared" si="201"/>
        <v>0</v>
      </c>
      <c r="T1202">
        <f t="shared" si="202"/>
        <v>1</v>
      </c>
      <c r="U1202">
        <f t="shared" si="203"/>
        <v>0</v>
      </c>
      <c r="V1202">
        <f t="shared" si="204"/>
        <v>0</v>
      </c>
      <c r="W1202">
        <f t="shared" si="205"/>
        <v>0</v>
      </c>
      <c r="Y1202" t="str">
        <f t="shared" si="206"/>
        <v/>
      </c>
    </row>
    <row r="1203" spans="8:25">
      <c r="H1203">
        <v>971</v>
      </c>
      <c r="I1203" s="18">
        <v>40</v>
      </c>
      <c r="J1203">
        <v>100</v>
      </c>
      <c r="K1203">
        <f t="shared" si="196"/>
        <v>500</v>
      </c>
      <c r="L1203" s="39">
        <f t="shared" si="197"/>
        <v>1256.6370614359173</v>
      </c>
      <c r="M1203">
        <f t="shared" si="198"/>
        <v>260.31337508538434</v>
      </c>
      <c r="N1203">
        <f t="shared" si="199"/>
        <v>114491.80215191709</v>
      </c>
      <c r="O1203" s="39">
        <f t="shared" si="200"/>
        <v>130034.55955357442</v>
      </c>
      <c r="S1203">
        <f t="shared" si="201"/>
        <v>0</v>
      </c>
      <c r="T1203">
        <f t="shared" si="202"/>
        <v>1</v>
      </c>
      <c r="U1203">
        <f t="shared" si="203"/>
        <v>0</v>
      </c>
      <c r="V1203">
        <f t="shared" si="204"/>
        <v>0</v>
      </c>
      <c r="W1203">
        <f t="shared" si="205"/>
        <v>0</v>
      </c>
      <c r="Y1203" t="str">
        <f t="shared" si="206"/>
        <v/>
      </c>
    </row>
    <row r="1204" spans="8:25">
      <c r="H1204">
        <v>972</v>
      </c>
      <c r="I1204" s="18">
        <v>45</v>
      </c>
      <c r="J1204">
        <v>80</v>
      </c>
      <c r="K1204">
        <f t="shared" si="196"/>
        <v>400</v>
      </c>
      <c r="L1204" s="39">
        <f t="shared" si="197"/>
        <v>1272.3450247038661</v>
      </c>
      <c r="M1204">
        <f t="shared" si="198"/>
        <v>310.31337508538434</v>
      </c>
      <c r="N1204">
        <f t="shared" si="199"/>
        <v>138188.98761113369</v>
      </c>
      <c r="O1204" s="39">
        <f t="shared" si="200"/>
        <v>153731.74501279101</v>
      </c>
      <c r="S1204">
        <f t="shared" si="201"/>
        <v>0</v>
      </c>
      <c r="T1204">
        <f t="shared" si="202"/>
        <v>1</v>
      </c>
      <c r="U1204">
        <f t="shared" si="203"/>
        <v>0</v>
      </c>
      <c r="V1204">
        <f t="shared" si="204"/>
        <v>0</v>
      </c>
      <c r="W1204">
        <f t="shared" si="205"/>
        <v>0</v>
      </c>
      <c r="Y1204" t="str">
        <f t="shared" si="206"/>
        <v/>
      </c>
    </row>
    <row r="1205" spans="8:25">
      <c r="H1205">
        <v>973</v>
      </c>
      <c r="I1205" s="18">
        <v>50</v>
      </c>
      <c r="J1205">
        <v>66</v>
      </c>
      <c r="K1205">
        <f t="shared" si="196"/>
        <v>330</v>
      </c>
      <c r="L1205" s="39">
        <f t="shared" si="197"/>
        <v>1295.9069696057898</v>
      </c>
      <c r="M1205">
        <f t="shared" si="198"/>
        <v>345.31337508538434</v>
      </c>
      <c r="N1205">
        <f t="shared" si="199"/>
        <v>156622.90331493673</v>
      </c>
      <c r="O1205" s="39">
        <f t="shared" si="200"/>
        <v>172165.66071659408</v>
      </c>
      <c r="S1205">
        <f t="shared" si="201"/>
        <v>0</v>
      </c>
      <c r="T1205">
        <f t="shared" si="202"/>
        <v>1</v>
      </c>
      <c r="U1205">
        <f t="shared" si="203"/>
        <v>0</v>
      </c>
      <c r="V1205">
        <f t="shared" si="204"/>
        <v>0</v>
      </c>
      <c r="W1205">
        <f t="shared" si="205"/>
        <v>0</v>
      </c>
      <c r="Y1205" t="str">
        <f t="shared" si="206"/>
        <v/>
      </c>
    </row>
    <row r="1206" spans="8:25">
      <c r="H1206">
        <v>974</v>
      </c>
      <c r="I1206" s="18">
        <v>45</v>
      </c>
      <c r="J1206">
        <v>82</v>
      </c>
      <c r="K1206">
        <f t="shared" si="196"/>
        <v>410</v>
      </c>
      <c r="L1206" s="39">
        <f t="shared" si="197"/>
        <v>1304.1536503214627</v>
      </c>
      <c r="M1206">
        <f t="shared" si="198"/>
        <v>305.31337508538434</v>
      </c>
      <c r="N1206">
        <f t="shared" si="199"/>
        <v>139361.44341334948</v>
      </c>
      <c r="O1206" s="39">
        <f t="shared" si="200"/>
        <v>154904.2008150068</v>
      </c>
      <c r="S1206">
        <f t="shared" si="201"/>
        <v>0</v>
      </c>
      <c r="T1206">
        <f t="shared" si="202"/>
        <v>1</v>
      </c>
      <c r="U1206">
        <f t="shared" si="203"/>
        <v>0</v>
      </c>
      <c r="V1206">
        <f t="shared" si="204"/>
        <v>0</v>
      </c>
      <c r="W1206">
        <f t="shared" si="205"/>
        <v>0</v>
      </c>
      <c r="Y1206" t="str">
        <f t="shared" si="206"/>
        <v/>
      </c>
    </row>
    <row r="1207" spans="8:25">
      <c r="H1207">
        <v>975</v>
      </c>
      <c r="I1207" s="18">
        <v>50</v>
      </c>
      <c r="J1207">
        <v>68</v>
      </c>
      <c r="K1207">
        <f t="shared" si="196"/>
        <v>340</v>
      </c>
      <c r="L1207" s="39">
        <f t="shared" si="197"/>
        <v>1335.1768777756622</v>
      </c>
      <c r="M1207">
        <f t="shared" si="198"/>
        <v>340.31337508538434</v>
      </c>
      <c r="N1207">
        <f t="shared" si="199"/>
        <v>159032.49236413048</v>
      </c>
      <c r="O1207" s="39">
        <f t="shared" si="200"/>
        <v>174575.2497657878</v>
      </c>
      <c r="S1207">
        <f t="shared" si="201"/>
        <v>0</v>
      </c>
      <c r="T1207">
        <f t="shared" si="202"/>
        <v>1</v>
      </c>
      <c r="U1207">
        <f t="shared" si="203"/>
        <v>0</v>
      </c>
      <c r="V1207">
        <f t="shared" si="204"/>
        <v>0</v>
      </c>
      <c r="W1207">
        <f t="shared" si="205"/>
        <v>0</v>
      </c>
      <c r="Y1207" t="str">
        <f t="shared" si="206"/>
        <v/>
      </c>
    </row>
    <row r="1208" spans="8:25">
      <c r="H1208">
        <v>976</v>
      </c>
      <c r="I1208" s="18">
        <v>45</v>
      </c>
      <c r="J1208">
        <v>84</v>
      </c>
      <c r="K1208">
        <f t="shared" si="196"/>
        <v>420</v>
      </c>
      <c r="L1208" s="39">
        <f t="shared" si="197"/>
        <v>1335.9622759390595</v>
      </c>
      <c r="M1208">
        <f t="shared" si="198"/>
        <v>300.31337508538434</v>
      </c>
      <c r="N1208">
        <f t="shared" si="199"/>
        <v>140422.56902590368</v>
      </c>
      <c r="O1208" s="39">
        <f t="shared" si="200"/>
        <v>155965.326427561</v>
      </c>
      <c r="S1208">
        <f t="shared" si="201"/>
        <v>0</v>
      </c>
      <c r="T1208">
        <f t="shared" si="202"/>
        <v>1</v>
      </c>
      <c r="U1208">
        <f t="shared" si="203"/>
        <v>0</v>
      </c>
      <c r="V1208">
        <f t="shared" si="204"/>
        <v>0</v>
      </c>
      <c r="W1208">
        <f t="shared" si="205"/>
        <v>0</v>
      </c>
      <c r="Y1208" t="str">
        <f t="shared" si="206"/>
        <v/>
      </c>
    </row>
    <row r="1209" spans="8:25">
      <c r="H1209">
        <v>977</v>
      </c>
      <c r="I1209" s="18">
        <v>45</v>
      </c>
      <c r="J1209">
        <v>86</v>
      </c>
      <c r="K1209">
        <f t="shared" si="196"/>
        <v>430</v>
      </c>
      <c r="L1209" s="39">
        <f t="shared" si="197"/>
        <v>1367.7709015566561</v>
      </c>
      <c r="M1209">
        <f t="shared" si="198"/>
        <v>295.31337508538434</v>
      </c>
      <c r="N1209">
        <f t="shared" si="199"/>
        <v>141372.36444879629</v>
      </c>
      <c r="O1209" s="39">
        <f t="shared" si="200"/>
        <v>156915.12185045361</v>
      </c>
      <c r="S1209">
        <f t="shared" si="201"/>
        <v>0</v>
      </c>
      <c r="T1209">
        <f t="shared" si="202"/>
        <v>1</v>
      </c>
      <c r="U1209">
        <f t="shared" si="203"/>
        <v>0</v>
      </c>
      <c r="V1209">
        <f t="shared" si="204"/>
        <v>0</v>
      </c>
      <c r="W1209">
        <f t="shared" si="205"/>
        <v>0</v>
      </c>
      <c r="Y1209" t="str">
        <f t="shared" si="206"/>
        <v/>
      </c>
    </row>
    <row r="1210" spans="8:25">
      <c r="H1210">
        <v>978</v>
      </c>
      <c r="I1210" s="18">
        <v>50</v>
      </c>
      <c r="J1210">
        <v>70</v>
      </c>
      <c r="K1210">
        <f t="shared" si="196"/>
        <v>350</v>
      </c>
      <c r="L1210" s="39">
        <f t="shared" si="197"/>
        <v>1374.4467859455344</v>
      </c>
      <c r="M1210">
        <f t="shared" si="198"/>
        <v>335.31337508538434</v>
      </c>
      <c r="N1210">
        <f t="shared" si="199"/>
        <v>161304.6367347296</v>
      </c>
      <c r="O1210" s="39">
        <f t="shared" si="200"/>
        <v>176847.39413638692</v>
      </c>
      <c r="S1210">
        <f t="shared" si="201"/>
        <v>0</v>
      </c>
      <c r="T1210">
        <f t="shared" si="202"/>
        <v>1</v>
      </c>
      <c r="U1210">
        <f t="shared" si="203"/>
        <v>0</v>
      </c>
      <c r="V1210">
        <f t="shared" si="204"/>
        <v>0</v>
      </c>
      <c r="W1210">
        <f t="shared" si="205"/>
        <v>0</v>
      </c>
      <c r="Y1210" t="str">
        <f t="shared" si="206"/>
        <v/>
      </c>
    </row>
    <row r="1211" spans="8:25">
      <c r="H1211">
        <v>979</v>
      </c>
      <c r="I1211" s="18">
        <v>45</v>
      </c>
      <c r="J1211">
        <v>88</v>
      </c>
      <c r="K1211">
        <f t="shared" si="196"/>
        <v>440</v>
      </c>
      <c r="L1211" s="39">
        <f t="shared" si="197"/>
        <v>1399.5795271742527</v>
      </c>
      <c r="M1211">
        <f t="shared" si="198"/>
        <v>290.31337508538434</v>
      </c>
      <c r="N1211">
        <f t="shared" si="199"/>
        <v>142210.82968202728</v>
      </c>
      <c r="O1211" s="39">
        <f t="shared" si="200"/>
        <v>157753.58708368463</v>
      </c>
      <c r="S1211">
        <f t="shared" si="201"/>
        <v>0</v>
      </c>
      <c r="T1211">
        <f t="shared" si="202"/>
        <v>1</v>
      </c>
      <c r="U1211">
        <f t="shared" si="203"/>
        <v>0</v>
      </c>
      <c r="V1211">
        <f t="shared" si="204"/>
        <v>0</v>
      </c>
      <c r="W1211">
        <f t="shared" si="205"/>
        <v>0</v>
      </c>
      <c r="Y1211" t="str">
        <f t="shared" si="206"/>
        <v/>
      </c>
    </row>
    <row r="1212" spans="8:25">
      <c r="H1212">
        <v>980</v>
      </c>
      <c r="I1212" s="18">
        <v>50</v>
      </c>
      <c r="J1212">
        <v>72</v>
      </c>
      <c r="K1212">
        <f t="shared" si="196"/>
        <v>360</v>
      </c>
      <c r="L1212" s="39">
        <f t="shared" si="197"/>
        <v>1413.7166941154069</v>
      </c>
      <c r="M1212">
        <f t="shared" si="198"/>
        <v>330.31337508538434</v>
      </c>
      <c r="N1212">
        <f t="shared" si="199"/>
        <v>163439.3364267342</v>
      </c>
      <c r="O1212" s="39">
        <f t="shared" si="200"/>
        <v>178982.09382839152</v>
      </c>
      <c r="S1212">
        <f t="shared" si="201"/>
        <v>0</v>
      </c>
      <c r="T1212">
        <f t="shared" si="202"/>
        <v>1</v>
      </c>
      <c r="U1212">
        <f t="shared" si="203"/>
        <v>0</v>
      </c>
      <c r="V1212">
        <f t="shared" si="204"/>
        <v>0</v>
      </c>
      <c r="W1212">
        <f t="shared" si="205"/>
        <v>0</v>
      </c>
      <c r="Y1212" t="str">
        <f t="shared" si="206"/>
        <v/>
      </c>
    </row>
    <row r="1213" spans="8:25">
      <c r="H1213">
        <v>981</v>
      </c>
      <c r="I1213" s="18">
        <v>45</v>
      </c>
      <c r="J1213">
        <v>90</v>
      </c>
      <c r="K1213">
        <f t="shared" si="196"/>
        <v>450</v>
      </c>
      <c r="L1213" s="39">
        <f t="shared" si="197"/>
        <v>1431.3881527918495</v>
      </c>
      <c r="M1213">
        <f t="shared" si="198"/>
        <v>285.31337508538434</v>
      </c>
      <c r="N1213">
        <f t="shared" si="199"/>
        <v>142937.96472559674</v>
      </c>
      <c r="O1213" s="39">
        <f t="shared" si="200"/>
        <v>158480.72212725406</v>
      </c>
      <c r="S1213">
        <f t="shared" si="201"/>
        <v>0</v>
      </c>
      <c r="T1213">
        <f t="shared" si="202"/>
        <v>1</v>
      </c>
      <c r="U1213">
        <f t="shared" si="203"/>
        <v>0</v>
      </c>
      <c r="V1213">
        <f t="shared" si="204"/>
        <v>0</v>
      </c>
      <c r="W1213">
        <f t="shared" si="205"/>
        <v>0</v>
      </c>
      <c r="Y1213" t="str">
        <f t="shared" si="206"/>
        <v/>
      </c>
    </row>
    <row r="1214" spans="8:25">
      <c r="H1214">
        <v>982</v>
      </c>
      <c r="I1214" s="18">
        <v>50</v>
      </c>
      <c r="J1214">
        <v>74</v>
      </c>
      <c r="K1214">
        <f t="shared" si="196"/>
        <v>370</v>
      </c>
      <c r="L1214" s="39">
        <f t="shared" si="197"/>
        <v>1452.9866022852793</v>
      </c>
      <c r="M1214">
        <f t="shared" si="198"/>
        <v>325.31337508538434</v>
      </c>
      <c r="N1214">
        <f t="shared" si="199"/>
        <v>165436.59144014426</v>
      </c>
      <c r="O1214" s="39">
        <f t="shared" si="200"/>
        <v>180979.34884180158</v>
      </c>
      <c r="S1214">
        <f t="shared" si="201"/>
        <v>0</v>
      </c>
      <c r="T1214">
        <f t="shared" si="202"/>
        <v>1</v>
      </c>
      <c r="U1214">
        <f t="shared" si="203"/>
        <v>0</v>
      </c>
      <c r="V1214">
        <f t="shared" si="204"/>
        <v>0</v>
      </c>
      <c r="W1214">
        <f t="shared" si="205"/>
        <v>0</v>
      </c>
      <c r="Y1214" t="str">
        <f t="shared" si="206"/>
        <v/>
      </c>
    </row>
    <row r="1215" spans="8:25">
      <c r="H1215">
        <v>983</v>
      </c>
      <c r="I1215" s="18">
        <v>45</v>
      </c>
      <c r="J1215">
        <v>92</v>
      </c>
      <c r="K1215">
        <f t="shared" si="196"/>
        <v>460</v>
      </c>
      <c r="L1215" s="39">
        <f t="shared" si="197"/>
        <v>1463.1967784094461</v>
      </c>
      <c r="M1215">
        <f t="shared" si="198"/>
        <v>280.31337508538434</v>
      </c>
      <c r="N1215">
        <f t="shared" si="199"/>
        <v>143553.76957950459</v>
      </c>
      <c r="O1215" s="39">
        <f t="shared" si="200"/>
        <v>159096.52698116191</v>
      </c>
      <c r="S1215">
        <f t="shared" si="201"/>
        <v>0</v>
      </c>
      <c r="T1215">
        <f t="shared" si="202"/>
        <v>1</v>
      </c>
      <c r="U1215">
        <f t="shared" si="203"/>
        <v>0</v>
      </c>
      <c r="V1215">
        <f t="shared" si="204"/>
        <v>0</v>
      </c>
      <c r="W1215">
        <f t="shared" si="205"/>
        <v>0</v>
      </c>
      <c r="Y1215" t="str">
        <f t="shared" si="206"/>
        <v/>
      </c>
    </row>
    <row r="1216" spans="8:25">
      <c r="H1216">
        <v>984</v>
      </c>
      <c r="I1216" s="18">
        <v>50</v>
      </c>
      <c r="J1216">
        <v>76</v>
      </c>
      <c r="K1216">
        <f t="shared" si="196"/>
        <v>380</v>
      </c>
      <c r="L1216" s="39">
        <f t="shared" si="197"/>
        <v>1492.2565104551516</v>
      </c>
      <c r="M1216">
        <f t="shared" si="198"/>
        <v>320.31337508538434</v>
      </c>
      <c r="N1216">
        <f t="shared" si="199"/>
        <v>167296.4017749597</v>
      </c>
      <c r="O1216" s="39">
        <f t="shared" si="200"/>
        <v>182839.15917661705</v>
      </c>
      <c r="S1216">
        <f t="shared" si="201"/>
        <v>0</v>
      </c>
      <c r="T1216">
        <f t="shared" si="202"/>
        <v>1</v>
      </c>
      <c r="U1216">
        <f t="shared" si="203"/>
        <v>0</v>
      </c>
      <c r="V1216">
        <f t="shared" si="204"/>
        <v>0</v>
      </c>
      <c r="W1216">
        <f t="shared" si="205"/>
        <v>0</v>
      </c>
      <c r="Y1216" t="str">
        <f t="shared" si="206"/>
        <v/>
      </c>
    </row>
    <row r="1217" spans="8:25">
      <c r="H1217">
        <v>985</v>
      </c>
      <c r="I1217" s="18">
        <v>45</v>
      </c>
      <c r="J1217">
        <v>94</v>
      </c>
      <c r="K1217">
        <f t="shared" si="196"/>
        <v>470</v>
      </c>
      <c r="L1217" s="39">
        <f t="shared" si="197"/>
        <v>1495.0054040270429</v>
      </c>
      <c r="M1217">
        <f t="shared" si="198"/>
        <v>275.31337508538434</v>
      </c>
      <c r="N1217">
        <f t="shared" si="199"/>
        <v>144058.24424375084</v>
      </c>
      <c r="O1217" s="39">
        <f t="shared" si="200"/>
        <v>159601.00164540816</v>
      </c>
      <c r="S1217">
        <f t="shared" si="201"/>
        <v>0</v>
      </c>
      <c r="T1217">
        <f t="shared" si="202"/>
        <v>1</v>
      </c>
      <c r="U1217">
        <f t="shared" si="203"/>
        <v>0</v>
      </c>
      <c r="V1217">
        <f t="shared" si="204"/>
        <v>0</v>
      </c>
      <c r="W1217">
        <f t="shared" si="205"/>
        <v>0</v>
      </c>
      <c r="Y1217" t="str">
        <f t="shared" si="206"/>
        <v/>
      </c>
    </row>
    <row r="1218" spans="8:25">
      <c r="H1218">
        <v>986</v>
      </c>
      <c r="I1218" s="18">
        <v>45</v>
      </c>
      <c r="J1218">
        <v>96</v>
      </c>
      <c r="K1218">
        <f t="shared" si="196"/>
        <v>480</v>
      </c>
      <c r="L1218" s="39">
        <f t="shared" si="197"/>
        <v>1526.8140296446395</v>
      </c>
      <c r="M1218">
        <f t="shared" si="198"/>
        <v>270.31337508538434</v>
      </c>
      <c r="N1218">
        <f t="shared" si="199"/>
        <v>144451.38871833551</v>
      </c>
      <c r="O1218" s="39">
        <f t="shared" si="200"/>
        <v>159994.14611999283</v>
      </c>
      <c r="S1218">
        <f t="shared" si="201"/>
        <v>0</v>
      </c>
      <c r="T1218">
        <f t="shared" si="202"/>
        <v>1</v>
      </c>
      <c r="U1218">
        <f t="shared" si="203"/>
        <v>0</v>
      </c>
      <c r="V1218">
        <f t="shared" si="204"/>
        <v>0</v>
      </c>
      <c r="W1218">
        <f t="shared" si="205"/>
        <v>0</v>
      </c>
      <c r="Y1218" t="str">
        <f t="shared" si="206"/>
        <v/>
      </c>
    </row>
    <row r="1219" spans="8:25">
      <c r="H1219">
        <v>987</v>
      </c>
      <c r="I1219" s="18">
        <v>50</v>
      </c>
      <c r="J1219">
        <v>78</v>
      </c>
      <c r="K1219">
        <f t="shared" si="196"/>
        <v>390</v>
      </c>
      <c r="L1219" s="39">
        <f t="shared" si="197"/>
        <v>1531.526418625024</v>
      </c>
      <c r="M1219">
        <f t="shared" si="198"/>
        <v>315.31337508538434</v>
      </c>
      <c r="N1219">
        <f t="shared" si="199"/>
        <v>169018.76743118063</v>
      </c>
      <c r="O1219" s="39">
        <f t="shared" si="200"/>
        <v>184561.52483283798</v>
      </c>
      <c r="S1219">
        <f t="shared" si="201"/>
        <v>0</v>
      </c>
      <c r="T1219">
        <f t="shared" si="202"/>
        <v>1</v>
      </c>
      <c r="U1219">
        <f t="shared" si="203"/>
        <v>0</v>
      </c>
      <c r="V1219">
        <f t="shared" si="204"/>
        <v>0</v>
      </c>
      <c r="W1219">
        <f t="shared" si="205"/>
        <v>0</v>
      </c>
      <c r="Y1219" t="str">
        <f t="shared" si="206"/>
        <v/>
      </c>
    </row>
    <row r="1220" spans="8:25">
      <c r="H1220">
        <v>988</v>
      </c>
      <c r="I1220" s="18">
        <v>45</v>
      </c>
      <c r="J1220">
        <v>98</v>
      </c>
      <c r="K1220">
        <f t="shared" si="196"/>
        <v>490</v>
      </c>
      <c r="L1220" s="39">
        <f t="shared" si="197"/>
        <v>1558.6226552622361</v>
      </c>
      <c r="M1220">
        <f t="shared" si="198"/>
        <v>265.31337508538434</v>
      </c>
      <c r="N1220">
        <f t="shared" si="199"/>
        <v>144733.20300325856</v>
      </c>
      <c r="O1220" s="39">
        <f t="shared" si="200"/>
        <v>160275.96040491591</v>
      </c>
      <c r="S1220">
        <f t="shared" si="201"/>
        <v>0</v>
      </c>
      <c r="T1220">
        <f t="shared" si="202"/>
        <v>1</v>
      </c>
      <c r="U1220">
        <f t="shared" si="203"/>
        <v>0</v>
      </c>
      <c r="V1220">
        <f t="shared" si="204"/>
        <v>0</v>
      </c>
      <c r="W1220">
        <f t="shared" si="205"/>
        <v>0</v>
      </c>
      <c r="Y1220" t="str">
        <f t="shared" si="206"/>
        <v/>
      </c>
    </row>
    <row r="1221" spans="8:25">
      <c r="H1221">
        <v>989</v>
      </c>
      <c r="I1221" s="18">
        <v>50</v>
      </c>
      <c r="J1221">
        <v>80</v>
      </c>
      <c r="K1221">
        <f t="shared" si="196"/>
        <v>400</v>
      </c>
      <c r="L1221" s="39">
        <f t="shared" si="197"/>
        <v>1570.7963267948965</v>
      </c>
      <c r="M1221">
        <f t="shared" si="198"/>
        <v>310.31337508538434</v>
      </c>
      <c r="N1221">
        <f t="shared" si="199"/>
        <v>170603.68840880701</v>
      </c>
      <c r="O1221" s="39">
        <f t="shared" si="200"/>
        <v>186146.44581046433</v>
      </c>
      <c r="S1221">
        <f t="shared" si="201"/>
        <v>0</v>
      </c>
      <c r="T1221">
        <f t="shared" si="202"/>
        <v>1</v>
      </c>
      <c r="U1221">
        <f t="shared" si="203"/>
        <v>0</v>
      </c>
      <c r="V1221">
        <f t="shared" si="204"/>
        <v>0</v>
      </c>
      <c r="W1221">
        <f t="shared" si="205"/>
        <v>0</v>
      </c>
      <c r="Y1221" t="str">
        <f t="shared" si="206"/>
        <v/>
      </c>
    </row>
    <row r="1222" spans="8:25">
      <c r="H1222">
        <v>990</v>
      </c>
      <c r="I1222" s="18">
        <v>45</v>
      </c>
      <c r="J1222">
        <v>100</v>
      </c>
      <c r="K1222">
        <f t="shared" si="196"/>
        <v>500</v>
      </c>
      <c r="L1222" s="39">
        <f t="shared" si="197"/>
        <v>1590.4312808798329</v>
      </c>
      <c r="M1222">
        <f t="shared" si="198"/>
        <v>260.31337508538434</v>
      </c>
      <c r="N1222">
        <f t="shared" si="199"/>
        <v>144903.68709852008</v>
      </c>
      <c r="O1222" s="39">
        <f t="shared" si="200"/>
        <v>160446.4445001774</v>
      </c>
      <c r="S1222">
        <f t="shared" si="201"/>
        <v>0</v>
      </c>
      <c r="T1222">
        <f t="shared" si="202"/>
        <v>1</v>
      </c>
      <c r="U1222">
        <f t="shared" si="203"/>
        <v>0</v>
      </c>
      <c r="V1222">
        <f t="shared" si="204"/>
        <v>0</v>
      </c>
      <c r="W1222">
        <f t="shared" si="205"/>
        <v>0</v>
      </c>
      <c r="Y1222" t="str">
        <f t="shared" si="206"/>
        <v/>
      </c>
    </row>
    <row r="1223" spans="8:25">
      <c r="H1223">
        <v>991</v>
      </c>
      <c r="I1223" s="18">
        <v>50</v>
      </c>
      <c r="J1223">
        <v>82</v>
      </c>
      <c r="K1223">
        <f t="shared" si="196"/>
        <v>410</v>
      </c>
      <c r="L1223" s="39">
        <f t="shared" si="197"/>
        <v>1610.0662349647689</v>
      </c>
      <c r="M1223">
        <f t="shared" si="198"/>
        <v>305.31337508538434</v>
      </c>
      <c r="N1223">
        <f t="shared" si="199"/>
        <v>172051.16470783888</v>
      </c>
      <c r="O1223" s="39">
        <f t="shared" si="200"/>
        <v>187593.9221094962</v>
      </c>
      <c r="S1223">
        <f t="shared" si="201"/>
        <v>0</v>
      </c>
      <c r="T1223">
        <f t="shared" si="202"/>
        <v>1</v>
      </c>
      <c r="U1223">
        <f t="shared" si="203"/>
        <v>0</v>
      </c>
      <c r="V1223">
        <f t="shared" si="204"/>
        <v>0</v>
      </c>
      <c r="W1223">
        <f t="shared" si="205"/>
        <v>0</v>
      </c>
      <c r="Y1223" t="str">
        <f t="shared" si="206"/>
        <v/>
      </c>
    </row>
    <row r="1224" spans="8:25">
      <c r="H1224">
        <v>992</v>
      </c>
      <c r="I1224" s="18">
        <v>50</v>
      </c>
      <c r="J1224">
        <v>84</v>
      </c>
      <c r="K1224">
        <f t="shared" si="196"/>
        <v>420</v>
      </c>
      <c r="L1224" s="39">
        <f t="shared" si="197"/>
        <v>1649.3361431346416</v>
      </c>
      <c r="M1224">
        <f t="shared" si="198"/>
        <v>300.31337508538434</v>
      </c>
      <c r="N1224">
        <f t="shared" si="199"/>
        <v>173361.19632827616</v>
      </c>
      <c r="O1224" s="39">
        <f t="shared" si="200"/>
        <v>188903.95372993348</v>
      </c>
      <c r="S1224">
        <f t="shared" si="201"/>
        <v>0</v>
      </c>
      <c r="T1224">
        <f t="shared" si="202"/>
        <v>1</v>
      </c>
      <c r="U1224">
        <f t="shared" si="203"/>
        <v>0</v>
      </c>
      <c r="V1224">
        <f t="shared" si="204"/>
        <v>0</v>
      </c>
      <c r="W1224">
        <f t="shared" si="205"/>
        <v>0</v>
      </c>
      <c r="Y1224" t="str">
        <f t="shared" si="206"/>
        <v/>
      </c>
    </row>
    <row r="1225" spans="8:25">
      <c r="H1225">
        <v>993</v>
      </c>
      <c r="I1225" s="18">
        <v>50</v>
      </c>
      <c r="J1225">
        <v>86</v>
      </c>
      <c r="K1225">
        <f t="shared" si="196"/>
        <v>430</v>
      </c>
      <c r="L1225" s="39">
        <f t="shared" si="197"/>
        <v>1688.6060513045138</v>
      </c>
      <c r="M1225">
        <f t="shared" si="198"/>
        <v>295.31337508538434</v>
      </c>
      <c r="N1225">
        <f t="shared" si="199"/>
        <v>174533.78327011887</v>
      </c>
      <c r="O1225" s="39">
        <f t="shared" si="200"/>
        <v>190076.54067177622</v>
      </c>
      <c r="S1225">
        <f t="shared" si="201"/>
        <v>0</v>
      </c>
      <c r="T1225">
        <f t="shared" si="202"/>
        <v>1</v>
      </c>
      <c r="U1225">
        <f t="shared" si="203"/>
        <v>0</v>
      </c>
      <c r="V1225">
        <f t="shared" si="204"/>
        <v>0</v>
      </c>
      <c r="W1225">
        <f t="shared" si="205"/>
        <v>0</v>
      </c>
      <c r="Y1225" t="str">
        <f t="shared" si="206"/>
        <v/>
      </c>
    </row>
    <row r="1226" spans="8:25">
      <c r="H1226">
        <v>994</v>
      </c>
      <c r="I1226" s="18">
        <v>50</v>
      </c>
      <c r="J1226">
        <v>88</v>
      </c>
      <c r="K1226">
        <f t="shared" si="196"/>
        <v>440</v>
      </c>
      <c r="L1226" s="39">
        <f t="shared" si="197"/>
        <v>1727.875959474386</v>
      </c>
      <c r="M1226">
        <f t="shared" si="198"/>
        <v>290.31337508538434</v>
      </c>
      <c r="N1226">
        <f t="shared" si="199"/>
        <v>175568.92553336703</v>
      </c>
      <c r="O1226" s="39">
        <f t="shared" si="200"/>
        <v>191111.68293502438</v>
      </c>
      <c r="S1226">
        <f t="shared" si="201"/>
        <v>0</v>
      </c>
      <c r="T1226">
        <f t="shared" si="202"/>
        <v>1</v>
      </c>
      <c r="U1226">
        <f t="shared" si="203"/>
        <v>0</v>
      </c>
      <c r="V1226">
        <f t="shared" si="204"/>
        <v>0</v>
      </c>
      <c r="W1226">
        <f t="shared" si="205"/>
        <v>0</v>
      </c>
      <c r="Y1226" t="str">
        <f t="shared" si="206"/>
        <v/>
      </c>
    </row>
    <row r="1227" spans="8:25">
      <c r="H1227">
        <v>995</v>
      </c>
      <c r="I1227" s="18">
        <v>50</v>
      </c>
      <c r="J1227">
        <v>90</v>
      </c>
      <c r="K1227">
        <f t="shared" si="196"/>
        <v>450</v>
      </c>
      <c r="L1227" s="39">
        <f t="shared" si="197"/>
        <v>1767.1458676442587</v>
      </c>
      <c r="M1227">
        <f t="shared" si="198"/>
        <v>285.31337508538434</v>
      </c>
      <c r="N1227">
        <f t="shared" si="199"/>
        <v>176466.62311802065</v>
      </c>
      <c r="O1227" s="39">
        <f t="shared" si="200"/>
        <v>192009.380519678</v>
      </c>
      <c r="S1227">
        <f t="shared" si="201"/>
        <v>0</v>
      </c>
      <c r="T1227">
        <f t="shared" si="202"/>
        <v>1</v>
      </c>
      <c r="U1227">
        <f t="shared" si="203"/>
        <v>0</v>
      </c>
      <c r="V1227">
        <f t="shared" si="204"/>
        <v>0</v>
      </c>
      <c r="W1227">
        <f t="shared" si="205"/>
        <v>0</v>
      </c>
      <c r="Y1227" t="str">
        <f t="shared" si="206"/>
        <v/>
      </c>
    </row>
    <row r="1228" spans="8:25">
      <c r="H1228">
        <v>996</v>
      </c>
      <c r="I1228" s="18">
        <v>50</v>
      </c>
      <c r="J1228">
        <v>92</v>
      </c>
      <c r="K1228">
        <f t="shared" si="196"/>
        <v>460</v>
      </c>
      <c r="L1228" s="39">
        <f t="shared" si="197"/>
        <v>1806.4157758141309</v>
      </c>
      <c r="M1228">
        <f t="shared" si="198"/>
        <v>280.31337508538434</v>
      </c>
      <c r="N1228">
        <f t="shared" si="199"/>
        <v>177226.87602407971</v>
      </c>
      <c r="O1228" s="39">
        <f t="shared" si="200"/>
        <v>192769.63342573703</v>
      </c>
      <c r="S1228">
        <f t="shared" si="201"/>
        <v>0</v>
      </c>
      <c r="T1228">
        <f t="shared" si="202"/>
        <v>1</v>
      </c>
      <c r="U1228">
        <f t="shared" si="203"/>
        <v>0</v>
      </c>
      <c r="V1228">
        <f t="shared" si="204"/>
        <v>0</v>
      </c>
      <c r="W1228">
        <f t="shared" si="205"/>
        <v>0</v>
      </c>
      <c r="Y1228" t="str">
        <f t="shared" si="206"/>
        <v/>
      </c>
    </row>
    <row r="1229" spans="8:25">
      <c r="H1229">
        <v>997</v>
      </c>
      <c r="I1229" s="18">
        <v>50</v>
      </c>
      <c r="J1229">
        <v>94</v>
      </c>
      <c r="K1229">
        <f t="shared" si="196"/>
        <v>470</v>
      </c>
      <c r="L1229" s="39">
        <f t="shared" si="197"/>
        <v>1845.6856839840036</v>
      </c>
      <c r="M1229">
        <f t="shared" si="198"/>
        <v>275.31337508538434</v>
      </c>
      <c r="N1229">
        <f t="shared" si="199"/>
        <v>177849.68425154427</v>
      </c>
      <c r="O1229" s="39">
        <f t="shared" si="200"/>
        <v>193392.44165320159</v>
      </c>
      <c r="S1229">
        <f t="shared" si="201"/>
        <v>0</v>
      </c>
      <c r="T1229">
        <f t="shared" si="202"/>
        <v>1</v>
      </c>
      <c r="U1229">
        <f t="shared" si="203"/>
        <v>0</v>
      </c>
      <c r="V1229">
        <f t="shared" si="204"/>
        <v>0</v>
      </c>
      <c r="W1229">
        <f t="shared" si="205"/>
        <v>0</v>
      </c>
      <c r="Y1229" t="str">
        <f t="shared" si="206"/>
        <v/>
      </c>
    </row>
    <row r="1230" spans="8:25">
      <c r="H1230">
        <v>998</v>
      </c>
      <c r="I1230" s="18">
        <v>50</v>
      </c>
      <c r="J1230">
        <v>96</v>
      </c>
      <c r="K1230">
        <f t="shared" si="196"/>
        <v>480</v>
      </c>
      <c r="L1230" s="39">
        <f t="shared" si="197"/>
        <v>1884.9555921538758</v>
      </c>
      <c r="M1230">
        <f t="shared" si="198"/>
        <v>270.31337508538434</v>
      </c>
      <c r="N1230">
        <f t="shared" si="199"/>
        <v>178335.04780041421</v>
      </c>
      <c r="O1230" s="39">
        <f t="shared" si="200"/>
        <v>193877.80520207155</v>
      </c>
      <c r="S1230">
        <f t="shared" si="201"/>
        <v>0</v>
      </c>
      <c r="T1230">
        <f t="shared" si="202"/>
        <v>1</v>
      </c>
      <c r="U1230">
        <f t="shared" si="203"/>
        <v>0</v>
      </c>
      <c r="V1230">
        <f t="shared" si="204"/>
        <v>0</v>
      </c>
      <c r="W1230">
        <f t="shared" si="205"/>
        <v>0</v>
      </c>
      <c r="Y1230" t="str">
        <f t="shared" si="206"/>
        <v/>
      </c>
    </row>
    <row r="1231" spans="8:25">
      <c r="H1231">
        <v>999</v>
      </c>
      <c r="I1231" s="18">
        <v>50</v>
      </c>
      <c r="J1231">
        <v>98</v>
      </c>
      <c r="K1231">
        <f t="shared" si="196"/>
        <v>490</v>
      </c>
      <c r="L1231" s="39">
        <f t="shared" si="197"/>
        <v>1924.2255003237481</v>
      </c>
      <c r="M1231">
        <f t="shared" si="198"/>
        <v>265.31337508538434</v>
      </c>
      <c r="N1231">
        <f t="shared" si="199"/>
        <v>178682.96667068958</v>
      </c>
      <c r="O1231" s="39">
        <f t="shared" si="200"/>
        <v>194225.72407234693</v>
      </c>
      <c r="S1231">
        <f t="shared" si="201"/>
        <v>0</v>
      </c>
      <c r="T1231">
        <f t="shared" si="202"/>
        <v>1</v>
      </c>
      <c r="U1231">
        <f t="shared" si="203"/>
        <v>0</v>
      </c>
      <c r="V1231">
        <f t="shared" si="204"/>
        <v>0</v>
      </c>
      <c r="W1231">
        <f t="shared" si="205"/>
        <v>0</v>
      </c>
      <c r="Y1231" t="str">
        <f t="shared" si="206"/>
        <v/>
      </c>
    </row>
    <row r="1232" spans="8:25">
      <c r="H1232">
        <v>1000</v>
      </c>
      <c r="I1232" s="18">
        <v>50</v>
      </c>
      <c r="J1232">
        <v>100</v>
      </c>
      <c r="K1232">
        <f t="shared" si="196"/>
        <v>500</v>
      </c>
      <c r="L1232" s="39">
        <f t="shared" si="197"/>
        <v>1963.4954084936207</v>
      </c>
      <c r="M1232">
        <f t="shared" si="198"/>
        <v>260.31337508538434</v>
      </c>
      <c r="N1232">
        <f t="shared" si="199"/>
        <v>178893.44086237042</v>
      </c>
      <c r="O1232" s="39">
        <f t="shared" si="200"/>
        <v>194436.19826402777</v>
      </c>
      <c r="S1232">
        <f t="shared" si="201"/>
        <v>0</v>
      </c>
      <c r="T1232">
        <f t="shared" si="202"/>
        <v>1</v>
      </c>
      <c r="U1232">
        <f t="shared" si="203"/>
        <v>0</v>
      </c>
      <c r="V1232">
        <f t="shared" si="204"/>
        <v>0</v>
      </c>
      <c r="W1232">
        <f t="shared" si="205"/>
        <v>0</v>
      </c>
      <c r="Y1232" t="str">
        <f t="shared" si="206"/>
        <v/>
      </c>
    </row>
  </sheetData>
  <sortState xmlns:xlrd2="http://schemas.microsoft.com/office/spreadsheetml/2017/richdata2" ref="AL234:AL1232">
    <sortCondition ref="AL233:AL1232"/>
  </sortState>
  <mergeCells count="8">
    <mergeCell ref="Q5:R5"/>
    <mergeCell ref="T5:U5"/>
    <mergeCell ref="W5:X5"/>
    <mergeCell ref="O2:O7"/>
    <mergeCell ref="O117:O122"/>
    <mergeCell ref="Q120:R120"/>
    <mergeCell ref="T120:U120"/>
    <mergeCell ref="W120:X120"/>
  </mergeCell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C4F26-B582-426C-9A7C-1F8A8A51321B}">
  <sheetPr codeName="Sheet3"/>
  <dimension ref="B1:U18"/>
  <sheetViews>
    <sheetView rightToLeft="1" zoomScale="115" zoomScaleNormal="115" workbookViewId="0">
      <selection activeCell="L20" sqref="L20"/>
    </sheetView>
  </sheetViews>
  <sheetFormatPr defaultRowHeight="16.8"/>
  <cols>
    <col min="2" max="2" width="15.8984375" customWidth="1"/>
    <col min="3" max="3" width="9.69921875" customWidth="1"/>
    <col min="11" max="11" width="14.69921875" bestFit="1" customWidth="1"/>
    <col min="12" max="12" width="18.5" bestFit="1" customWidth="1"/>
    <col min="13" max="14" width="13" bestFit="1" customWidth="1"/>
    <col min="17" max="17" width="14.69921875" bestFit="1" customWidth="1"/>
  </cols>
  <sheetData>
    <row r="1" spans="2:21">
      <c r="T1" t="s">
        <v>55</v>
      </c>
      <c r="U1" t="s">
        <v>54</v>
      </c>
    </row>
    <row r="2" spans="2:21">
      <c r="D2" s="4" t="s">
        <v>3</v>
      </c>
      <c r="E2" s="4" t="s">
        <v>4</v>
      </c>
      <c r="F2" s="4" t="s">
        <v>5</v>
      </c>
      <c r="G2" s="4" t="s">
        <v>6</v>
      </c>
      <c r="H2" s="4" t="s">
        <v>7</v>
      </c>
      <c r="I2" s="4" t="s">
        <v>8</v>
      </c>
      <c r="K2" s="4" t="s">
        <v>2</v>
      </c>
      <c r="L2" s="4" t="s">
        <v>9</v>
      </c>
      <c r="M2" s="4" t="s">
        <v>10</v>
      </c>
      <c r="N2" s="4" t="s">
        <v>11</v>
      </c>
      <c r="O2" s="15" t="s">
        <v>43</v>
      </c>
      <c r="P2" t="s">
        <v>21</v>
      </c>
      <c r="Q2" s="14" t="s">
        <v>40</v>
      </c>
      <c r="T2" t="s">
        <v>66</v>
      </c>
      <c r="U2" t="s">
        <v>67</v>
      </c>
    </row>
    <row r="3" spans="2:21">
      <c r="B3" t="s">
        <v>30</v>
      </c>
      <c r="C3" t="s">
        <v>35</v>
      </c>
      <c r="D3">
        <v>0.8</v>
      </c>
      <c r="E3">
        <v>0.9</v>
      </c>
      <c r="F3">
        <v>1</v>
      </c>
      <c r="G3">
        <v>1.1000000000000001</v>
      </c>
      <c r="H3">
        <v>1.2</v>
      </c>
      <c r="I3">
        <v>1.3</v>
      </c>
      <c r="K3" s="3" t="s">
        <v>12</v>
      </c>
      <c r="L3" s="3">
        <v>240</v>
      </c>
      <c r="M3" s="3">
        <v>400</v>
      </c>
      <c r="N3" s="3">
        <v>500</v>
      </c>
      <c r="O3" t="s">
        <v>44</v>
      </c>
      <c r="P3" t="s">
        <v>22</v>
      </c>
      <c r="Q3" t="s">
        <v>41</v>
      </c>
      <c r="S3" t="s">
        <v>43</v>
      </c>
      <c r="T3" t="s">
        <v>52</v>
      </c>
      <c r="U3" t="s">
        <v>52</v>
      </c>
    </row>
    <row r="4" spans="2:21">
      <c r="C4">
        <v>0.01</v>
      </c>
      <c r="D4">
        <v>1</v>
      </c>
      <c r="E4">
        <v>1.1000000000000001</v>
      </c>
      <c r="F4">
        <v>1.2</v>
      </c>
      <c r="G4">
        <v>1.4</v>
      </c>
      <c r="H4">
        <v>1.5</v>
      </c>
      <c r="I4">
        <v>1.6</v>
      </c>
      <c r="K4" s="3" t="s">
        <v>13</v>
      </c>
      <c r="L4" s="3">
        <v>200</v>
      </c>
      <c r="M4" s="3">
        <v>350</v>
      </c>
      <c r="N4" s="3">
        <v>435</v>
      </c>
      <c r="O4" t="s">
        <v>44</v>
      </c>
      <c r="P4" t="s">
        <v>23</v>
      </c>
      <c r="S4" t="s">
        <v>44</v>
      </c>
      <c r="T4" t="s">
        <v>51</v>
      </c>
      <c r="U4" t="s">
        <v>53</v>
      </c>
    </row>
    <row r="5" spans="2:21">
      <c r="C5" t="s">
        <v>36</v>
      </c>
      <c r="D5">
        <v>1.2</v>
      </c>
      <c r="E5">
        <v>1.3</v>
      </c>
      <c r="F5">
        <v>1.4</v>
      </c>
      <c r="G5">
        <v>1.6</v>
      </c>
      <c r="H5">
        <v>1.8</v>
      </c>
      <c r="I5">
        <v>2</v>
      </c>
    </row>
    <row r="6" spans="2:21">
      <c r="D6">
        <v>8.6999999999999993</v>
      </c>
      <c r="E6">
        <v>10.9</v>
      </c>
      <c r="F6">
        <v>13</v>
      </c>
      <c r="G6">
        <v>17.399999999999999</v>
      </c>
      <c r="H6">
        <v>21.7</v>
      </c>
      <c r="I6">
        <v>26</v>
      </c>
      <c r="K6" s="17" t="s">
        <v>69</v>
      </c>
      <c r="L6" s="4" t="s">
        <v>21</v>
      </c>
      <c r="M6" s="4" t="s">
        <v>22</v>
      </c>
      <c r="N6" s="4" t="s">
        <v>23</v>
      </c>
    </row>
    <row r="7" spans="2:21">
      <c r="K7" s="18" t="s">
        <v>65</v>
      </c>
      <c r="L7" s="3" t="s">
        <v>65</v>
      </c>
      <c r="M7" s="3" t="s">
        <v>65</v>
      </c>
      <c r="N7" s="3" t="s">
        <v>65</v>
      </c>
    </row>
    <row r="8" spans="2:21">
      <c r="K8" s="18" t="s">
        <v>68</v>
      </c>
      <c r="L8" s="3" t="s">
        <v>50</v>
      </c>
      <c r="M8" s="3" t="s">
        <v>49</v>
      </c>
      <c r="N8" s="3" t="s">
        <v>49</v>
      </c>
      <c r="T8" t="s">
        <v>52</v>
      </c>
      <c r="U8" t="s">
        <v>52</v>
      </c>
    </row>
    <row r="9" spans="2:21">
      <c r="K9" s="18" t="s">
        <v>61</v>
      </c>
      <c r="L9" s="3" t="s">
        <v>49</v>
      </c>
      <c r="M9" s="3" t="s">
        <v>49</v>
      </c>
      <c r="N9" s="3" t="s">
        <v>49</v>
      </c>
      <c r="T9" t="s">
        <v>51</v>
      </c>
      <c r="U9" t="s">
        <v>53</v>
      </c>
    </row>
    <row r="10" spans="2:21">
      <c r="K10" s="18" t="s">
        <v>62</v>
      </c>
      <c r="L10" s="3" t="s">
        <v>50</v>
      </c>
      <c r="M10" s="3" t="s">
        <v>50</v>
      </c>
      <c r="N10" s="3" t="s">
        <v>50</v>
      </c>
    </row>
    <row r="12" spans="2:21">
      <c r="K12" s="17"/>
      <c r="L12" s="4" t="s">
        <v>65</v>
      </c>
      <c r="M12" s="4" t="s">
        <v>49</v>
      </c>
      <c r="N12" s="4" t="s">
        <v>50</v>
      </c>
    </row>
    <row r="13" spans="2:21" ht="20.399999999999999">
      <c r="J13" t="s">
        <v>44</v>
      </c>
      <c r="K13" s="18" t="s">
        <v>48</v>
      </c>
      <c r="L13" s="3" t="s">
        <v>169</v>
      </c>
      <c r="M13" s="3" t="s">
        <v>72</v>
      </c>
      <c r="N13" s="3" t="s">
        <v>108</v>
      </c>
      <c r="P13" t="str">
        <f>IF(C11="נמוכה","ω (70)", "ω (72)")</f>
        <v>ω (72)</v>
      </c>
    </row>
    <row r="14" spans="2:21" ht="20.399999999999999">
      <c r="J14" t="s">
        <v>43</v>
      </c>
      <c r="K14" s="18" t="s">
        <v>71</v>
      </c>
      <c r="L14" s="3" t="s">
        <v>70</v>
      </c>
      <c r="M14" s="3" t="s">
        <v>70</v>
      </c>
      <c r="N14" s="3" t="s">
        <v>109</v>
      </c>
    </row>
    <row r="18" spans="8:8" ht="20.399999999999999">
      <c r="H18" s="8" t="s">
        <v>48</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מסך ראשי</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Amar</dc:creator>
  <cp:lastModifiedBy>Michael Amar</cp:lastModifiedBy>
  <dcterms:created xsi:type="dcterms:W3CDTF">2015-06-05T18:17:20Z</dcterms:created>
  <dcterms:modified xsi:type="dcterms:W3CDTF">2024-06-25T13:12:36Z</dcterms:modified>
</cp:coreProperties>
</file>